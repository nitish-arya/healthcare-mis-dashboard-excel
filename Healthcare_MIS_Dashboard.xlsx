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F:\SLA\MIS_Project\"/>
    </mc:Choice>
  </mc:AlternateContent>
  <xr:revisionPtr revIDLastSave="0" documentId="13_ncr:1_{E72AFA88-6840-4B55-AF8F-D3FAEA5642D6}" xr6:coauthVersionLast="47" xr6:coauthVersionMax="47" xr10:uidLastSave="{00000000-0000-0000-0000-000000000000}"/>
  <bookViews>
    <workbookView xWindow="-120" yWindow="-120" windowWidth="20730" windowHeight="11160" firstSheet="3" activeTab="8" xr2:uid="{00000000-000D-0000-FFFF-FFFF00000000}"/>
  </bookViews>
  <sheets>
    <sheet name="README" sheetId="1" r:id="rId1"/>
    <sheet name="Claims_Clean" sheetId="5" r:id="rId2"/>
    <sheet name="Claims_Raw" sheetId="2" r:id="rId3"/>
    <sheet name="MIS_Report" sheetId="9" r:id="rId4"/>
    <sheet name="Agents" sheetId="3" r:id="rId5"/>
    <sheet name="Daily_Productivity" sheetId="4" r:id="rId6"/>
    <sheet name="Productivity_Report" sheetId="13" r:id="rId7"/>
    <sheet name="Pivots" sheetId="15" r:id="rId8"/>
    <sheet name="MIS_Dashboard" sheetId="16" r:id="rId9"/>
  </sheets>
  <definedNames>
    <definedName name="_xlnm._FilterDatabase" localSheetId="4" hidden="1">Agents!$A$1:$C$11</definedName>
    <definedName name="_xlnm._FilterDatabase" localSheetId="1" hidden="1">Claims_Clean!$A$1:$P$1001</definedName>
    <definedName name="_xlnm._FilterDatabase" localSheetId="2" hidden="1">Claims_Raw!$A$1:$K$1011</definedName>
    <definedName name="_xlnm._FilterDatabase" localSheetId="5" hidden="1">Daily_Productivity!$A$1:$E$315</definedName>
    <definedName name="_xlnm._FilterDatabase" localSheetId="6" hidden="1">Productivity_Report!$A$1:$G$11</definedName>
  </definedNames>
  <calcPr calcId="191029"/>
  <pivotCaches>
    <pivotCache cacheId="75" r:id="rId10"/>
    <pivotCache cacheId="78" r:id="rId11"/>
    <pivotCache cacheId="82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5" i="16" l="1"/>
  <c r="I5" i="16"/>
  <c r="G5" i="16"/>
  <c r="E5" i="16"/>
  <c r="C5" i="16"/>
  <c r="A5" i="16"/>
  <c r="B5" i="15"/>
  <c r="B6" i="15"/>
  <c r="B4" i="15"/>
  <c r="B3" i="15"/>
  <c r="P3" i="5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P71" i="5"/>
  <c r="P72" i="5"/>
  <c r="P73" i="5"/>
  <c r="P74" i="5"/>
  <c r="P75" i="5"/>
  <c r="P76" i="5"/>
  <c r="P77" i="5"/>
  <c r="P78" i="5"/>
  <c r="P79" i="5"/>
  <c r="P80" i="5"/>
  <c r="P81" i="5"/>
  <c r="P82" i="5"/>
  <c r="P83" i="5"/>
  <c r="P84" i="5"/>
  <c r="P85" i="5"/>
  <c r="P86" i="5"/>
  <c r="P87" i="5"/>
  <c r="P88" i="5"/>
  <c r="P89" i="5"/>
  <c r="P90" i="5"/>
  <c r="P91" i="5"/>
  <c r="P92" i="5"/>
  <c r="P93" i="5"/>
  <c r="P94" i="5"/>
  <c r="P95" i="5"/>
  <c r="P96" i="5"/>
  <c r="P97" i="5"/>
  <c r="P98" i="5"/>
  <c r="P99" i="5"/>
  <c r="P100" i="5"/>
  <c r="P101" i="5"/>
  <c r="P102" i="5"/>
  <c r="P103" i="5"/>
  <c r="P104" i="5"/>
  <c r="P105" i="5"/>
  <c r="P106" i="5"/>
  <c r="P107" i="5"/>
  <c r="P108" i="5"/>
  <c r="P109" i="5"/>
  <c r="P110" i="5"/>
  <c r="P111" i="5"/>
  <c r="P112" i="5"/>
  <c r="P113" i="5"/>
  <c r="P114" i="5"/>
  <c r="P115" i="5"/>
  <c r="P116" i="5"/>
  <c r="P117" i="5"/>
  <c r="P118" i="5"/>
  <c r="P119" i="5"/>
  <c r="P120" i="5"/>
  <c r="P121" i="5"/>
  <c r="P122" i="5"/>
  <c r="P123" i="5"/>
  <c r="P124" i="5"/>
  <c r="P125" i="5"/>
  <c r="P126" i="5"/>
  <c r="P127" i="5"/>
  <c r="P128" i="5"/>
  <c r="P129" i="5"/>
  <c r="P130" i="5"/>
  <c r="P131" i="5"/>
  <c r="P132" i="5"/>
  <c r="P133" i="5"/>
  <c r="P134" i="5"/>
  <c r="P135" i="5"/>
  <c r="P136" i="5"/>
  <c r="P137" i="5"/>
  <c r="P138" i="5"/>
  <c r="P139" i="5"/>
  <c r="P140" i="5"/>
  <c r="P141" i="5"/>
  <c r="P142" i="5"/>
  <c r="P143" i="5"/>
  <c r="P144" i="5"/>
  <c r="P145" i="5"/>
  <c r="P146" i="5"/>
  <c r="P147" i="5"/>
  <c r="P148" i="5"/>
  <c r="P149" i="5"/>
  <c r="P150" i="5"/>
  <c r="P151" i="5"/>
  <c r="P152" i="5"/>
  <c r="P153" i="5"/>
  <c r="P154" i="5"/>
  <c r="P155" i="5"/>
  <c r="P156" i="5"/>
  <c r="P157" i="5"/>
  <c r="P158" i="5"/>
  <c r="P159" i="5"/>
  <c r="P160" i="5"/>
  <c r="P161" i="5"/>
  <c r="P162" i="5"/>
  <c r="P163" i="5"/>
  <c r="P164" i="5"/>
  <c r="P165" i="5"/>
  <c r="P166" i="5"/>
  <c r="P167" i="5"/>
  <c r="P168" i="5"/>
  <c r="P169" i="5"/>
  <c r="P170" i="5"/>
  <c r="P171" i="5"/>
  <c r="P172" i="5"/>
  <c r="P173" i="5"/>
  <c r="P174" i="5"/>
  <c r="P175" i="5"/>
  <c r="P176" i="5"/>
  <c r="P177" i="5"/>
  <c r="P178" i="5"/>
  <c r="P179" i="5"/>
  <c r="P180" i="5"/>
  <c r="P181" i="5"/>
  <c r="P182" i="5"/>
  <c r="P183" i="5"/>
  <c r="P184" i="5"/>
  <c r="P185" i="5"/>
  <c r="P186" i="5"/>
  <c r="P187" i="5"/>
  <c r="P188" i="5"/>
  <c r="P189" i="5"/>
  <c r="P190" i="5"/>
  <c r="P191" i="5"/>
  <c r="P192" i="5"/>
  <c r="P193" i="5"/>
  <c r="P194" i="5"/>
  <c r="P195" i="5"/>
  <c r="P196" i="5"/>
  <c r="P197" i="5"/>
  <c r="P198" i="5"/>
  <c r="P199" i="5"/>
  <c r="P200" i="5"/>
  <c r="P201" i="5"/>
  <c r="P202" i="5"/>
  <c r="P203" i="5"/>
  <c r="P204" i="5"/>
  <c r="P205" i="5"/>
  <c r="P206" i="5"/>
  <c r="P207" i="5"/>
  <c r="P208" i="5"/>
  <c r="P209" i="5"/>
  <c r="P210" i="5"/>
  <c r="P211" i="5"/>
  <c r="P212" i="5"/>
  <c r="P213" i="5"/>
  <c r="P214" i="5"/>
  <c r="P215" i="5"/>
  <c r="P216" i="5"/>
  <c r="P217" i="5"/>
  <c r="P218" i="5"/>
  <c r="P219" i="5"/>
  <c r="P220" i="5"/>
  <c r="P221" i="5"/>
  <c r="P222" i="5"/>
  <c r="P223" i="5"/>
  <c r="P224" i="5"/>
  <c r="P225" i="5"/>
  <c r="P226" i="5"/>
  <c r="P227" i="5"/>
  <c r="P228" i="5"/>
  <c r="P229" i="5"/>
  <c r="P230" i="5"/>
  <c r="P231" i="5"/>
  <c r="P232" i="5"/>
  <c r="P233" i="5"/>
  <c r="P234" i="5"/>
  <c r="P235" i="5"/>
  <c r="P236" i="5"/>
  <c r="P237" i="5"/>
  <c r="P238" i="5"/>
  <c r="P239" i="5"/>
  <c r="P240" i="5"/>
  <c r="P241" i="5"/>
  <c r="P242" i="5"/>
  <c r="P243" i="5"/>
  <c r="P244" i="5"/>
  <c r="P245" i="5"/>
  <c r="P246" i="5"/>
  <c r="P247" i="5"/>
  <c r="P248" i="5"/>
  <c r="P249" i="5"/>
  <c r="P250" i="5"/>
  <c r="P251" i="5"/>
  <c r="P252" i="5"/>
  <c r="P253" i="5"/>
  <c r="P254" i="5"/>
  <c r="P255" i="5"/>
  <c r="P256" i="5"/>
  <c r="P257" i="5"/>
  <c r="P258" i="5"/>
  <c r="P259" i="5"/>
  <c r="P260" i="5"/>
  <c r="P261" i="5"/>
  <c r="P262" i="5"/>
  <c r="P263" i="5"/>
  <c r="P264" i="5"/>
  <c r="P265" i="5"/>
  <c r="P266" i="5"/>
  <c r="P267" i="5"/>
  <c r="P268" i="5"/>
  <c r="P269" i="5"/>
  <c r="P270" i="5"/>
  <c r="P271" i="5"/>
  <c r="P272" i="5"/>
  <c r="P273" i="5"/>
  <c r="P274" i="5"/>
  <c r="P275" i="5"/>
  <c r="P276" i="5"/>
  <c r="P277" i="5"/>
  <c r="P278" i="5"/>
  <c r="P279" i="5"/>
  <c r="P280" i="5"/>
  <c r="P281" i="5"/>
  <c r="P282" i="5"/>
  <c r="P283" i="5"/>
  <c r="P284" i="5"/>
  <c r="P285" i="5"/>
  <c r="P286" i="5"/>
  <c r="P287" i="5"/>
  <c r="P288" i="5"/>
  <c r="P289" i="5"/>
  <c r="P290" i="5"/>
  <c r="P291" i="5"/>
  <c r="P292" i="5"/>
  <c r="P293" i="5"/>
  <c r="P294" i="5"/>
  <c r="P295" i="5"/>
  <c r="P296" i="5"/>
  <c r="P297" i="5"/>
  <c r="P298" i="5"/>
  <c r="P299" i="5"/>
  <c r="P300" i="5"/>
  <c r="P301" i="5"/>
  <c r="P302" i="5"/>
  <c r="P303" i="5"/>
  <c r="P304" i="5"/>
  <c r="P305" i="5"/>
  <c r="P306" i="5"/>
  <c r="P307" i="5"/>
  <c r="P308" i="5"/>
  <c r="P309" i="5"/>
  <c r="P310" i="5"/>
  <c r="P311" i="5"/>
  <c r="P312" i="5"/>
  <c r="P313" i="5"/>
  <c r="P314" i="5"/>
  <c r="P315" i="5"/>
  <c r="P316" i="5"/>
  <c r="P317" i="5"/>
  <c r="P318" i="5"/>
  <c r="P319" i="5"/>
  <c r="P320" i="5"/>
  <c r="P321" i="5"/>
  <c r="P322" i="5"/>
  <c r="P323" i="5"/>
  <c r="P324" i="5"/>
  <c r="P325" i="5"/>
  <c r="P326" i="5"/>
  <c r="P327" i="5"/>
  <c r="P328" i="5"/>
  <c r="P329" i="5"/>
  <c r="P330" i="5"/>
  <c r="P331" i="5"/>
  <c r="P332" i="5"/>
  <c r="P333" i="5"/>
  <c r="P334" i="5"/>
  <c r="P335" i="5"/>
  <c r="P336" i="5"/>
  <c r="P337" i="5"/>
  <c r="P338" i="5"/>
  <c r="P339" i="5"/>
  <c r="P340" i="5"/>
  <c r="P341" i="5"/>
  <c r="P342" i="5"/>
  <c r="P343" i="5"/>
  <c r="P344" i="5"/>
  <c r="P345" i="5"/>
  <c r="P346" i="5"/>
  <c r="P347" i="5"/>
  <c r="P348" i="5"/>
  <c r="P349" i="5"/>
  <c r="P350" i="5"/>
  <c r="P351" i="5"/>
  <c r="P352" i="5"/>
  <c r="P353" i="5"/>
  <c r="P354" i="5"/>
  <c r="P355" i="5"/>
  <c r="P356" i="5"/>
  <c r="P357" i="5"/>
  <c r="P358" i="5"/>
  <c r="P359" i="5"/>
  <c r="P360" i="5"/>
  <c r="P361" i="5"/>
  <c r="P362" i="5"/>
  <c r="P363" i="5"/>
  <c r="P364" i="5"/>
  <c r="P365" i="5"/>
  <c r="P366" i="5"/>
  <c r="P367" i="5"/>
  <c r="P368" i="5"/>
  <c r="P369" i="5"/>
  <c r="P370" i="5"/>
  <c r="P371" i="5"/>
  <c r="P372" i="5"/>
  <c r="P373" i="5"/>
  <c r="P374" i="5"/>
  <c r="P375" i="5"/>
  <c r="P376" i="5"/>
  <c r="P377" i="5"/>
  <c r="P378" i="5"/>
  <c r="P379" i="5"/>
  <c r="P380" i="5"/>
  <c r="P381" i="5"/>
  <c r="P382" i="5"/>
  <c r="P383" i="5"/>
  <c r="P384" i="5"/>
  <c r="P385" i="5"/>
  <c r="P386" i="5"/>
  <c r="P387" i="5"/>
  <c r="P388" i="5"/>
  <c r="P389" i="5"/>
  <c r="P390" i="5"/>
  <c r="P391" i="5"/>
  <c r="P392" i="5"/>
  <c r="P393" i="5"/>
  <c r="P394" i="5"/>
  <c r="P395" i="5"/>
  <c r="P396" i="5"/>
  <c r="P397" i="5"/>
  <c r="P398" i="5"/>
  <c r="P399" i="5"/>
  <c r="P400" i="5"/>
  <c r="P401" i="5"/>
  <c r="P402" i="5"/>
  <c r="P403" i="5"/>
  <c r="P404" i="5"/>
  <c r="P405" i="5"/>
  <c r="P406" i="5"/>
  <c r="P407" i="5"/>
  <c r="P408" i="5"/>
  <c r="P409" i="5"/>
  <c r="P410" i="5"/>
  <c r="P411" i="5"/>
  <c r="P412" i="5"/>
  <c r="P413" i="5"/>
  <c r="P414" i="5"/>
  <c r="P415" i="5"/>
  <c r="P416" i="5"/>
  <c r="P417" i="5"/>
  <c r="P418" i="5"/>
  <c r="P419" i="5"/>
  <c r="P420" i="5"/>
  <c r="P421" i="5"/>
  <c r="P422" i="5"/>
  <c r="P423" i="5"/>
  <c r="P424" i="5"/>
  <c r="P425" i="5"/>
  <c r="P426" i="5"/>
  <c r="P427" i="5"/>
  <c r="P428" i="5"/>
  <c r="P429" i="5"/>
  <c r="P430" i="5"/>
  <c r="P431" i="5"/>
  <c r="P432" i="5"/>
  <c r="P433" i="5"/>
  <c r="P434" i="5"/>
  <c r="P435" i="5"/>
  <c r="P436" i="5"/>
  <c r="P437" i="5"/>
  <c r="P438" i="5"/>
  <c r="P439" i="5"/>
  <c r="P440" i="5"/>
  <c r="P441" i="5"/>
  <c r="P442" i="5"/>
  <c r="P443" i="5"/>
  <c r="P444" i="5"/>
  <c r="P445" i="5"/>
  <c r="P446" i="5"/>
  <c r="P447" i="5"/>
  <c r="P448" i="5"/>
  <c r="P449" i="5"/>
  <c r="P450" i="5"/>
  <c r="P451" i="5"/>
  <c r="P452" i="5"/>
  <c r="P453" i="5"/>
  <c r="P454" i="5"/>
  <c r="P455" i="5"/>
  <c r="P456" i="5"/>
  <c r="P457" i="5"/>
  <c r="P458" i="5"/>
  <c r="P459" i="5"/>
  <c r="P460" i="5"/>
  <c r="P461" i="5"/>
  <c r="P462" i="5"/>
  <c r="P463" i="5"/>
  <c r="P464" i="5"/>
  <c r="P465" i="5"/>
  <c r="P466" i="5"/>
  <c r="P467" i="5"/>
  <c r="P468" i="5"/>
  <c r="P469" i="5"/>
  <c r="P470" i="5"/>
  <c r="P471" i="5"/>
  <c r="P472" i="5"/>
  <c r="P473" i="5"/>
  <c r="P474" i="5"/>
  <c r="P475" i="5"/>
  <c r="P476" i="5"/>
  <c r="P477" i="5"/>
  <c r="P478" i="5"/>
  <c r="P479" i="5"/>
  <c r="P480" i="5"/>
  <c r="P481" i="5"/>
  <c r="P482" i="5"/>
  <c r="P483" i="5"/>
  <c r="P484" i="5"/>
  <c r="P485" i="5"/>
  <c r="P486" i="5"/>
  <c r="P487" i="5"/>
  <c r="P488" i="5"/>
  <c r="P489" i="5"/>
  <c r="P490" i="5"/>
  <c r="P491" i="5"/>
  <c r="P492" i="5"/>
  <c r="P493" i="5"/>
  <c r="P494" i="5"/>
  <c r="P495" i="5"/>
  <c r="P496" i="5"/>
  <c r="P497" i="5"/>
  <c r="P498" i="5"/>
  <c r="P499" i="5"/>
  <c r="P500" i="5"/>
  <c r="P501" i="5"/>
  <c r="P502" i="5"/>
  <c r="P503" i="5"/>
  <c r="P504" i="5"/>
  <c r="P505" i="5"/>
  <c r="P506" i="5"/>
  <c r="P507" i="5"/>
  <c r="P508" i="5"/>
  <c r="P509" i="5"/>
  <c r="P510" i="5"/>
  <c r="P511" i="5"/>
  <c r="P512" i="5"/>
  <c r="P513" i="5"/>
  <c r="P514" i="5"/>
  <c r="P515" i="5"/>
  <c r="P516" i="5"/>
  <c r="P517" i="5"/>
  <c r="P518" i="5"/>
  <c r="P519" i="5"/>
  <c r="P520" i="5"/>
  <c r="P521" i="5"/>
  <c r="P522" i="5"/>
  <c r="P523" i="5"/>
  <c r="P524" i="5"/>
  <c r="P525" i="5"/>
  <c r="P526" i="5"/>
  <c r="P527" i="5"/>
  <c r="P528" i="5"/>
  <c r="P529" i="5"/>
  <c r="P530" i="5"/>
  <c r="P531" i="5"/>
  <c r="P532" i="5"/>
  <c r="P533" i="5"/>
  <c r="P534" i="5"/>
  <c r="P535" i="5"/>
  <c r="P536" i="5"/>
  <c r="P537" i="5"/>
  <c r="P538" i="5"/>
  <c r="P539" i="5"/>
  <c r="P540" i="5"/>
  <c r="P541" i="5"/>
  <c r="P542" i="5"/>
  <c r="P543" i="5"/>
  <c r="P544" i="5"/>
  <c r="P545" i="5"/>
  <c r="P546" i="5"/>
  <c r="P547" i="5"/>
  <c r="P548" i="5"/>
  <c r="P549" i="5"/>
  <c r="P550" i="5"/>
  <c r="P551" i="5"/>
  <c r="P552" i="5"/>
  <c r="P553" i="5"/>
  <c r="P554" i="5"/>
  <c r="P555" i="5"/>
  <c r="P556" i="5"/>
  <c r="P557" i="5"/>
  <c r="P558" i="5"/>
  <c r="P559" i="5"/>
  <c r="P560" i="5"/>
  <c r="P561" i="5"/>
  <c r="P562" i="5"/>
  <c r="P563" i="5"/>
  <c r="P564" i="5"/>
  <c r="P565" i="5"/>
  <c r="P566" i="5"/>
  <c r="P567" i="5"/>
  <c r="P568" i="5"/>
  <c r="P569" i="5"/>
  <c r="P570" i="5"/>
  <c r="P571" i="5"/>
  <c r="P572" i="5"/>
  <c r="P573" i="5"/>
  <c r="P574" i="5"/>
  <c r="P575" i="5"/>
  <c r="P576" i="5"/>
  <c r="P577" i="5"/>
  <c r="P578" i="5"/>
  <c r="P579" i="5"/>
  <c r="P580" i="5"/>
  <c r="P581" i="5"/>
  <c r="P582" i="5"/>
  <c r="P583" i="5"/>
  <c r="P584" i="5"/>
  <c r="P585" i="5"/>
  <c r="P586" i="5"/>
  <c r="P587" i="5"/>
  <c r="P588" i="5"/>
  <c r="P589" i="5"/>
  <c r="P590" i="5"/>
  <c r="P591" i="5"/>
  <c r="P592" i="5"/>
  <c r="P593" i="5"/>
  <c r="P594" i="5"/>
  <c r="P595" i="5"/>
  <c r="P596" i="5"/>
  <c r="P597" i="5"/>
  <c r="P598" i="5"/>
  <c r="P599" i="5"/>
  <c r="P600" i="5"/>
  <c r="P601" i="5"/>
  <c r="P602" i="5"/>
  <c r="P603" i="5"/>
  <c r="P604" i="5"/>
  <c r="P605" i="5"/>
  <c r="P606" i="5"/>
  <c r="P607" i="5"/>
  <c r="P608" i="5"/>
  <c r="P609" i="5"/>
  <c r="P610" i="5"/>
  <c r="P611" i="5"/>
  <c r="P612" i="5"/>
  <c r="P613" i="5"/>
  <c r="P614" i="5"/>
  <c r="P615" i="5"/>
  <c r="P616" i="5"/>
  <c r="P617" i="5"/>
  <c r="P618" i="5"/>
  <c r="P619" i="5"/>
  <c r="P620" i="5"/>
  <c r="P621" i="5"/>
  <c r="P622" i="5"/>
  <c r="P623" i="5"/>
  <c r="P624" i="5"/>
  <c r="P625" i="5"/>
  <c r="P626" i="5"/>
  <c r="P627" i="5"/>
  <c r="P628" i="5"/>
  <c r="P629" i="5"/>
  <c r="P630" i="5"/>
  <c r="P631" i="5"/>
  <c r="P632" i="5"/>
  <c r="P633" i="5"/>
  <c r="P634" i="5"/>
  <c r="P635" i="5"/>
  <c r="P636" i="5"/>
  <c r="P637" i="5"/>
  <c r="P638" i="5"/>
  <c r="P639" i="5"/>
  <c r="P640" i="5"/>
  <c r="P641" i="5"/>
  <c r="P642" i="5"/>
  <c r="P643" i="5"/>
  <c r="P644" i="5"/>
  <c r="P645" i="5"/>
  <c r="P646" i="5"/>
  <c r="P647" i="5"/>
  <c r="P648" i="5"/>
  <c r="P649" i="5"/>
  <c r="P650" i="5"/>
  <c r="P651" i="5"/>
  <c r="P652" i="5"/>
  <c r="P653" i="5"/>
  <c r="P654" i="5"/>
  <c r="P655" i="5"/>
  <c r="P656" i="5"/>
  <c r="P657" i="5"/>
  <c r="P658" i="5"/>
  <c r="P659" i="5"/>
  <c r="P660" i="5"/>
  <c r="P661" i="5"/>
  <c r="P662" i="5"/>
  <c r="P663" i="5"/>
  <c r="P664" i="5"/>
  <c r="P665" i="5"/>
  <c r="P666" i="5"/>
  <c r="P667" i="5"/>
  <c r="P668" i="5"/>
  <c r="P669" i="5"/>
  <c r="P670" i="5"/>
  <c r="P671" i="5"/>
  <c r="P672" i="5"/>
  <c r="P673" i="5"/>
  <c r="P674" i="5"/>
  <c r="P675" i="5"/>
  <c r="P676" i="5"/>
  <c r="P677" i="5"/>
  <c r="P678" i="5"/>
  <c r="P679" i="5"/>
  <c r="P680" i="5"/>
  <c r="P681" i="5"/>
  <c r="P682" i="5"/>
  <c r="P683" i="5"/>
  <c r="P684" i="5"/>
  <c r="P685" i="5"/>
  <c r="P686" i="5"/>
  <c r="P687" i="5"/>
  <c r="P688" i="5"/>
  <c r="P689" i="5"/>
  <c r="P690" i="5"/>
  <c r="P691" i="5"/>
  <c r="P692" i="5"/>
  <c r="P693" i="5"/>
  <c r="P694" i="5"/>
  <c r="P695" i="5"/>
  <c r="P696" i="5"/>
  <c r="P697" i="5"/>
  <c r="P698" i="5"/>
  <c r="P699" i="5"/>
  <c r="P700" i="5"/>
  <c r="P701" i="5"/>
  <c r="P702" i="5"/>
  <c r="P703" i="5"/>
  <c r="P704" i="5"/>
  <c r="P705" i="5"/>
  <c r="P706" i="5"/>
  <c r="P707" i="5"/>
  <c r="P708" i="5"/>
  <c r="P709" i="5"/>
  <c r="P710" i="5"/>
  <c r="P711" i="5"/>
  <c r="P712" i="5"/>
  <c r="P713" i="5"/>
  <c r="P714" i="5"/>
  <c r="P715" i="5"/>
  <c r="P716" i="5"/>
  <c r="P717" i="5"/>
  <c r="P718" i="5"/>
  <c r="P719" i="5"/>
  <c r="P720" i="5"/>
  <c r="P721" i="5"/>
  <c r="P722" i="5"/>
  <c r="P723" i="5"/>
  <c r="P724" i="5"/>
  <c r="P725" i="5"/>
  <c r="P726" i="5"/>
  <c r="P727" i="5"/>
  <c r="P728" i="5"/>
  <c r="P729" i="5"/>
  <c r="P730" i="5"/>
  <c r="P731" i="5"/>
  <c r="P732" i="5"/>
  <c r="P733" i="5"/>
  <c r="P734" i="5"/>
  <c r="P735" i="5"/>
  <c r="P736" i="5"/>
  <c r="P737" i="5"/>
  <c r="P738" i="5"/>
  <c r="P739" i="5"/>
  <c r="P740" i="5"/>
  <c r="P741" i="5"/>
  <c r="P742" i="5"/>
  <c r="P743" i="5"/>
  <c r="P744" i="5"/>
  <c r="P745" i="5"/>
  <c r="P746" i="5"/>
  <c r="P747" i="5"/>
  <c r="P748" i="5"/>
  <c r="P749" i="5"/>
  <c r="P750" i="5"/>
  <c r="P751" i="5"/>
  <c r="P752" i="5"/>
  <c r="P753" i="5"/>
  <c r="P754" i="5"/>
  <c r="P755" i="5"/>
  <c r="P756" i="5"/>
  <c r="P757" i="5"/>
  <c r="P758" i="5"/>
  <c r="P759" i="5"/>
  <c r="P760" i="5"/>
  <c r="P761" i="5"/>
  <c r="P762" i="5"/>
  <c r="P763" i="5"/>
  <c r="P764" i="5"/>
  <c r="P765" i="5"/>
  <c r="P766" i="5"/>
  <c r="P767" i="5"/>
  <c r="P768" i="5"/>
  <c r="P769" i="5"/>
  <c r="P770" i="5"/>
  <c r="P771" i="5"/>
  <c r="P772" i="5"/>
  <c r="P773" i="5"/>
  <c r="P774" i="5"/>
  <c r="P775" i="5"/>
  <c r="P776" i="5"/>
  <c r="P777" i="5"/>
  <c r="P778" i="5"/>
  <c r="P779" i="5"/>
  <c r="P780" i="5"/>
  <c r="P781" i="5"/>
  <c r="P782" i="5"/>
  <c r="P783" i="5"/>
  <c r="P784" i="5"/>
  <c r="P785" i="5"/>
  <c r="P786" i="5"/>
  <c r="P787" i="5"/>
  <c r="P788" i="5"/>
  <c r="P789" i="5"/>
  <c r="P790" i="5"/>
  <c r="P791" i="5"/>
  <c r="P792" i="5"/>
  <c r="P793" i="5"/>
  <c r="P794" i="5"/>
  <c r="P795" i="5"/>
  <c r="P796" i="5"/>
  <c r="P797" i="5"/>
  <c r="P798" i="5"/>
  <c r="P799" i="5"/>
  <c r="P800" i="5"/>
  <c r="P801" i="5"/>
  <c r="P802" i="5"/>
  <c r="P803" i="5"/>
  <c r="P804" i="5"/>
  <c r="P805" i="5"/>
  <c r="P806" i="5"/>
  <c r="P807" i="5"/>
  <c r="P808" i="5"/>
  <c r="P809" i="5"/>
  <c r="P810" i="5"/>
  <c r="P811" i="5"/>
  <c r="P812" i="5"/>
  <c r="P813" i="5"/>
  <c r="P814" i="5"/>
  <c r="P815" i="5"/>
  <c r="P816" i="5"/>
  <c r="P817" i="5"/>
  <c r="P818" i="5"/>
  <c r="P819" i="5"/>
  <c r="P820" i="5"/>
  <c r="P821" i="5"/>
  <c r="P822" i="5"/>
  <c r="P823" i="5"/>
  <c r="P824" i="5"/>
  <c r="P825" i="5"/>
  <c r="P826" i="5"/>
  <c r="P827" i="5"/>
  <c r="P828" i="5"/>
  <c r="P829" i="5"/>
  <c r="P830" i="5"/>
  <c r="P831" i="5"/>
  <c r="P832" i="5"/>
  <c r="P833" i="5"/>
  <c r="P834" i="5"/>
  <c r="P835" i="5"/>
  <c r="P836" i="5"/>
  <c r="P837" i="5"/>
  <c r="P838" i="5"/>
  <c r="P839" i="5"/>
  <c r="P840" i="5"/>
  <c r="P841" i="5"/>
  <c r="P842" i="5"/>
  <c r="P843" i="5"/>
  <c r="P844" i="5"/>
  <c r="P845" i="5"/>
  <c r="P846" i="5"/>
  <c r="P847" i="5"/>
  <c r="P848" i="5"/>
  <c r="P849" i="5"/>
  <c r="P850" i="5"/>
  <c r="P851" i="5"/>
  <c r="P852" i="5"/>
  <c r="P853" i="5"/>
  <c r="P854" i="5"/>
  <c r="P855" i="5"/>
  <c r="P856" i="5"/>
  <c r="P857" i="5"/>
  <c r="P858" i="5"/>
  <c r="P859" i="5"/>
  <c r="P860" i="5"/>
  <c r="P861" i="5"/>
  <c r="P862" i="5"/>
  <c r="P863" i="5"/>
  <c r="P864" i="5"/>
  <c r="P865" i="5"/>
  <c r="P866" i="5"/>
  <c r="P867" i="5"/>
  <c r="P868" i="5"/>
  <c r="P869" i="5"/>
  <c r="P870" i="5"/>
  <c r="P871" i="5"/>
  <c r="P872" i="5"/>
  <c r="P873" i="5"/>
  <c r="P874" i="5"/>
  <c r="P875" i="5"/>
  <c r="P876" i="5"/>
  <c r="P877" i="5"/>
  <c r="P878" i="5"/>
  <c r="P879" i="5"/>
  <c r="P880" i="5"/>
  <c r="P881" i="5"/>
  <c r="P882" i="5"/>
  <c r="P883" i="5"/>
  <c r="P884" i="5"/>
  <c r="P885" i="5"/>
  <c r="P886" i="5"/>
  <c r="P887" i="5"/>
  <c r="P888" i="5"/>
  <c r="P889" i="5"/>
  <c r="P890" i="5"/>
  <c r="P891" i="5"/>
  <c r="P892" i="5"/>
  <c r="P893" i="5"/>
  <c r="P894" i="5"/>
  <c r="P895" i="5"/>
  <c r="P896" i="5"/>
  <c r="P897" i="5"/>
  <c r="P898" i="5"/>
  <c r="P899" i="5"/>
  <c r="P900" i="5"/>
  <c r="P901" i="5"/>
  <c r="P902" i="5"/>
  <c r="P903" i="5"/>
  <c r="P904" i="5"/>
  <c r="P905" i="5"/>
  <c r="P906" i="5"/>
  <c r="P907" i="5"/>
  <c r="P908" i="5"/>
  <c r="P909" i="5"/>
  <c r="P910" i="5"/>
  <c r="P911" i="5"/>
  <c r="P912" i="5"/>
  <c r="P913" i="5"/>
  <c r="P914" i="5"/>
  <c r="P915" i="5"/>
  <c r="P916" i="5"/>
  <c r="P917" i="5"/>
  <c r="P918" i="5"/>
  <c r="P919" i="5"/>
  <c r="P920" i="5"/>
  <c r="P921" i="5"/>
  <c r="P922" i="5"/>
  <c r="P923" i="5"/>
  <c r="P924" i="5"/>
  <c r="P925" i="5"/>
  <c r="P926" i="5"/>
  <c r="P927" i="5"/>
  <c r="P928" i="5"/>
  <c r="P929" i="5"/>
  <c r="P930" i="5"/>
  <c r="P931" i="5"/>
  <c r="P932" i="5"/>
  <c r="P933" i="5"/>
  <c r="P934" i="5"/>
  <c r="P935" i="5"/>
  <c r="P936" i="5"/>
  <c r="P937" i="5"/>
  <c r="P938" i="5"/>
  <c r="P939" i="5"/>
  <c r="P940" i="5"/>
  <c r="P941" i="5"/>
  <c r="P942" i="5"/>
  <c r="P943" i="5"/>
  <c r="P944" i="5"/>
  <c r="P945" i="5"/>
  <c r="P946" i="5"/>
  <c r="P947" i="5"/>
  <c r="P948" i="5"/>
  <c r="P949" i="5"/>
  <c r="P950" i="5"/>
  <c r="P951" i="5"/>
  <c r="P952" i="5"/>
  <c r="P953" i="5"/>
  <c r="P954" i="5"/>
  <c r="P955" i="5"/>
  <c r="P956" i="5"/>
  <c r="P957" i="5"/>
  <c r="P958" i="5"/>
  <c r="P959" i="5"/>
  <c r="P960" i="5"/>
  <c r="P961" i="5"/>
  <c r="P962" i="5"/>
  <c r="P963" i="5"/>
  <c r="P964" i="5"/>
  <c r="P965" i="5"/>
  <c r="P966" i="5"/>
  <c r="P967" i="5"/>
  <c r="P968" i="5"/>
  <c r="P969" i="5"/>
  <c r="P970" i="5"/>
  <c r="P971" i="5"/>
  <c r="P972" i="5"/>
  <c r="P973" i="5"/>
  <c r="P974" i="5"/>
  <c r="P975" i="5"/>
  <c r="P976" i="5"/>
  <c r="P977" i="5"/>
  <c r="P978" i="5"/>
  <c r="P979" i="5"/>
  <c r="P980" i="5"/>
  <c r="P981" i="5"/>
  <c r="P982" i="5"/>
  <c r="P983" i="5"/>
  <c r="P984" i="5"/>
  <c r="P985" i="5"/>
  <c r="P986" i="5"/>
  <c r="P987" i="5"/>
  <c r="P988" i="5"/>
  <c r="P989" i="5"/>
  <c r="P990" i="5"/>
  <c r="P991" i="5"/>
  <c r="P992" i="5"/>
  <c r="P993" i="5"/>
  <c r="P994" i="5"/>
  <c r="P995" i="5"/>
  <c r="P996" i="5"/>
  <c r="P997" i="5"/>
  <c r="P998" i="5"/>
  <c r="P999" i="5"/>
  <c r="P1000" i="5"/>
  <c r="P1001" i="5"/>
  <c r="P2" i="5"/>
  <c r="B8" i="9"/>
  <c r="B6" i="9"/>
  <c r="B5" i="9"/>
  <c r="B4" i="9"/>
  <c r="B14" i="13"/>
  <c r="A2" i="13" a="1"/>
  <c r="A2" i="13" s="1"/>
  <c r="D2" i="13" s="1"/>
  <c r="O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O99" i="5"/>
  <c r="O100" i="5"/>
  <c r="O101" i="5"/>
  <c r="O102" i="5"/>
  <c r="O103" i="5"/>
  <c r="O104" i="5"/>
  <c r="O105" i="5"/>
  <c r="O106" i="5"/>
  <c r="O107" i="5"/>
  <c r="O108" i="5"/>
  <c r="O109" i="5"/>
  <c r="O110" i="5"/>
  <c r="O111" i="5"/>
  <c r="O112" i="5"/>
  <c r="O113" i="5"/>
  <c r="O114" i="5"/>
  <c r="O115" i="5"/>
  <c r="O116" i="5"/>
  <c r="O117" i="5"/>
  <c r="O118" i="5"/>
  <c r="O119" i="5"/>
  <c r="O120" i="5"/>
  <c r="O121" i="5"/>
  <c r="O122" i="5"/>
  <c r="O123" i="5"/>
  <c r="O124" i="5"/>
  <c r="O125" i="5"/>
  <c r="O126" i="5"/>
  <c r="O127" i="5"/>
  <c r="O128" i="5"/>
  <c r="O129" i="5"/>
  <c r="O130" i="5"/>
  <c r="O131" i="5"/>
  <c r="O132" i="5"/>
  <c r="O133" i="5"/>
  <c r="O134" i="5"/>
  <c r="O135" i="5"/>
  <c r="O136" i="5"/>
  <c r="O137" i="5"/>
  <c r="O138" i="5"/>
  <c r="O139" i="5"/>
  <c r="O140" i="5"/>
  <c r="O141" i="5"/>
  <c r="O142" i="5"/>
  <c r="O143" i="5"/>
  <c r="O144" i="5"/>
  <c r="O145" i="5"/>
  <c r="O146" i="5"/>
  <c r="O147" i="5"/>
  <c r="O148" i="5"/>
  <c r="O149" i="5"/>
  <c r="O150" i="5"/>
  <c r="O151" i="5"/>
  <c r="O152" i="5"/>
  <c r="O153" i="5"/>
  <c r="O154" i="5"/>
  <c r="O155" i="5"/>
  <c r="O156" i="5"/>
  <c r="O157" i="5"/>
  <c r="O158" i="5"/>
  <c r="O159" i="5"/>
  <c r="O160" i="5"/>
  <c r="O161" i="5"/>
  <c r="O162" i="5"/>
  <c r="O163" i="5"/>
  <c r="O164" i="5"/>
  <c r="O165" i="5"/>
  <c r="O166" i="5"/>
  <c r="O167" i="5"/>
  <c r="O168" i="5"/>
  <c r="O169" i="5"/>
  <c r="O170" i="5"/>
  <c r="O171" i="5"/>
  <c r="O172" i="5"/>
  <c r="O173" i="5"/>
  <c r="O174" i="5"/>
  <c r="O175" i="5"/>
  <c r="O176" i="5"/>
  <c r="O177" i="5"/>
  <c r="O178" i="5"/>
  <c r="O179" i="5"/>
  <c r="O180" i="5"/>
  <c r="O181" i="5"/>
  <c r="O182" i="5"/>
  <c r="O183" i="5"/>
  <c r="O184" i="5"/>
  <c r="O185" i="5"/>
  <c r="O186" i="5"/>
  <c r="O187" i="5"/>
  <c r="O188" i="5"/>
  <c r="O189" i="5"/>
  <c r="O190" i="5"/>
  <c r="O191" i="5"/>
  <c r="O192" i="5"/>
  <c r="O193" i="5"/>
  <c r="O194" i="5"/>
  <c r="O195" i="5"/>
  <c r="O196" i="5"/>
  <c r="O197" i="5"/>
  <c r="O198" i="5"/>
  <c r="O199" i="5"/>
  <c r="O200" i="5"/>
  <c r="O201" i="5"/>
  <c r="O202" i="5"/>
  <c r="O203" i="5"/>
  <c r="O204" i="5"/>
  <c r="O205" i="5"/>
  <c r="O206" i="5"/>
  <c r="O207" i="5"/>
  <c r="O208" i="5"/>
  <c r="O209" i="5"/>
  <c r="O210" i="5"/>
  <c r="O211" i="5"/>
  <c r="O212" i="5"/>
  <c r="O213" i="5"/>
  <c r="O214" i="5"/>
  <c r="O215" i="5"/>
  <c r="O216" i="5"/>
  <c r="O217" i="5"/>
  <c r="O218" i="5"/>
  <c r="O219" i="5"/>
  <c r="O220" i="5"/>
  <c r="O221" i="5"/>
  <c r="O222" i="5"/>
  <c r="O223" i="5"/>
  <c r="O224" i="5"/>
  <c r="O225" i="5"/>
  <c r="O226" i="5"/>
  <c r="O227" i="5"/>
  <c r="O228" i="5"/>
  <c r="O229" i="5"/>
  <c r="O230" i="5"/>
  <c r="O231" i="5"/>
  <c r="O232" i="5"/>
  <c r="O233" i="5"/>
  <c r="O234" i="5"/>
  <c r="O235" i="5"/>
  <c r="O236" i="5"/>
  <c r="O237" i="5"/>
  <c r="O238" i="5"/>
  <c r="O239" i="5"/>
  <c r="O240" i="5"/>
  <c r="O241" i="5"/>
  <c r="O242" i="5"/>
  <c r="O243" i="5"/>
  <c r="O244" i="5"/>
  <c r="O245" i="5"/>
  <c r="O246" i="5"/>
  <c r="O247" i="5"/>
  <c r="O248" i="5"/>
  <c r="O249" i="5"/>
  <c r="O250" i="5"/>
  <c r="O251" i="5"/>
  <c r="O252" i="5"/>
  <c r="O253" i="5"/>
  <c r="O254" i="5"/>
  <c r="O255" i="5"/>
  <c r="O256" i="5"/>
  <c r="O257" i="5"/>
  <c r="O258" i="5"/>
  <c r="O259" i="5"/>
  <c r="O260" i="5"/>
  <c r="O261" i="5"/>
  <c r="O262" i="5"/>
  <c r="O263" i="5"/>
  <c r="O264" i="5"/>
  <c r="O265" i="5"/>
  <c r="O266" i="5"/>
  <c r="O267" i="5"/>
  <c r="O268" i="5"/>
  <c r="O269" i="5"/>
  <c r="O270" i="5"/>
  <c r="O271" i="5"/>
  <c r="O272" i="5"/>
  <c r="O273" i="5"/>
  <c r="O274" i="5"/>
  <c r="O275" i="5"/>
  <c r="O276" i="5"/>
  <c r="O277" i="5"/>
  <c r="O278" i="5"/>
  <c r="O279" i="5"/>
  <c r="O280" i="5"/>
  <c r="O281" i="5"/>
  <c r="O282" i="5"/>
  <c r="O283" i="5"/>
  <c r="O284" i="5"/>
  <c r="O285" i="5"/>
  <c r="O286" i="5"/>
  <c r="O287" i="5"/>
  <c r="O288" i="5"/>
  <c r="O289" i="5"/>
  <c r="O290" i="5"/>
  <c r="O291" i="5"/>
  <c r="O292" i="5"/>
  <c r="O293" i="5"/>
  <c r="O294" i="5"/>
  <c r="O295" i="5"/>
  <c r="O296" i="5"/>
  <c r="O297" i="5"/>
  <c r="O298" i="5"/>
  <c r="O299" i="5"/>
  <c r="O300" i="5"/>
  <c r="O301" i="5"/>
  <c r="O302" i="5"/>
  <c r="O303" i="5"/>
  <c r="O304" i="5"/>
  <c r="O305" i="5"/>
  <c r="O306" i="5"/>
  <c r="O307" i="5"/>
  <c r="O308" i="5"/>
  <c r="O309" i="5"/>
  <c r="O310" i="5"/>
  <c r="O311" i="5"/>
  <c r="O312" i="5"/>
  <c r="O313" i="5"/>
  <c r="O314" i="5"/>
  <c r="O315" i="5"/>
  <c r="O316" i="5"/>
  <c r="O317" i="5"/>
  <c r="O318" i="5"/>
  <c r="O319" i="5"/>
  <c r="O320" i="5"/>
  <c r="O321" i="5"/>
  <c r="O322" i="5"/>
  <c r="O323" i="5"/>
  <c r="O324" i="5"/>
  <c r="O325" i="5"/>
  <c r="O326" i="5"/>
  <c r="O327" i="5"/>
  <c r="O328" i="5"/>
  <c r="O329" i="5"/>
  <c r="O330" i="5"/>
  <c r="O331" i="5"/>
  <c r="O332" i="5"/>
  <c r="O333" i="5"/>
  <c r="O334" i="5"/>
  <c r="O335" i="5"/>
  <c r="O336" i="5"/>
  <c r="O337" i="5"/>
  <c r="O338" i="5"/>
  <c r="O339" i="5"/>
  <c r="O340" i="5"/>
  <c r="O341" i="5"/>
  <c r="O342" i="5"/>
  <c r="O343" i="5"/>
  <c r="O344" i="5"/>
  <c r="O345" i="5"/>
  <c r="O346" i="5"/>
  <c r="O347" i="5"/>
  <c r="O348" i="5"/>
  <c r="O349" i="5"/>
  <c r="O350" i="5"/>
  <c r="O351" i="5"/>
  <c r="O352" i="5"/>
  <c r="O353" i="5"/>
  <c r="O354" i="5"/>
  <c r="O355" i="5"/>
  <c r="O356" i="5"/>
  <c r="O357" i="5"/>
  <c r="O358" i="5"/>
  <c r="O359" i="5"/>
  <c r="O360" i="5"/>
  <c r="O361" i="5"/>
  <c r="O362" i="5"/>
  <c r="O363" i="5"/>
  <c r="O364" i="5"/>
  <c r="O365" i="5"/>
  <c r="O366" i="5"/>
  <c r="O367" i="5"/>
  <c r="O368" i="5"/>
  <c r="O369" i="5"/>
  <c r="O370" i="5"/>
  <c r="O371" i="5"/>
  <c r="O372" i="5"/>
  <c r="O373" i="5"/>
  <c r="O374" i="5"/>
  <c r="O375" i="5"/>
  <c r="O376" i="5"/>
  <c r="O377" i="5"/>
  <c r="O378" i="5"/>
  <c r="O379" i="5"/>
  <c r="O380" i="5"/>
  <c r="O381" i="5"/>
  <c r="O382" i="5"/>
  <c r="O383" i="5"/>
  <c r="O384" i="5"/>
  <c r="O385" i="5"/>
  <c r="O386" i="5"/>
  <c r="O387" i="5"/>
  <c r="O388" i="5"/>
  <c r="O389" i="5"/>
  <c r="O390" i="5"/>
  <c r="O391" i="5"/>
  <c r="O392" i="5"/>
  <c r="O393" i="5"/>
  <c r="O394" i="5"/>
  <c r="O395" i="5"/>
  <c r="O396" i="5"/>
  <c r="O397" i="5"/>
  <c r="O398" i="5"/>
  <c r="O399" i="5"/>
  <c r="O400" i="5"/>
  <c r="O401" i="5"/>
  <c r="O402" i="5"/>
  <c r="O403" i="5"/>
  <c r="O404" i="5"/>
  <c r="O405" i="5"/>
  <c r="O406" i="5"/>
  <c r="O407" i="5"/>
  <c r="O408" i="5"/>
  <c r="O409" i="5"/>
  <c r="O410" i="5"/>
  <c r="O411" i="5"/>
  <c r="O412" i="5"/>
  <c r="O413" i="5"/>
  <c r="O414" i="5"/>
  <c r="O415" i="5"/>
  <c r="O416" i="5"/>
  <c r="O417" i="5"/>
  <c r="O418" i="5"/>
  <c r="O419" i="5"/>
  <c r="O420" i="5"/>
  <c r="O421" i="5"/>
  <c r="O422" i="5"/>
  <c r="O423" i="5"/>
  <c r="O424" i="5"/>
  <c r="O425" i="5"/>
  <c r="O426" i="5"/>
  <c r="O427" i="5"/>
  <c r="O428" i="5"/>
  <c r="O429" i="5"/>
  <c r="O430" i="5"/>
  <c r="O431" i="5"/>
  <c r="O432" i="5"/>
  <c r="O433" i="5"/>
  <c r="O434" i="5"/>
  <c r="O435" i="5"/>
  <c r="O436" i="5"/>
  <c r="O437" i="5"/>
  <c r="O438" i="5"/>
  <c r="O439" i="5"/>
  <c r="O440" i="5"/>
  <c r="O441" i="5"/>
  <c r="O442" i="5"/>
  <c r="O443" i="5"/>
  <c r="O444" i="5"/>
  <c r="O445" i="5"/>
  <c r="O446" i="5"/>
  <c r="O447" i="5"/>
  <c r="O448" i="5"/>
  <c r="O449" i="5"/>
  <c r="O450" i="5"/>
  <c r="O451" i="5"/>
  <c r="O452" i="5"/>
  <c r="O453" i="5"/>
  <c r="O454" i="5"/>
  <c r="O455" i="5"/>
  <c r="O456" i="5"/>
  <c r="O457" i="5"/>
  <c r="O458" i="5"/>
  <c r="O459" i="5"/>
  <c r="O460" i="5"/>
  <c r="O461" i="5"/>
  <c r="O462" i="5"/>
  <c r="O463" i="5"/>
  <c r="O464" i="5"/>
  <c r="O465" i="5"/>
  <c r="O466" i="5"/>
  <c r="O467" i="5"/>
  <c r="O468" i="5"/>
  <c r="O469" i="5"/>
  <c r="O470" i="5"/>
  <c r="O471" i="5"/>
  <c r="O472" i="5"/>
  <c r="O473" i="5"/>
  <c r="O474" i="5"/>
  <c r="O475" i="5"/>
  <c r="O476" i="5"/>
  <c r="O477" i="5"/>
  <c r="O478" i="5"/>
  <c r="O479" i="5"/>
  <c r="O480" i="5"/>
  <c r="O481" i="5"/>
  <c r="O482" i="5"/>
  <c r="O483" i="5"/>
  <c r="O484" i="5"/>
  <c r="O485" i="5"/>
  <c r="O486" i="5"/>
  <c r="O487" i="5"/>
  <c r="O488" i="5"/>
  <c r="O489" i="5"/>
  <c r="O490" i="5"/>
  <c r="O491" i="5"/>
  <c r="O492" i="5"/>
  <c r="O493" i="5"/>
  <c r="O494" i="5"/>
  <c r="O495" i="5"/>
  <c r="O496" i="5"/>
  <c r="O497" i="5"/>
  <c r="O498" i="5"/>
  <c r="O499" i="5"/>
  <c r="O500" i="5"/>
  <c r="O501" i="5"/>
  <c r="O502" i="5"/>
  <c r="O503" i="5"/>
  <c r="O504" i="5"/>
  <c r="O505" i="5"/>
  <c r="O506" i="5"/>
  <c r="O507" i="5"/>
  <c r="O508" i="5"/>
  <c r="O509" i="5"/>
  <c r="O510" i="5"/>
  <c r="O511" i="5"/>
  <c r="O512" i="5"/>
  <c r="O513" i="5"/>
  <c r="O514" i="5"/>
  <c r="O515" i="5"/>
  <c r="O516" i="5"/>
  <c r="O517" i="5"/>
  <c r="O518" i="5"/>
  <c r="O519" i="5"/>
  <c r="O520" i="5"/>
  <c r="O521" i="5"/>
  <c r="O522" i="5"/>
  <c r="O523" i="5"/>
  <c r="O524" i="5"/>
  <c r="O525" i="5"/>
  <c r="O526" i="5"/>
  <c r="O527" i="5"/>
  <c r="O528" i="5"/>
  <c r="O529" i="5"/>
  <c r="O530" i="5"/>
  <c r="O531" i="5"/>
  <c r="O532" i="5"/>
  <c r="O533" i="5"/>
  <c r="O534" i="5"/>
  <c r="O535" i="5"/>
  <c r="O536" i="5"/>
  <c r="O537" i="5"/>
  <c r="O538" i="5"/>
  <c r="O539" i="5"/>
  <c r="O540" i="5"/>
  <c r="O541" i="5"/>
  <c r="O542" i="5"/>
  <c r="O543" i="5"/>
  <c r="O544" i="5"/>
  <c r="O545" i="5"/>
  <c r="O546" i="5"/>
  <c r="O547" i="5"/>
  <c r="O548" i="5"/>
  <c r="O549" i="5"/>
  <c r="O550" i="5"/>
  <c r="O551" i="5"/>
  <c r="O552" i="5"/>
  <c r="O553" i="5"/>
  <c r="O554" i="5"/>
  <c r="O555" i="5"/>
  <c r="O556" i="5"/>
  <c r="O557" i="5"/>
  <c r="O558" i="5"/>
  <c r="O559" i="5"/>
  <c r="O560" i="5"/>
  <c r="O561" i="5"/>
  <c r="O562" i="5"/>
  <c r="O563" i="5"/>
  <c r="O564" i="5"/>
  <c r="O565" i="5"/>
  <c r="O566" i="5"/>
  <c r="O567" i="5"/>
  <c r="O568" i="5"/>
  <c r="O569" i="5"/>
  <c r="O570" i="5"/>
  <c r="O571" i="5"/>
  <c r="O572" i="5"/>
  <c r="O573" i="5"/>
  <c r="O574" i="5"/>
  <c r="O575" i="5"/>
  <c r="O576" i="5"/>
  <c r="O577" i="5"/>
  <c r="O578" i="5"/>
  <c r="O579" i="5"/>
  <c r="O580" i="5"/>
  <c r="O581" i="5"/>
  <c r="O582" i="5"/>
  <c r="O583" i="5"/>
  <c r="O584" i="5"/>
  <c r="O585" i="5"/>
  <c r="O586" i="5"/>
  <c r="O587" i="5"/>
  <c r="O588" i="5"/>
  <c r="O589" i="5"/>
  <c r="O590" i="5"/>
  <c r="O591" i="5"/>
  <c r="O592" i="5"/>
  <c r="O593" i="5"/>
  <c r="O594" i="5"/>
  <c r="O595" i="5"/>
  <c r="O596" i="5"/>
  <c r="O597" i="5"/>
  <c r="O598" i="5"/>
  <c r="O599" i="5"/>
  <c r="O600" i="5"/>
  <c r="O601" i="5"/>
  <c r="O602" i="5"/>
  <c r="O603" i="5"/>
  <c r="O604" i="5"/>
  <c r="O605" i="5"/>
  <c r="O606" i="5"/>
  <c r="O607" i="5"/>
  <c r="O608" i="5"/>
  <c r="O609" i="5"/>
  <c r="O610" i="5"/>
  <c r="O611" i="5"/>
  <c r="O612" i="5"/>
  <c r="O613" i="5"/>
  <c r="O614" i="5"/>
  <c r="O615" i="5"/>
  <c r="O616" i="5"/>
  <c r="O617" i="5"/>
  <c r="O618" i="5"/>
  <c r="O619" i="5"/>
  <c r="O620" i="5"/>
  <c r="O621" i="5"/>
  <c r="O622" i="5"/>
  <c r="O623" i="5"/>
  <c r="O624" i="5"/>
  <c r="O625" i="5"/>
  <c r="O626" i="5"/>
  <c r="O627" i="5"/>
  <c r="O628" i="5"/>
  <c r="O629" i="5"/>
  <c r="O630" i="5"/>
  <c r="O631" i="5"/>
  <c r="O632" i="5"/>
  <c r="O633" i="5"/>
  <c r="O634" i="5"/>
  <c r="O635" i="5"/>
  <c r="O636" i="5"/>
  <c r="O637" i="5"/>
  <c r="O638" i="5"/>
  <c r="O639" i="5"/>
  <c r="O640" i="5"/>
  <c r="O641" i="5"/>
  <c r="O642" i="5"/>
  <c r="O643" i="5"/>
  <c r="O644" i="5"/>
  <c r="O645" i="5"/>
  <c r="O646" i="5"/>
  <c r="O647" i="5"/>
  <c r="O648" i="5"/>
  <c r="O649" i="5"/>
  <c r="O650" i="5"/>
  <c r="O651" i="5"/>
  <c r="O652" i="5"/>
  <c r="O653" i="5"/>
  <c r="O654" i="5"/>
  <c r="O655" i="5"/>
  <c r="O656" i="5"/>
  <c r="O657" i="5"/>
  <c r="O658" i="5"/>
  <c r="O659" i="5"/>
  <c r="O660" i="5"/>
  <c r="O661" i="5"/>
  <c r="O662" i="5"/>
  <c r="O663" i="5"/>
  <c r="O664" i="5"/>
  <c r="O665" i="5"/>
  <c r="O666" i="5"/>
  <c r="O667" i="5"/>
  <c r="O668" i="5"/>
  <c r="O669" i="5"/>
  <c r="O670" i="5"/>
  <c r="O671" i="5"/>
  <c r="O672" i="5"/>
  <c r="O673" i="5"/>
  <c r="O674" i="5"/>
  <c r="O675" i="5"/>
  <c r="O676" i="5"/>
  <c r="O677" i="5"/>
  <c r="O678" i="5"/>
  <c r="O679" i="5"/>
  <c r="O680" i="5"/>
  <c r="O681" i="5"/>
  <c r="O682" i="5"/>
  <c r="O683" i="5"/>
  <c r="O684" i="5"/>
  <c r="O685" i="5"/>
  <c r="O686" i="5"/>
  <c r="O687" i="5"/>
  <c r="O688" i="5"/>
  <c r="O689" i="5"/>
  <c r="O690" i="5"/>
  <c r="O691" i="5"/>
  <c r="O692" i="5"/>
  <c r="O693" i="5"/>
  <c r="O694" i="5"/>
  <c r="O695" i="5"/>
  <c r="O696" i="5"/>
  <c r="O697" i="5"/>
  <c r="O698" i="5"/>
  <c r="O699" i="5"/>
  <c r="O700" i="5"/>
  <c r="O701" i="5"/>
  <c r="O702" i="5"/>
  <c r="O703" i="5"/>
  <c r="O704" i="5"/>
  <c r="O705" i="5"/>
  <c r="O706" i="5"/>
  <c r="O707" i="5"/>
  <c r="O708" i="5"/>
  <c r="O709" i="5"/>
  <c r="O710" i="5"/>
  <c r="O711" i="5"/>
  <c r="O712" i="5"/>
  <c r="O713" i="5"/>
  <c r="O714" i="5"/>
  <c r="O715" i="5"/>
  <c r="O716" i="5"/>
  <c r="O717" i="5"/>
  <c r="O718" i="5"/>
  <c r="O719" i="5"/>
  <c r="O720" i="5"/>
  <c r="O721" i="5"/>
  <c r="O722" i="5"/>
  <c r="O723" i="5"/>
  <c r="O724" i="5"/>
  <c r="O725" i="5"/>
  <c r="O726" i="5"/>
  <c r="O727" i="5"/>
  <c r="O728" i="5"/>
  <c r="O729" i="5"/>
  <c r="O730" i="5"/>
  <c r="O731" i="5"/>
  <c r="O732" i="5"/>
  <c r="O733" i="5"/>
  <c r="O734" i="5"/>
  <c r="O735" i="5"/>
  <c r="O736" i="5"/>
  <c r="O737" i="5"/>
  <c r="O738" i="5"/>
  <c r="O739" i="5"/>
  <c r="O740" i="5"/>
  <c r="O741" i="5"/>
  <c r="O742" i="5"/>
  <c r="O743" i="5"/>
  <c r="O744" i="5"/>
  <c r="O745" i="5"/>
  <c r="O746" i="5"/>
  <c r="O747" i="5"/>
  <c r="O748" i="5"/>
  <c r="O749" i="5"/>
  <c r="O750" i="5"/>
  <c r="O751" i="5"/>
  <c r="O752" i="5"/>
  <c r="O753" i="5"/>
  <c r="O754" i="5"/>
  <c r="O755" i="5"/>
  <c r="O756" i="5"/>
  <c r="O757" i="5"/>
  <c r="O758" i="5"/>
  <c r="O759" i="5"/>
  <c r="O760" i="5"/>
  <c r="O761" i="5"/>
  <c r="O762" i="5"/>
  <c r="O763" i="5"/>
  <c r="O764" i="5"/>
  <c r="O765" i="5"/>
  <c r="O766" i="5"/>
  <c r="O767" i="5"/>
  <c r="O768" i="5"/>
  <c r="O769" i="5"/>
  <c r="O770" i="5"/>
  <c r="O771" i="5"/>
  <c r="O772" i="5"/>
  <c r="O773" i="5"/>
  <c r="O774" i="5"/>
  <c r="O775" i="5"/>
  <c r="O776" i="5"/>
  <c r="O777" i="5"/>
  <c r="O778" i="5"/>
  <c r="O779" i="5"/>
  <c r="O780" i="5"/>
  <c r="O781" i="5"/>
  <c r="O782" i="5"/>
  <c r="O783" i="5"/>
  <c r="O784" i="5"/>
  <c r="O785" i="5"/>
  <c r="O786" i="5"/>
  <c r="O787" i="5"/>
  <c r="O788" i="5"/>
  <c r="O789" i="5"/>
  <c r="O790" i="5"/>
  <c r="O791" i="5"/>
  <c r="O792" i="5"/>
  <c r="O793" i="5"/>
  <c r="O794" i="5"/>
  <c r="O795" i="5"/>
  <c r="O796" i="5"/>
  <c r="O797" i="5"/>
  <c r="O798" i="5"/>
  <c r="O799" i="5"/>
  <c r="O800" i="5"/>
  <c r="O801" i="5"/>
  <c r="O802" i="5"/>
  <c r="O803" i="5"/>
  <c r="O804" i="5"/>
  <c r="O805" i="5"/>
  <c r="O806" i="5"/>
  <c r="O807" i="5"/>
  <c r="O808" i="5"/>
  <c r="O809" i="5"/>
  <c r="O810" i="5"/>
  <c r="O811" i="5"/>
  <c r="O812" i="5"/>
  <c r="O813" i="5"/>
  <c r="O814" i="5"/>
  <c r="O815" i="5"/>
  <c r="O816" i="5"/>
  <c r="O817" i="5"/>
  <c r="O818" i="5"/>
  <c r="O819" i="5"/>
  <c r="O820" i="5"/>
  <c r="O821" i="5"/>
  <c r="O822" i="5"/>
  <c r="O823" i="5"/>
  <c r="O824" i="5"/>
  <c r="O825" i="5"/>
  <c r="O826" i="5"/>
  <c r="O827" i="5"/>
  <c r="O828" i="5"/>
  <c r="O829" i="5"/>
  <c r="O830" i="5"/>
  <c r="O831" i="5"/>
  <c r="O832" i="5"/>
  <c r="O833" i="5"/>
  <c r="O834" i="5"/>
  <c r="O835" i="5"/>
  <c r="O836" i="5"/>
  <c r="O837" i="5"/>
  <c r="O838" i="5"/>
  <c r="O839" i="5"/>
  <c r="O840" i="5"/>
  <c r="O841" i="5"/>
  <c r="O842" i="5"/>
  <c r="O843" i="5"/>
  <c r="O844" i="5"/>
  <c r="O845" i="5"/>
  <c r="O846" i="5"/>
  <c r="O847" i="5"/>
  <c r="O848" i="5"/>
  <c r="O849" i="5"/>
  <c r="O850" i="5"/>
  <c r="O851" i="5"/>
  <c r="O852" i="5"/>
  <c r="O853" i="5"/>
  <c r="O854" i="5"/>
  <c r="O855" i="5"/>
  <c r="O856" i="5"/>
  <c r="O857" i="5"/>
  <c r="O858" i="5"/>
  <c r="O859" i="5"/>
  <c r="O860" i="5"/>
  <c r="O861" i="5"/>
  <c r="O862" i="5"/>
  <c r="O863" i="5"/>
  <c r="O864" i="5"/>
  <c r="O865" i="5"/>
  <c r="O866" i="5"/>
  <c r="O867" i="5"/>
  <c r="O868" i="5"/>
  <c r="O869" i="5"/>
  <c r="O870" i="5"/>
  <c r="O871" i="5"/>
  <c r="O872" i="5"/>
  <c r="O873" i="5"/>
  <c r="O874" i="5"/>
  <c r="O875" i="5"/>
  <c r="O876" i="5"/>
  <c r="O877" i="5"/>
  <c r="O878" i="5"/>
  <c r="O879" i="5"/>
  <c r="O880" i="5"/>
  <c r="O881" i="5"/>
  <c r="O882" i="5"/>
  <c r="O883" i="5"/>
  <c r="O884" i="5"/>
  <c r="O885" i="5"/>
  <c r="O886" i="5"/>
  <c r="O887" i="5"/>
  <c r="O888" i="5"/>
  <c r="O889" i="5"/>
  <c r="O890" i="5"/>
  <c r="O891" i="5"/>
  <c r="O892" i="5"/>
  <c r="O893" i="5"/>
  <c r="O894" i="5"/>
  <c r="O895" i="5"/>
  <c r="O896" i="5"/>
  <c r="O897" i="5"/>
  <c r="O898" i="5"/>
  <c r="O899" i="5"/>
  <c r="O900" i="5"/>
  <c r="O901" i="5"/>
  <c r="O902" i="5"/>
  <c r="O903" i="5"/>
  <c r="O904" i="5"/>
  <c r="O905" i="5"/>
  <c r="O906" i="5"/>
  <c r="O907" i="5"/>
  <c r="O908" i="5"/>
  <c r="O909" i="5"/>
  <c r="O910" i="5"/>
  <c r="O911" i="5"/>
  <c r="O912" i="5"/>
  <c r="O913" i="5"/>
  <c r="O914" i="5"/>
  <c r="O915" i="5"/>
  <c r="O916" i="5"/>
  <c r="O917" i="5"/>
  <c r="O918" i="5"/>
  <c r="O919" i="5"/>
  <c r="O920" i="5"/>
  <c r="O921" i="5"/>
  <c r="O922" i="5"/>
  <c r="O923" i="5"/>
  <c r="O924" i="5"/>
  <c r="O925" i="5"/>
  <c r="O926" i="5"/>
  <c r="O927" i="5"/>
  <c r="O928" i="5"/>
  <c r="O929" i="5"/>
  <c r="O930" i="5"/>
  <c r="O931" i="5"/>
  <c r="O932" i="5"/>
  <c r="O933" i="5"/>
  <c r="O934" i="5"/>
  <c r="O935" i="5"/>
  <c r="O936" i="5"/>
  <c r="O937" i="5"/>
  <c r="O938" i="5"/>
  <c r="O939" i="5"/>
  <c r="O940" i="5"/>
  <c r="O941" i="5"/>
  <c r="O942" i="5"/>
  <c r="O943" i="5"/>
  <c r="O944" i="5"/>
  <c r="O945" i="5"/>
  <c r="O946" i="5"/>
  <c r="O947" i="5"/>
  <c r="O948" i="5"/>
  <c r="O949" i="5"/>
  <c r="O950" i="5"/>
  <c r="O951" i="5"/>
  <c r="O952" i="5"/>
  <c r="O953" i="5"/>
  <c r="O954" i="5"/>
  <c r="O955" i="5"/>
  <c r="O956" i="5"/>
  <c r="O957" i="5"/>
  <c r="O958" i="5"/>
  <c r="O959" i="5"/>
  <c r="O960" i="5"/>
  <c r="O961" i="5"/>
  <c r="O962" i="5"/>
  <c r="O963" i="5"/>
  <c r="O964" i="5"/>
  <c r="O965" i="5"/>
  <c r="O966" i="5"/>
  <c r="O967" i="5"/>
  <c r="O968" i="5"/>
  <c r="O969" i="5"/>
  <c r="O970" i="5"/>
  <c r="O971" i="5"/>
  <c r="O972" i="5"/>
  <c r="O973" i="5"/>
  <c r="O974" i="5"/>
  <c r="O975" i="5"/>
  <c r="O976" i="5"/>
  <c r="O977" i="5"/>
  <c r="O978" i="5"/>
  <c r="O979" i="5"/>
  <c r="O980" i="5"/>
  <c r="O981" i="5"/>
  <c r="O982" i="5"/>
  <c r="O983" i="5"/>
  <c r="O984" i="5"/>
  <c r="O985" i="5"/>
  <c r="O986" i="5"/>
  <c r="O987" i="5"/>
  <c r="O988" i="5"/>
  <c r="O989" i="5"/>
  <c r="O990" i="5"/>
  <c r="O991" i="5"/>
  <c r="O992" i="5"/>
  <c r="O993" i="5"/>
  <c r="O994" i="5"/>
  <c r="O995" i="5"/>
  <c r="O996" i="5"/>
  <c r="O997" i="5"/>
  <c r="O998" i="5"/>
  <c r="O999" i="5"/>
  <c r="O1000" i="5"/>
  <c r="O1001" i="5"/>
  <c r="O2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94" i="5"/>
  <c r="N95" i="5"/>
  <c r="N96" i="5"/>
  <c r="N97" i="5"/>
  <c r="N98" i="5"/>
  <c r="N99" i="5"/>
  <c r="N100" i="5"/>
  <c r="N101" i="5"/>
  <c r="N102" i="5"/>
  <c r="N103" i="5"/>
  <c r="N104" i="5"/>
  <c r="N105" i="5"/>
  <c r="N106" i="5"/>
  <c r="N107" i="5"/>
  <c r="N108" i="5"/>
  <c r="N109" i="5"/>
  <c r="N110" i="5"/>
  <c r="N111" i="5"/>
  <c r="N112" i="5"/>
  <c r="N113" i="5"/>
  <c r="N114" i="5"/>
  <c r="N115" i="5"/>
  <c r="N116" i="5"/>
  <c r="N117" i="5"/>
  <c r="N118" i="5"/>
  <c r="N119" i="5"/>
  <c r="N120" i="5"/>
  <c r="N121" i="5"/>
  <c r="N122" i="5"/>
  <c r="N123" i="5"/>
  <c r="N124" i="5"/>
  <c r="N125" i="5"/>
  <c r="N126" i="5"/>
  <c r="N127" i="5"/>
  <c r="N128" i="5"/>
  <c r="N129" i="5"/>
  <c r="N130" i="5"/>
  <c r="N131" i="5"/>
  <c r="N132" i="5"/>
  <c r="N133" i="5"/>
  <c r="N134" i="5"/>
  <c r="N135" i="5"/>
  <c r="N136" i="5"/>
  <c r="N137" i="5"/>
  <c r="N138" i="5"/>
  <c r="N139" i="5"/>
  <c r="N140" i="5"/>
  <c r="N141" i="5"/>
  <c r="N142" i="5"/>
  <c r="N143" i="5"/>
  <c r="N144" i="5"/>
  <c r="N145" i="5"/>
  <c r="N146" i="5"/>
  <c r="N147" i="5"/>
  <c r="N148" i="5"/>
  <c r="N149" i="5"/>
  <c r="N150" i="5"/>
  <c r="N151" i="5"/>
  <c r="N152" i="5"/>
  <c r="N153" i="5"/>
  <c r="N154" i="5"/>
  <c r="N155" i="5"/>
  <c r="N156" i="5"/>
  <c r="N157" i="5"/>
  <c r="N158" i="5"/>
  <c r="N159" i="5"/>
  <c r="N160" i="5"/>
  <c r="N161" i="5"/>
  <c r="N162" i="5"/>
  <c r="N163" i="5"/>
  <c r="N164" i="5"/>
  <c r="N165" i="5"/>
  <c r="N166" i="5"/>
  <c r="N167" i="5"/>
  <c r="N168" i="5"/>
  <c r="N169" i="5"/>
  <c r="N170" i="5"/>
  <c r="N171" i="5"/>
  <c r="N172" i="5"/>
  <c r="N173" i="5"/>
  <c r="N174" i="5"/>
  <c r="N175" i="5"/>
  <c r="N176" i="5"/>
  <c r="N177" i="5"/>
  <c r="N178" i="5"/>
  <c r="N179" i="5"/>
  <c r="N180" i="5"/>
  <c r="N181" i="5"/>
  <c r="N182" i="5"/>
  <c r="N183" i="5"/>
  <c r="N184" i="5"/>
  <c r="N185" i="5"/>
  <c r="N186" i="5"/>
  <c r="N187" i="5"/>
  <c r="N188" i="5"/>
  <c r="N189" i="5"/>
  <c r="N190" i="5"/>
  <c r="N191" i="5"/>
  <c r="N192" i="5"/>
  <c r="N193" i="5"/>
  <c r="N194" i="5"/>
  <c r="N195" i="5"/>
  <c r="N196" i="5"/>
  <c r="N197" i="5"/>
  <c r="N198" i="5"/>
  <c r="N199" i="5"/>
  <c r="N200" i="5"/>
  <c r="N201" i="5"/>
  <c r="N202" i="5"/>
  <c r="N203" i="5"/>
  <c r="N204" i="5"/>
  <c r="N205" i="5"/>
  <c r="N206" i="5"/>
  <c r="N207" i="5"/>
  <c r="N208" i="5"/>
  <c r="N209" i="5"/>
  <c r="N210" i="5"/>
  <c r="N211" i="5"/>
  <c r="N212" i="5"/>
  <c r="N213" i="5"/>
  <c r="N214" i="5"/>
  <c r="N215" i="5"/>
  <c r="N216" i="5"/>
  <c r="N217" i="5"/>
  <c r="N218" i="5"/>
  <c r="N219" i="5"/>
  <c r="N220" i="5"/>
  <c r="N221" i="5"/>
  <c r="N222" i="5"/>
  <c r="N223" i="5"/>
  <c r="N224" i="5"/>
  <c r="N225" i="5"/>
  <c r="N226" i="5"/>
  <c r="N227" i="5"/>
  <c r="N228" i="5"/>
  <c r="N229" i="5"/>
  <c r="N230" i="5"/>
  <c r="N231" i="5"/>
  <c r="N232" i="5"/>
  <c r="N233" i="5"/>
  <c r="N234" i="5"/>
  <c r="N235" i="5"/>
  <c r="N236" i="5"/>
  <c r="N237" i="5"/>
  <c r="N238" i="5"/>
  <c r="N239" i="5"/>
  <c r="N240" i="5"/>
  <c r="N241" i="5"/>
  <c r="N242" i="5"/>
  <c r="N243" i="5"/>
  <c r="N244" i="5"/>
  <c r="N245" i="5"/>
  <c r="N246" i="5"/>
  <c r="N247" i="5"/>
  <c r="N248" i="5"/>
  <c r="N249" i="5"/>
  <c r="N250" i="5"/>
  <c r="N251" i="5"/>
  <c r="N252" i="5"/>
  <c r="N253" i="5"/>
  <c r="N254" i="5"/>
  <c r="N255" i="5"/>
  <c r="N256" i="5"/>
  <c r="N257" i="5"/>
  <c r="N258" i="5"/>
  <c r="N259" i="5"/>
  <c r="N260" i="5"/>
  <c r="N261" i="5"/>
  <c r="N262" i="5"/>
  <c r="N263" i="5"/>
  <c r="N264" i="5"/>
  <c r="N265" i="5"/>
  <c r="N266" i="5"/>
  <c r="N267" i="5"/>
  <c r="N268" i="5"/>
  <c r="N269" i="5"/>
  <c r="N270" i="5"/>
  <c r="N271" i="5"/>
  <c r="N272" i="5"/>
  <c r="N273" i="5"/>
  <c r="N274" i="5"/>
  <c r="N275" i="5"/>
  <c r="N276" i="5"/>
  <c r="N277" i="5"/>
  <c r="N278" i="5"/>
  <c r="N279" i="5"/>
  <c r="N280" i="5"/>
  <c r="N281" i="5"/>
  <c r="N282" i="5"/>
  <c r="N283" i="5"/>
  <c r="N284" i="5"/>
  <c r="N285" i="5"/>
  <c r="N286" i="5"/>
  <c r="N287" i="5"/>
  <c r="N288" i="5"/>
  <c r="N289" i="5"/>
  <c r="N290" i="5"/>
  <c r="N291" i="5"/>
  <c r="N292" i="5"/>
  <c r="N293" i="5"/>
  <c r="N294" i="5"/>
  <c r="N295" i="5"/>
  <c r="N296" i="5"/>
  <c r="N297" i="5"/>
  <c r="N298" i="5"/>
  <c r="N299" i="5"/>
  <c r="N300" i="5"/>
  <c r="N301" i="5"/>
  <c r="N302" i="5"/>
  <c r="N303" i="5"/>
  <c r="N304" i="5"/>
  <c r="N305" i="5"/>
  <c r="N306" i="5"/>
  <c r="N307" i="5"/>
  <c r="N308" i="5"/>
  <c r="N309" i="5"/>
  <c r="N310" i="5"/>
  <c r="N311" i="5"/>
  <c r="N312" i="5"/>
  <c r="N313" i="5"/>
  <c r="N314" i="5"/>
  <c r="N315" i="5"/>
  <c r="N316" i="5"/>
  <c r="N317" i="5"/>
  <c r="N318" i="5"/>
  <c r="N319" i="5"/>
  <c r="N320" i="5"/>
  <c r="N321" i="5"/>
  <c r="N322" i="5"/>
  <c r="N323" i="5"/>
  <c r="N324" i="5"/>
  <c r="N325" i="5"/>
  <c r="N326" i="5"/>
  <c r="N327" i="5"/>
  <c r="N328" i="5"/>
  <c r="N329" i="5"/>
  <c r="N330" i="5"/>
  <c r="N331" i="5"/>
  <c r="N332" i="5"/>
  <c r="N333" i="5"/>
  <c r="N334" i="5"/>
  <c r="N335" i="5"/>
  <c r="N336" i="5"/>
  <c r="N337" i="5"/>
  <c r="N338" i="5"/>
  <c r="N339" i="5"/>
  <c r="N340" i="5"/>
  <c r="N341" i="5"/>
  <c r="N342" i="5"/>
  <c r="N343" i="5"/>
  <c r="N344" i="5"/>
  <c r="N345" i="5"/>
  <c r="N346" i="5"/>
  <c r="N347" i="5"/>
  <c r="N348" i="5"/>
  <c r="N349" i="5"/>
  <c r="N350" i="5"/>
  <c r="N351" i="5"/>
  <c r="N352" i="5"/>
  <c r="N353" i="5"/>
  <c r="N354" i="5"/>
  <c r="N355" i="5"/>
  <c r="N356" i="5"/>
  <c r="N357" i="5"/>
  <c r="N358" i="5"/>
  <c r="N359" i="5"/>
  <c r="N360" i="5"/>
  <c r="N361" i="5"/>
  <c r="N362" i="5"/>
  <c r="N363" i="5"/>
  <c r="N364" i="5"/>
  <c r="N365" i="5"/>
  <c r="N366" i="5"/>
  <c r="N367" i="5"/>
  <c r="N368" i="5"/>
  <c r="N369" i="5"/>
  <c r="N370" i="5"/>
  <c r="N371" i="5"/>
  <c r="N372" i="5"/>
  <c r="N373" i="5"/>
  <c r="N374" i="5"/>
  <c r="N375" i="5"/>
  <c r="N376" i="5"/>
  <c r="N377" i="5"/>
  <c r="N378" i="5"/>
  <c r="N379" i="5"/>
  <c r="N380" i="5"/>
  <c r="N381" i="5"/>
  <c r="N382" i="5"/>
  <c r="N383" i="5"/>
  <c r="N384" i="5"/>
  <c r="N385" i="5"/>
  <c r="N386" i="5"/>
  <c r="N387" i="5"/>
  <c r="N388" i="5"/>
  <c r="N389" i="5"/>
  <c r="N390" i="5"/>
  <c r="N391" i="5"/>
  <c r="N392" i="5"/>
  <c r="N393" i="5"/>
  <c r="N394" i="5"/>
  <c r="N395" i="5"/>
  <c r="N396" i="5"/>
  <c r="N397" i="5"/>
  <c r="N398" i="5"/>
  <c r="N399" i="5"/>
  <c r="N400" i="5"/>
  <c r="N401" i="5"/>
  <c r="N402" i="5"/>
  <c r="N403" i="5"/>
  <c r="N404" i="5"/>
  <c r="N405" i="5"/>
  <c r="N406" i="5"/>
  <c r="N407" i="5"/>
  <c r="N408" i="5"/>
  <c r="N409" i="5"/>
  <c r="N410" i="5"/>
  <c r="N411" i="5"/>
  <c r="N412" i="5"/>
  <c r="N413" i="5"/>
  <c r="N414" i="5"/>
  <c r="N415" i="5"/>
  <c r="N416" i="5"/>
  <c r="N417" i="5"/>
  <c r="N418" i="5"/>
  <c r="N419" i="5"/>
  <c r="N420" i="5"/>
  <c r="N421" i="5"/>
  <c r="N422" i="5"/>
  <c r="N423" i="5"/>
  <c r="N424" i="5"/>
  <c r="N425" i="5"/>
  <c r="N426" i="5"/>
  <c r="N427" i="5"/>
  <c r="N428" i="5"/>
  <c r="N429" i="5"/>
  <c r="N430" i="5"/>
  <c r="N431" i="5"/>
  <c r="N432" i="5"/>
  <c r="N433" i="5"/>
  <c r="N434" i="5"/>
  <c r="N435" i="5"/>
  <c r="N436" i="5"/>
  <c r="N437" i="5"/>
  <c r="N438" i="5"/>
  <c r="N439" i="5"/>
  <c r="N440" i="5"/>
  <c r="N441" i="5"/>
  <c r="N442" i="5"/>
  <c r="N443" i="5"/>
  <c r="N444" i="5"/>
  <c r="N445" i="5"/>
  <c r="N446" i="5"/>
  <c r="N447" i="5"/>
  <c r="N448" i="5"/>
  <c r="N449" i="5"/>
  <c r="N450" i="5"/>
  <c r="N451" i="5"/>
  <c r="N452" i="5"/>
  <c r="N453" i="5"/>
  <c r="N454" i="5"/>
  <c r="N455" i="5"/>
  <c r="N456" i="5"/>
  <c r="N457" i="5"/>
  <c r="N458" i="5"/>
  <c r="N459" i="5"/>
  <c r="N460" i="5"/>
  <c r="N461" i="5"/>
  <c r="N462" i="5"/>
  <c r="N463" i="5"/>
  <c r="N464" i="5"/>
  <c r="N465" i="5"/>
  <c r="N466" i="5"/>
  <c r="N467" i="5"/>
  <c r="N468" i="5"/>
  <c r="N469" i="5"/>
  <c r="N470" i="5"/>
  <c r="N471" i="5"/>
  <c r="N472" i="5"/>
  <c r="N473" i="5"/>
  <c r="N474" i="5"/>
  <c r="N475" i="5"/>
  <c r="N476" i="5"/>
  <c r="N477" i="5"/>
  <c r="N478" i="5"/>
  <c r="N479" i="5"/>
  <c r="N480" i="5"/>
  <c r="N481" i="5"/>
  <c r="N482" i="5"/>
  <c r="N483" i="5"/>
  <c r="N484" i="5"/>
  <c r="N485" i="5"/>
  <c r="N486" i="5"/>
  <c r="N487" i="5"/>
  <c r="N488" i="5"/>
  <c r="N489" i="5"/>
  <c r="N490" i="5"/>
  <c r="N491" i="5"/>
  <c r="N492" i="5"/>
  <c r="N493" i="5"/>
  <c r="N494" i="5"/>
  <c r="N495" i="5"/>
  <c r="N496" i="5"/>
  <c r="N497" i="5"/>
  <c r="N498" i="5"/>
  <c r="N499" i="5"/>
  <c r="N500" i="5"/>
  <c r="N501" i="5"/>
  <c r="N502" i="5"/>
  <c r="N503" i="5"/>
  <c r="N504" i="5"/>
  <c r="N505" i="5"/>
  <c r="N506" i="5"/>
  <c r="N507" i="5"/>
  <c r="N508" i="5"/>
  <c r="N509" i="5"/>
  <c r="N510" i="5"/>
  <c r="N511" i="5"/>
  <c r="N512" i="5"/>
  <c r="N513" i="5"/>
  <c r="N514" i="5"/>
  <c r="N515" i="5"/>
  <c r="N516" i="5"/>
  <c r="N517" i="5"/>
  <c r="N518" i="5"/>
  <c r="N519" i="5"/>
  <c r="N520" i="5"/>
  <c r="N521" i="5"/>
  <c r="N522" i="5"/>
  <c r="N523" i="5"/>
  <c r="N524" i="5"/>
  <c r="N525" i="5"/>
  <c r="N526" i="5"/>
  <c r="N527" i="5"/>
  <c r="N528" i="5"/>
  <c r="N529" i="5"/>
  <c r="N530" i="5"/>
  <c r="N531" i="5"/>
  <c r="N532" i="5"/>
  <c r="N533" i="5"/>
  <c r="N534" i="5"/>
  <c r="N535" i="5"/>
  <c r="N536" i="5"/>
  <c r="N537" i="5"/>
  <c r="N538" i="5"/>
  <c r="N539" i="5"/>
  <c r="N540" i="5"/>
  <c r="N541" i="5"/>
  <c r="N542" i="5"/>
  <c r="N543" i="5"/>
  <c r="N544" i="5"/>
  <c r="N545" i="5"/>
  <c r="N546" i="5"/>
  <c r="N547" i="5"/>
  <c r="N548" i="5"/>
  <c r="N549" i="5"/>
  <c r="N550" i="5"/>
  <c r="N551" i="5"/>
  <c r="N552" i="5"/>
  <c r="N553" i="5"/>
  <c r="N554" i="5"/>
  <c r="N555" i="5"/>
  <c r="N556" i="5"/>
  <c r="N557" i="5"/>
  <c r="N558" i="5"/>
  <c r="N559" i="5"/>
  <c r="N560" i="5"/>
  <c r="N561" i="5"/>
  <c r="N562" i="5"/>
  <c r="N563" i="5"/>
  <c r="N564" i="5"/>
  <c r="N565" i="5"/>
  <c r="N566" i="5"/>
  <c r="N567" i="5"/>
  <c r="N568" i="5"/>
  <c r="N569" i="5"/>
  <c r="N570" i="5"/>
  <c r="N571" i="5"/>
  <c r="N572" i="5"/>
  <c r="N573" i="5"/>
  <c r="N574" i="5"/>
  <c r="N575" i="5"/>
  <c r="N576" i="5"/>
  <c r="N577" i="5"/>
  <c r="N578" i="5"/>
  <c r="N579" i="5"/>
  <c r="N580" i="5"/>
  <c r="N581" i="5"/>
  <c r="N582" i="5"/>
  <c r="N583" i="5"/>
  <c r="N584" i="5"/>
  <c r="N585" i="5"/>
  <c r="N586" i="5"/>
  <c r="N587" i="5"/>
  <c r="N588" i="5"/>
  <c r="N589" i="5"/>
  <c r="N590" i="5"/>
  <c r="N591" i="5"/>
  <c r="N592" i="5"/>
  <c r="N593" i="5"/>
  <c r="N594" i="5"/>
  <c r="N595" i="5"/>
  <c r="N596" i="5"/>
  <c r="N597" i="5"/>
  <c r="N598" i="5"/>
  <c r="N599" i="5"/>
  <c r="N600" i="5"/>
  <c r="N601" i="5"/>
  <c r="N602" i="5"/>
  <c r="N603" i="5"/>
  <c r="N604" i="5"/>
  <c r="N605" i="5"/>
  <c r="N606" i="5"/>
  <c r="N607" i="5"/>
  <c r="N608" i="5"/>
  <c r="N609" i="5"/>
  <c r="N610" i="5"/>
  <c r="N611" i="5"/>
  <c r="N612" i="5"/>
  <c r="N613" i="5"/>
  <c r="N614" i="5"/>
  <c r="N615" i="5"/>
  <c r="N616" i="5"/>
  <c r="N617" i="5"/>
  <c r="N618" i="5"/>
  <c r="N619" i="5"/>
  <c r="N620" i="5"/>
  <c r="N621" i="5"/>
  <c r="N622" i="5"/>
  <c r="N623" i="5"/>
  <c r="N624" i="5"/>
  <c r="N625" i="5"/>
  <c r="N626" i="5"/>
  <c r="N627" i="5"/>
  <c r="N628" i="5"/>
  <c r="N629" i="5"/>
  <c r="N630" i="5"/>
  <c r="N631" i="5"/>
  <c r="N632" i="5"/>
  <c r="N633" i="5"/>
  <c r="N634" i="5"/>
  <c r="N635" i="5"/>
  <c r="N636" i="5"/>
  <c r="N637" i="5"/>
  <c r="N638" i="5"/>
  <c r="N639" i="5"/>
  <c r="N640" i="5"/>
  <c r="N641" i="5"/>
  <c r="N642" i="5"/>
  <c r="N643" i="5"/>
  <c r="N644" i="5"/>
  <c r="N645" i="5"/>
  <c r="N646" i="5"/>
  <c r="N647" i="5"/>
  <c r="N648" i="5"/>
  <c r="N649" i="5"/>
  <c r="N650" i="5"/>
  <c r="N651" i="5"/>
  <c r="N652" i="5"/>
  <c r="N653" i="5"/>
  <c r="N654" i="5"/>
  <c r="N655" i="5"/>
  <c r="N656" i="5"/>
  <c r="N657" i="5"/>
  <c r="N658" i="5"/>
  <c r="N659" i="5"/>
  <c r="N660" i="5"/>
  <c r="N661" i="5"/>
  <c r="N662" i="5"/>
  <c r="N663" i="5"/>
  <c r="N664" i="5"/>
  <c r="N665" i="5"/>
  <c r="N666" i="5"/>
  <c r="N667" i="5"/>
  <c r="N668" i="5"/>
  <c r="N669" i="5"/>
  <c r="N670" i="5"/>
  <c r="N671" i="5"/>
  <c r="N672" i="5"/>
  <c r="N673" i="5"/>
  <c r="N674" i="5"/>
  <c r="N675" i="5"/>
  <c r="N676" i="5"/>
  <c r="N677" i="5"/>
  <c r="N678" i="5"/>
  <c r="N679" i="5"/>
  <c r="N680" i="5"/>
  <c r="N681" i="5"/>
  <c r="N682" i="5"/>
  <c r="N683" i="5"/>
  <c r="N684" i="5"/>
  <c r="N685" i="5"/>
  <c r="N686" i="5"/>
  <c r="N687" i="5"/>
  <c r="N688" i="5"/>
  <c r="N689" i="5"/>
  <c r="N690" i="5"/>
  <c r="N691" i="5"/>
  <c r="N692" i="5"/>
  <c r="N693" i="5"/>
  <c r="N694" i="5"/>
  <c r="N695" i="5"/>
  <c r="N696" i="5"/>
  <c r="N697" i="5"/>
  <c r="N698" i="5"/>
  <c r="N699" i="5"/>
  <c r="N700" i="5"/>
  <c r="N701" i="5"/>
  <c r="N702" i="5"/>
  <c r="N703" i="5"/>
  <c r="N704" i="5"/>
  <c r="N705" i="5"/>
  <c r="N706" i="5"/>
  <c r="N707" i="5"/>
  <c r="N708" i="5"/>
  <c r="N709" i="5"/>
  <c r="N710" i="5"/>
  <c r="N711" i="5"/>
  <c r="N712" i="5"/>
  <c r="N713" i="5"/>
  <c r="N714" i="5"/>
  <c r="N715" i="5"/>
  <c r="N716" i="5"/>
  <c r="N717" i="5"/>
  <c r="N718" i="5"/>
  <c r="N719" i="5"/>
  <c r="N720" i="5"/>
  <c r="N721" i="5"/>
  <c r="N722" i="5"/>
  <c r="N723" i="5"/>
  <c r="N724" i="5"/>
  <c r="N725" i="5"/>
  <c r="N726" i="5"/>
  <c r="N727" i="5"/>
  <c r="N728" i="5"/>
  <c r="N729" i="5"/>
  <c r="N730" i="5"/>
  <c r="N731" i="5"/>
  <c r="N732" i="5"/>
  <c r="N733" i="5"/>
  <c r="N734" i="5"/>
  <c r="N735" i="5"/>
  <c r="N736" i="5"/>
  <c r="N737" i="5"/>
  <c r="N738" i="5"/>
  <c r="N739" i="5"/>
  <c r="N740" i="5"/>
  <c r="N741" i="5"/>
  <c r="N742" i="5"/>
  <c r="N743" i="5"/>
  <c r="N744" i="5"/>
  <c r="N745" i="5"/>
  <c r="N746" i="5"/>
  <c r="N747" i="5"/>
  <c r="N748" i="5"/>
  <c r="N749" i="5"/>
  <c r="N750" i="5"/>
  <c r="N751" i="5"/>
  <c r="N752" i="5"/>
  <c r="N753" i="5"/>
  <c r="N754" i="5"/>
  <c r="N755" i="5"/>
  <c r="N756" i="5"/>
  <c r="N757" i="5"/>
  <c r="N758" i="5"/>
  <c r="N759" i="5"/>
  <c r="N760" i="5"/>
  <c r="N761" i="5"/>
  <c r="N762" i="5"/>
  <c r="N763" i="5"/>
  <c r="N764" i="5"/>
  <c r="N765" i="5"/>
  <c r="N766" i="5"/>
  <c r="N767" i="5"/>
  <c r="N768" i="5"/>
  <c r="N769" i="5"/>
  <c r="N770" i="5"/>
  <c r="N771" i="5"/>
  <c r="N772" i="5"/>
  <c r="N773" i="5"/>
  <c r="N774" i="5"/>
  <c r="N775" i="5"/>
  <c r="N776" i="5"/>
  <c r="N777" i="5"/>
  <c r="N778" i="5"/>
  <c r="N779" i="5"/>
  <c r="N780" i="5"/>
  <c r="N781" i="5"/>
  <c r="N782" i="5"/>
  <c r="N783" i="5"/>
  <c r="N784" i="5"/>
  <c r="N785" i="5"/>
  <c r="N786" i="5"/>
  <c r="N787" i="5"/>
  <c r="N788" i="5"/>
  <c r="N789" i="5"/>
  <c r="N790" i="5"/>
  <c r="N791" i="5"/>
  <c r="N792" i="5"/>
  <c r="N793" i="5"/>
  <c r="N794" i="5"/>
  <c r="N795" i="5"/>
  <c r="N796" i="5"/>
  <c r="N797" i="5"/>
  <c r="N798" i="5"/>
  <c r="N799" i="5"/>
  <c r="N800" i="5"/>
  <c r="N801" i="5"/>
  <c r="N802" i="5"/>
  <c r="N803" i="5"/>
  <c r="N804" i="5"/>
  <c r="N805" i="5"/>
  <c r="N806" i="5"/>
  <c r="N807" i="5"/>
  <c r="N808" i="5"/>
  <c r="N809" i="5"/>
  <c r="N810" i="5"/>
  <c r="N811" i="5"/>
  <c r="N812" i="5"/>
  <c r="N813" i="5"/>
  <c r="N814" i="5"/>
  <c r="N815" i="5"/>
  <c r="N816" i="5"/>
  <c r="N817" i="5"/>
  <c r="N818" i="5"/>
  <c r="N819" i="5"/>
  <c r="N820" i="5"/>
  <c r="N821" i="5"/>
  <c r="N822" i="5"/>
  <c r="N823" i="5"/>
  <c r="N824" i="5"/>
  <c r="N825" i="5"/>
  <c r="N826" i="5"/>
  <c r="N827" i="5"/>
  <c r="N828" i="5"/>
  <c r="N829" i="5"/>
  <c r="N830" i="5"/>
  <c r="N831" i="5"/>
  <c r="N832" i="5"/>
  <c r="N833" i="5"/>
  <c r="N834" i="5"/>
  <c r="N835" i="5"/>
  <c r="N836" i="5"/>
  <c r="N837" i="5"/>
  <c r="N838" i="5"/>
  <c r="N839" i="5"/>
  <c r="N840" i="5"/>
  <c r="N841" i="5"/>
  <c r="N842" i="5"/>
  <c r="N843" i="5"/>
  <c r="N844" i="5"/>
  <c r="N845" i="5"/>
  <c r="N846" i="5"/>
  <c r="N847" i="5"/>
  <c r="N848" i="5"/>
  <c r="N849" i="5"/>
  <c r="N850" i="5"/>
  <c r="N851" i="5"/>
  <c r="N852" i="5"/>
  <c r="N853" i="5"/>
  <c r="N854" i="5"/>
  <c r="N855" i="5"/>
  <c r="N856" i="5"/>
  <c r="N857" i="5"/>
  <c r="N858" i="5"/>
  <c r="N859" i="5"/>
  <c r="N860" i="5"/>
  <c r="N861" i="5"/>
  <c r="N862" i="5"/>
  <c r="N863" i="5"/>
  <c r="N864" i="5"/>
  <c r="N865" i="5"/>
  <c r="N866" i="5"/>
  <c r="N867" i="5"/>
  <c r="N868" i="5"/>
  <c r="N869" i="5"/>
  <c r="N870" i="5"/>
  <c r="N871" i="5"/>
  <c r="N872" i="5"/>
  <c r="N873" i="5"/>
  <c r="N874" i="5"/>
  <c r="N875" i="5"/>
  <c r="N876" i="5"/>
  <c r="N877" i="5"/>
  <c r="N878" i="5"/>
  <c r="N879" i="5"/>
  <c r="N880" i="5"/>
  <c r="N881" i="5"/>
  <c r="N882" i="5"/>
  <c r="N883" i="5"/>
  <c r="N884" i="5"/>
  <c r="N885" i="5"/>
  <c r="N886" i="5"/>
  <c r="N887" i="5"/>
  <c r="N888" i="5"/>
  <c r="N889" i="5"/>
  <c r="N890" i="5"/>
  <c r="N891" i="5"/>
  <c r="N892" i="5"/>
  <c r="N893" i="5"/>
  <c r="N894" i="5"/>
  <c r="N895" i="5"/>
  <c r="N896" i="5"/>
  <c r="N897" i="5"/>
  <c r="N898" i="5"/>
  <c r="N899" i="5"/>
  <c r="N900" i="5"/>
  <c r="N901" i="5"/>
  <c r="N902" i="5"/>
  <c r="N903" i="5"/>
  <c r="N904" i="5"/>
  <c r="N905" i="5"/>
  <c r="N906" i="5"/>
  <c r="N907" i="5"/>
  <c r="N908" i="5"/>
  <c r="N909" i="5"/>
  <c r="N910" i="5"/>
  <c r="N911" i="5"/>
  <c r="N912" i="5"/>
  <c r="N913" i="5"/>
  <c r="N914" i="5"/>
  <c r="N915" i="5"/>
  <c r="N916" i="5"/>
  <c r="N917" i="5"/>
  <c r="N918" i="5"/>
  <c r="N919" i="5"/>
  <c r="N920" i="5"/>
  <c r="N921" i="5"/>
  <c r="N922" i="5"/>
  <c r="N923" i="5"/>
  <c r="N924" i="5"/>
  <c r="N925" i="5"/>
  <c r="N926" i="5"/>
  <c r="N927" i="5"/>
  <c r="N928" i="5"/>
  <c r="N929" i="5"/>
  <c r="N930" i="5"/>
  <c r="N931" i="5"/>
  <c r="N932" i="5"/>
  <c r="N933" i="5"/>
  <c r="N934" i="5"/>
  <c r="N935" i="5"/>
  <c r="N936" i="5"/>
  <c r="N937" i="5"/>
  <c r="N938" i="5"/>
  <c r="N939" i="5"/>
  <c r="N940" i="5"/>
  <c r="N941" i="5"/>
  <c r="N942" i="5"/>
  <c r="N943" i="5"/>
  <c r="N944" i="5"/>
  <c r="N945" i="5"/>
  <c r="N946" i="5"/>
  <c r="N947" i="5"/>
  <c r="N948" i="5"/>
  <c r="N949" i="5"/>
  <c r="N950" i="5"/>
  <c r="N951" i="5"/>
  <c r="N952" i="5"/>
  <c r="N953" i="5"/>
  <c r="N954" i="5"/>
  <c r="N955" i="5"/>
  <c r="N956" i="5"/>
  <c r="N957" i="5"/>
  <c r="N958" i="5"/>
  <c r="N959" i="5"/>
  <c r="N960" i="5"/>
  <c r="N961" i="5"/>
  <c r="N962" i="5"/>
  <c r="N963" i="5"/>
  <c r="N964" i="5"/>
  <c r="N965" i="5"/>
  <c r="N966" i="5"/>
  <c r="N967" i="5"/>
  <c r="N968" i="5"/>
  <c r="N969" i="5"/>
  <c r="N970" i="5"/>
  <c r="N971" i="5"/>
  <c r="N972" i="5"/>
  <c r="N973" i="5"/>
  <c r="N974" i="5"/>
  <c r="N975" i="5"/>
  <c r="N976" i="5"/>
  <c r="N977" i="5"/>
  <c r="N978" i="5"/>
  <c r="N979" i="5"/>
  <c r="N980" i="5"/>
  <c r="N981" i="5"/>
  <c r="N982" i="5"/>
  <c r="N983" i="5"/>
  <c r="N984" i="5"/>
  <c r="N985" i="5"/>
  <c r="N986" i="5"/>
  <c r="N987" i="5"/>
  <c r="N988" i="5"/>
  <c r="N989" i="5"/>
  <c r="N990" i="5"/>
  <c r="N991" i="5"/>
  <c r="N992" i="5"/>
  <c r="N993" i="5"/>
  <c r="N994" i="5"/>
  <c r="N995" i="5"/>
  <c r="N996" i="5"/>
  <c r="N997" i="5"/>
  <c r="N998" i="5"/>
  <c r="N999" i="5"/>
  <c r="N1000" i="5"/>
  <c r="N1001" i="5"/>
  <c r="N4" i="5"/>
  <c r="N3" i="5"/>
  <c r="N2" i="5"/>
  <c r="L5" i="5"/>
  <c r="M5" i="5" s="1" a="1"/>
  <c r="M5" i="5" s="1"/>
  <c r="L6" i="5"/>
  <c r="M6" i="5" s="1" a="1"/>
  <c r="M6" i="5" s="1"/>
  <c r="L7" i="5"/>
  <c r="M7" i="5" s="1" a="1"/>
  <c r="M7" i="5" s="1"/>
  <c r="L8" i="5"/>
  <c r="M8" i="5" s="1" a="1"/>
  <c r="M8" i="5" s="1"/>
  <c r="L9" i="5"/>
  <c r="M9" i="5" s="1" a="1"/>
  <c r="M9" i="5" s="1"/>
  <c r="L10" i="5"/>
  <c r="M10" i="5" s="1" a="1"/>
  <c r="M10" i="5" s="1"/>
  <c r="L11" i="5"/>
  <c r="M11" i="5" s="1" a="1"/>
  <c r="M11" i="5" s="1"/>
  <c r="L12" i="5"/>
  <c r="M12" i="5" s="1" a="1"/>
  <c r="M12" i="5" s="1"/>
  <c r="L13" i="5"/>
  <c r="M13" i="5" s="1" a="1"/>
  <c r="M13" i="5" s="1"/>
  <c r="L14" i="5"/>
  <c r="M14" i="5" s="1" a="1"/>
  <c r="M14" i="5" s="1"/>
  <c r="L15" i="5"/>
  <c r="M15" i="5" s="1" a="1"/>
  <c r="M15" i="5" s="1"/>
  <c r="L16" i="5"/>
  <c r="M16" i="5" s="1" a="1"/>
  <c r="M16" i="5" s="1"/>
  <c r="L17" i="5"/>
  <c r="M17" i="5" s="1" a="1"/>
  <c r="M17" i="5" s="1"/>
  <c r="L18" i="5"/>
  <c r="M18" i="5" s="1" a="1"/>
  <c r="M18" i="5" s="1"/>
  <c r="L19" i="5"/>
  <c r="M19" i="5" s="1" a="1"/>
  <c r="M19" i="5" s="1"/>
  <c r="L20" i="5"/>
  <c r="M20" i="5" s="1" a="1"/>
  <c r="M20" i="5" s="1"/>
  <c r="L21" i="5"/>
  <c r="M21" i="5" s="1" a="1"/>
  <c r="M21" i="5" s="1"/>
  <c r="L22" i="5"/>
  <c r="M22" i="5" s="1" a="1"/>
  <c r="M22" i="5" s="1"/>
  <c r="L23" i="5"/>
  <c r="M23" i="5" s="1" a="1"/>
  <c r="M23" i="5" s="1"/>
  <c r="L24" i="5"/>
  <c r="M24" i="5" s="1" a="1"/>
  <c r="M24" i="5" s="1"/>
  <c r="L25" i="5"/>
  <c r="M25" i="5" s="1" a="1"/>
  <c r="M25" i="5" s="1"/>
  <c r="L26" i="5"/>
  <c r="M26" i="5" s="1" a="1"/>
  <c r="M26" i="5" s="1"/>
  <c r="L27" i="5"/>
  <c r="M27" i="5" s="1" a="1"/>
  <c r="M27" i="5" s="1"/>
  <c r="L28" i="5"/>
  <c r="M28" i="5" s="1" a="1"/>
  <c r="M28" i="5" s="1"/>
  <c r="L29" i="5"/>
  <c r="M29" i="5" s="1" a="1"/>
  <c r="M29" i="5" s="1"/>
  <c r="L30" i="5"/>
  <c r="M30" i="5" s="1" a="1"/>
  <c r="M30" i="5" s="1"/>
  <c r="L31" i="5"/>
  <c r="M31" i="5" s="1" a="1"/>
  <c r="M31" i="5" s="1"/>
  <c r="L32" i="5"/>
  <c r="M32" i="5" s="1" a="1"/>
  <c r="M32" i="5" s="1"/>
  <c r="L33" i="5"/>
  <c r="M33" i="5" s="1" a="1"/>
  <c r="M33" i="5" s="1"/>
  <c r="L34" i="5"/>
  <c r="M34" i="5" s="1" a="1"/>
  <c r="M34" i="5" s="1"/>
  <c r="L35" i="5"/>
  <c r="M35" i="5" s="1" a="1"/>
  <c r="M35" i="5" s="1"/>
  <c r="L36" i="5"/>
  <c r="M36" i="5" s="1" a="1"/>
  <c r="M36" i="5" s="1"/>
  <c r="L37" i="5"/>
  <c r="M37" i="5" s="1" a="1"/>
  <c r="M37" i="5" s="1"/>
  <c r="L38" i="5"/>
  <c r="M38" i="5" s="1" a="1"/>
  <c r="M38" i="5" s="1"/>
  <c r="L39" i="5"/>
  <c r="M39" i="5" s="1" a="1"/>
  <c r="M39" i="5" s="1"/>
  <c r="L40" i="5"/>
  <c r="M40" i="5" s="1" a="1"/>
  <c r="M40" i="5" s="1"/>
  <c r="L41" i="5"/>
  <c r="M41" i="5" s="1" a="1"/>
  <c r="M41" i="5" s="1"/>
  <c r="L42" i="5"/>
  <c r="M42" i="5" s="1" a="1"/>
  <c r="M42" i="5" s="1"/>
  <c r="L43" i="5"/>
  <c r="M43" i="5" s="1" a="1"/>
  <c r="M43" i="5" s="1"/>
  <c r="L44" i="5"/>
  <c r="M44" i="5" s="1" a="1"/>
  <c r="M44" i="5" s="1"/>
  <c r="L45" i="5"/>
  <c r="M45" i="5" s="1" a="1"/>
  <c r="M45" i="5" s="1"/>
  <c r="L46" i="5"/>
  <c r="M46" i="5" s="1" a="1"/>
  <c r="M46" i="5" s="1"/>
  <c r="L47" i="5"/>
  <c r="M47" i="5" s="1" a="1"/>
  <c r="M47" i="5" s="1"/>
  <c r="L48" i="5"/>
  <c r="M48" i="5" s="1" a="1"/>
  <c r="M48" i="5" s="1"/>
  <c r="L49" i="5"/>
  <c r="M49" i="5" s="1" a="1"/>
  <c r="M49" i="5" s="1"/>
  <c r="L50" i="5"/>
  <c r="M50" i="5" s="1" a="1"/>
  <c r="M50" i="5" s="1"/>
  <c r="L51" i="5"/>
  <c r="M51" i="5" s="1" a="1"/>
  <c r="M51" i="5" s="1"/>
  <c r="L52" i="5"/>
  <c r="M52" i="5" s="1" a="1"/>
  <c r="M52" i="5" s="1"/>
  <c r="L53" i="5"/>
  <c r="M53" i="5" s="1" a="1"/>
  <c r="M53" i="5" s="1"/>
  <c r="L54" i="5"/>
  <c r="M54" i="5" s="1" a="1"/>
  <c r="M54" i="5" s="1"/>
  <c r="L55" i="5"/>
  <c r="M55" i="5" s="1" a="1"/>
  <c r="M55" i="5" s="1"/>
  <c r="L56" i="5"/>
  <c r="M56" i="5" s="1" a="1"/>
  <c r="M56" i="5" s="1"/>
  <c r="L57" i="5"/>
  <c r="M57" i="5" s="1" a="1"/>
  <c r="M57" i="5" s="1"/>
  <c r="L58" i="5"/>
  <c r="M58" i="5" s="1" a="1"/>
  <c r="M58" i="5" s="1"/>
  <c r="L59" i="5"/>
  <c r="M59" i="5" s="1" a="1"/>
  <c r="M59" i="5" s="1"/>
  <c r="L60" i="5"/>
  <c r="M60" i="5" s="1" a="1"/>
  <c r="M60" i="5" s="1"/>
  <c r="L61" i="5"/>
  <c r="M61" i="5" s="1" a="1"/>
  <c r="M61" i="5" s="1"/>
  <c r="L62" i="5"/>
  <c r="M62" i="5" s="1" a="1"/>
  <c r="M62" i="5" s="1"/>
  <c r="L63" i="5"/>
  <c r="M63" i="5" s="1" a="1"/>
  <c r="M63" i="5" s="1"/>
  <c r="L64" i="5"/>
  <c r="M64" i="5" s="1" a="1"/>
  <c r="M64" i="5" s="1"/>
  <c r="L65" i="5"/>
  <c r="M65" i="5" s="1" a="1"/>
  <c r="M65" i="5" s="1"/>
  <c r="L66" i="5"/>
  <c r="M66" i="5" s="1" a="1"/>
  <c r="M66" i="5" s="1"/>
  <c r="L67" i="5"/>
  <c r="M67" i="5" s="1" a="1"/>
  <c r="M67" i="5" s="1"/>
  <c r="L68" i="5"/>
  <c r="M68" i="5" s="1" a="1"/>
  <c r="M68" i="5" s="1"/>
  <c r="L69" i="5"/>
  <c r="M69" i="5" s="1" a="1"/>
  <c r="M69" i="5" s="1"/>
  <c r="L70" i="5"/>
  <c r="M70" i="5" s="1" a="1"/>
  <c r="M70" i="5" s="1"/>
  <c r="L71" i="5"/>
  <c r="M71" i="5" s="1" a="1"/>
  <c r="M71" i="5" s="1"/>
  <c r="L72" i="5"/>
  <c r="M72" i="5" s="1" a="1"/>
  <c r="M72" i="5" s="1"/>
  <c r="L73" i="5"/>
  <c r="M73" i="5" s="1" a="1"/>
  <c r="M73" i="5" s="1"/>
  <c r="L74" i="5"/>
  <c r="M74" i="5" s="1" a="1"/>
  <c r="M74" i="5" s="1"/>
  <c r="L75" i="5"/>
  <c r="M75" i="5" s="1" a="1"/>
  <c r="M75" i="5" s="1"/>
  <c r="L76" i="5"/>
  <c r="M76" i="5" s="1" a="1"/>
  <c r="M76" i="5" s="1"/>
  <c r="L77" i="5"/>
  <c r="M77" i="5" s="1" a="1"/>
  <c r="M77" i="5" s="1"/>
  <c r="L78" i="5"/>
  <c r="M78" i="5" s="1" a="1"/>
  <c r="M78" i="5" s="1"/>
  <c r="L79" i="5"/>
  <c r="M79" i="5" s="1" a="1"/>
  <c r="M79" i="5" s="1"/>
  <c r="L80" i="5"/>
  <c r="M80" i="5" s="1" a="1"/>
  <c r="M80" i="5" s="1"/>
  <c r="L81" i="5"/>
  <c r="M81" i="5" s="1" a="1"/>
  <c r="M81" i="5" s="1"/>
  <c r="L82" i="5"/>
  <c r="M82" i="5" s="1" a="1"/>
  <c r="M82" i="5" s="1"/>
  <c r="L83" i="5"/>
  <c r="M83" i="5" s="1" a="1"/>
  <c r="M83" i="5" s="1"/>
  <c r="L84" i="5"/>
  <c r="M84" i="5" s="1" a="1"/>
  <c r="M84" i="5" s="1"/>
  <c r="L85" i="5"/>
  <c r="M85" i="5" s="1" a="1"/>
  <c r="M85" i="5" s="1"/>
  <c r="L86" i="5"/>
  <c r="M86" i="5" s="1" a="1"/>
  <c r="M86" i="5" s="1"/>
  <c r="L87" i="5"/>
  <c r="M87" i="5" s="1" a="1"/>
  <c r="M87" i="5" s="1"/>
  <c r="L88" i="5"/>
  <c r="M88" i="5" s="1" a="1"/>
  <c r="M88" i="5" s="1"/>
  <c r="L89" i="5"/>
  <c r="M89" i="5" s="1" a="1"/>
  <c r="M89" i="5" s="1"/>
  <c r="L90" i="5"/>
  <c r="M90" i="5" s="1" a="1"/>
  <c r="M90" i="5" s="1"/>
  <c r="L91" i="5"/>
  <c r="M91" i="5" s="1" a="1"/>
  <c r="M91" i="5" s="1"/>
  <c r="L92" i="5"/>
  <c r="M92" i="5" s="1" a="1"/>
  <c r="M92" i="5" s="1"/>
  <c r="L93" i="5"/>
  <c r="M93" i="5" s="1" a="1"/>
  <c r="M93" i="5" s="1"/>
  <c r="L94" i="5"/>
  <c r="M94" i="5" s="1" a="1"/>
  <c r="M94" i="5" s="1"/>
  <c r="L95" i="5"/>
  <c r="M95" i="5" s="1" a="1"/>
  <c r="M95" i="5" s="1"/>
  <c r="L96" i="5"/>
  <c r="M96" i="5" s="1" a="1"/>
  <c r="M96" i="5" s="1"/>
  <c r="L97" i="5"/>
  <c r="M97" i="5" s="1" a="1"/>
  <c r="M97" i="5" s="1"/>
  <c r="L98" i="5"/>
  <c r="M98" i="5" s="1" a="1"/>
  <c r="M98" i="5" s="1"/>
  <c r="L99" i="5"/>
  <c r="M99" i="5" s="1" a="1"/>
  <c r="M99" i="5" s="1"/>
  <c r="L100" i="5"/>
  <c r="M100" i="5" s="1" a="1"/>
  <c r="M100" i="5" s="1"/>
  <c r="L101" i="5"/>
  <c r="M101" i="5" s="1" a="1"/>
  <c r="M101" i="5" s="1"/>
  <c r="L102" i="5"/>
  <c r="M102" i="5" s="1" a="1"/>
  <c r="M102" i="5" s="1"/>
  <c r="L103" i="5"/>
  <c r="M103" i="5" s="1" a="1"/>
  <c r="M103" i="5" s="1"/>
  <c r="L104" i="5"/>
  <c r="M104" i="5" s="1" a="1"/>
  <c r="M104" i="5" s="1"/>
  <c r="L105" i="5"/>
  <c r="M105" i="5" s="1" a="1"/>
  <c r="M105" i="5" s="1"/>
  <c r="L106" i="5"/>
  <c r="M106" i="5" s="1" a="1"/>
  <c r="M106" i="5" s="1"/>
  <c r="L107" i="5"/>
  <c r="M107" i="5" s="1" a="1"/>
  <c r="M107" i="5" s="1"/>
  <c r="L108" i="5"/>
  <c r="M108" i="5" s="1" a="1"/>
  <c r="M108" i="5" s="1"/>
  <c r="L109" i="5"/>
  <c r="M109" i="5" s="1" a="1"/>
  <c r="M109" i="5" s="1"/>
  <c r="L110" i="5"/>
  <c r="M110" i="5" s="1" a="1"/>
  <c r="M110" i="5" s="1"/>
  <c r="L111" i="5"/>
  <c r="M111" i="5" s="1" a="1"/>
  <c r="M111" i="5" s="1"/>
  <c r="L112" i="5"/>
  <c r="M112" i="5" s="1" a="1"/>
  <c r="M112" i="5" s="1"/>
  <c r="L113" i="5"/>
  <c r="M113" i="5" s="1" a="1"/>
  <c r="M113" i="5" s="1"/>
  <c r="L114" i="5"/>
  <c r="M114" i="5" s="1" a="1"/>
  <c r="M114" i="5" s="1"/>
  <c r="L115" i="5"/>
  <c r="M115" i="5" s="1" a="1"/>
  <c r="M115" i="5" s="1"/>
  <c r="L116" i="5"/>
  <c r="M116" i="5" s="1" a="1"/>
  <c r="M116" i="5" s="1"/>
  <c r="L117" i="5"/>
  <c r="M117" i="5" s="1" a="1"/>
  <c r="M117" i="5" s="1"/>
  <c r="L118" i="5"/>
  <c r="M118" i="5" s="1" a="1"/>
  <c r="M118" i="5" s="1"/>
  <c r="L119" i="5"/>
  <c r="M119" i="5" s="1" a="1"/>
  <c r="M119" i="5" s="1"/>
  <c r="L120" i="5"/>
  <c r="M120" i="5" s="1" a="1"/>
  <c r="M120" i="5" s="1"/>
  <c r="L121" i="5"/>
  <c r="M121" i="5" s="1" a="1"/>
  <c r="M121" i="5" s="1"/>
  <c r="L122" i="5"/>
  <c r="M122" i="5" s="1" a="1"/>
  <c r="M122" i="5" s="1"/>
  <c r="L123" i="5"/>
  <c r="M123" i="5" s="1" a="1"/>
  <c r="M123" i="5" s="1"/>
  <c r="L124" i="5"/>
  <c r="M124" i="5" s="1" a="1"/>
  <c r="M124" i="5" s="1"/>
  <c r="L125" i="5"/>
  <c r="M125" i="5" s="1" a="1"/>
  <c r="M125" i="5" s="1"/>
  <c r="L126" i="5"/>
  <c r="M126" i="5" s="1" a="1"/>
  <c r="M126" i="5" s="1"/>
  <c r="L127" i="5"/>
  <c r="M127" i="5" s="1" a="1"/>
  <c r="M127" i="5" s="1"/>
  <c r="L128" i="5"/>
  <c r="M128" i="5" s="1" a="1"/>
  <c r="M128" i="5" s="1"/>
  <c r="L129" i="5"/>
  <c r="M129" i="5" s="1" a="1"/>
  <c r="M129" i="5" s="1"/>
  <c r="L130" i="5"/>
  <c r="M130" i="5" s="1" a="1"/>
  <c r="M130" i="5" s="1"/>
  <c r="L131" i="5"/>
  <c r="M131" i="5" s="1" a="1"/>
  <c r="M131" i="5" s="1"/>
  <c r="L132" i="5"/>
  <c r="M132" i="5" s="1" a="1"/>
  <c r="M132" i="5" s="1"/>
  <c r="L133" i="5"/>
  <c r="M133" i="5" s="1" a="1"/>
  <c r="M133" i="5" s="1"/>
  <c r="L134" i="5"/>
  <c r="M134" i="5" s="1" a="1"/>
  <c r="M134" i="5" s="1"/>
  <c r="L135" i="5"/>
  <c r="M135" i="5" s="1" a="1"/>
  <c r="M135" i="5" s="1"/>
  <c r="L136" i="5"/>
  <c r="M136" i="5" s="1" a="1"/>
  <c r="M136" i="5" s="1"/>
  <c r="L137" i="5"/>
  <c r="M137" i="5" s="1" a="1"/>
  <c r="M137" i="5" s="1"/>
  <c r="L138" i="5"/>
  <c r="M138" i="5" s="1" a="1"/>
  <c r="M138" i="5" s="1"/>
  <c r="L139" i="5"/>
  <c r="M139" i="5" s="1" a="1"/>
  <c r="M139" i="5" s="1"/>
  <c r="L140" i="5"/>
  <c r="M140" i="5" s="1" a="1"/>
  <c r="M140" i="5" s="1"/>
  <c r="L141" i="5"/>
  <c r="M141" i="5" s="1" a="1"/>
  <c r="M141" i="5" s="1"/>
  <c r="L142" i="5"/>
  <c r="M142" i="5" s="1" a="1"/>
  <c r="M142" i="5" s="1"/>
  <c r="L143" i="5"/>
  <c r="M143" i="5" s="1" a="1"/>
  <c r="M143" i="5" s="1"/>
  <c r="L144" i="5"/>
  <c r="M144" i="5" s="1" a="1"/>
  <c r="M144" i="5" s="1"/>
  <c r="L145" i="5"/>
  <c r="M145" i="5" s="1" a="1"/>
  <c r="M145" i="5" s="1"/>
  <c r="L146" i="5"/>
  <c r="M146" i="5" s="1" a="1"/>
  <c r="M146" i="5" s="1"/>
  <c r="L147" i="5"/>
  <c r="M147" i="5" s="1" a="1"/>
  <c r="M147" i="5" s="1"/>
  <c r="L148" i="5"/>
  <c r="M148" i="5" s="1" a="1"/>
  <c r="M148" i="5" s="1"/>
  <c r="L149" i="5"/>
  <c r="M149" i="5" s="1" a="1"/>
  <c r="M149" i="5" s="1"/>
  <c r="L150" i="5"/>
  <c r="M150" i="5" s="1" a="1"/>
  <c r="M150" i="5" s="1"/>
  <c r="L151" i="5"/>
  <c r="M151" i="5" s="1" a="1"/>
  <c r="M151" i="5" s="1"/>
  <c r="L152" i="5"/>
  <c r="M152" i="5" s="1" a="1"/>
  <c r="M152" i="5" s="1"/>
  <c r="L153" i="5"/>
  <c r="M153" i="5" s="1" a="1"/>
  <c r="M153" i="5" s="1"/>
  <c r="L154" i="5"/>
  <c r="M154" i="5" s="1" a="1"/>
  <c r="M154" i="5" s="1"/>
  <c r="L155" i="5"/>
  <c r="M155" i="5" s="1" a="1"/>
  <c r="M155" i="5" s="1"/>
  <c r="L156" i="5"/>
  <c r="M156" i="5" s="1" a="1"/>
  <c r="M156" i="5" s="1"/>
  <c r="L157" i="5"/>
  <c r="M157" i="5" s="1" a="1"/>
  <c r="M157" i="5" s="1"/>
  <c r="L158" i="5"/>
  <c r="M158" i="5" s="1" a="1"/>
  <c r="M158" i="5" s="1"/>
  <c r="L159" i="5"/>
  <c r="M159" i="5" s="1" a="1"/>
  <c r="M159" i="5" s="1"/>
  <c r="L160" i="5"/>
  <c r="M160" i="5" s="1" a="1"/>
  <c r="M160" i="5" s="1"/>
  <c r="L161" i="5"/>
  <c r="M161" i="5" s="1" a="1"/>
  <c r="M161" i="5" s="1"/>
  <c r="L162" i="5"/>
  <c r="M162" i="5" s="1" a="1"/>
  <c r="M162" i="5" s="1"/>
  <c r="L163" i="5"/>
  <c r="M163" i="5" s="1" a="1"/>
  <c r="M163" i="5" s="1"/>
  <c r="L164" i="5"/>
  <c r="M164" i="5" s="1" a="1"/>
  <c r="M164" i="5" s="1"/>
  <c r="L165" i="5"/>
  <c r="M165" i="5" s="1" a="1"/>
  <c r="M165" i="5" s="1"/>
  <c r="L166" i="5"/>
  <c r="M166" i="5" s="1" a="1"/>
  <c r="M166" i="5" s="1"/>
  <c r="L167" i="5"/>
  <c r="M167" i="5" s="1" a="1"/>
  <c r="M167" i="5" s="1"/>
  <c r="L168" i="5"/>
  <c r="M168" i="5" s="1" a="1"/>
  <c r="M168" i="5" s="1"/>
  <c r="L169" i="5"/>
  <c r="M169" i="5" s="1" a="1"/>
  <c r="M169" i="5" s="1"/>
  <c r="L170" i="5"/>
  <c r="M170" i="5" s="1" a="1"/>
  <c r="M170" i="5" s="1"/>
  <c r="L171" i="5"/>
  <c r="M171" i="5" s="1" a="1"/>
  <c r="M171" i="5" s="1"/>
  <c r="L172" i="5"/>
  <c r="M172" i="5" s="1" a="1"/>
  <c r="M172" i="5" s="1"/>
  <c r="L173" i="5"/>
  <c r="M173" i="5" s="1" a="1"/>
  <c r="M173" i="5" s="1"/>
  <c r="L174" i="5"/>
  <c r="M174" i="5" s="1" a="1"/>
  <c r="M174" i="5" s="1"/>
  <c r="L175" i="5"/>
  <c r="M175" i="5" s="1" a="1"/>
  <c r="M175" i="5" s="1"/>
  <c r="L176" i="5"/>
  <c r="M176" i="5" s="1" a="1"/>
  <c r="M176" i="5" s="1"/>
  <c r="L177" i="5"/>
  <c r="M177" i="5" s="1" a="1"/>
  <c r="M177" i="5" s="1"/>
  <c r="L178" i="5"/>
  <c r="M178" i="5" s="1" a="1"/>
  <c r="M178" i="5" s="1"/>
  <c r="L179" i="5"/>
  <c r="M179" i="5" s="1" a="1"/>
  <c r="M179" i="5" s="1"/>
  <c r="L180" i="5"/>
  <c r="M180" i="5" s="1" a="1"/>
  <c r="M180" i="5" s="1"/>
  <c r="L181" i="5"/>
  <c r="M181" i="5" s="1" a="1"/>
  <c r="M181" i="5" s="1"/>
  <c r="L182" i="5"/>
  <c r="M182" i="5" s="1" a="1"/>
  <c r="M182" i="5" s="1"/>
  <c r="L183" i="5"/>
  <c r="M183" i="5" s="1" a="1"/>
  <c r="M183" i="5" s="1"/>
  <c r="L184" i="5"/>
  <c r="M184" i="5" s="1" a="1"/>
  <c r="M184" i="5" s="1"/>
  <c r="L185" i="5"/>
  <c r="M185" i="5" s="1" a="1"/>
  <c r="M185" i="5" s="1"/>
  <c r="L186" i="5"/>
  <c r="M186" i="5" s="1" a="1"/>
  <c r="M186" i="5" s="1"/>
  <c r="L187" i="5"/>
  <c r="M187" i="5" s="1" a="1"/>
  <c r="M187" i="5" s="1"/>
  <c r="L188" i="5"/>
  <c r="M188" i="5" s="1" a="1"/>
  <c r="M188" i="5" s="1"/>
  <c r="L189" i="5"/>
  <c r="M189" i="5" s="1" a="1"/>
  <c r="M189" i="5" s="1"/>
  <c r="L190" i="5"/>
  <c r="M190" i="5" s="1" a="1"/>
  <c r="M190" i="5" s="1"/>
  <c r="L191" i="5"/>
  <c r="M191" i="5" s="1" a="1"/>
  <c r="M191" i="5" s="1"/>
  <c r="L192" i="5"/>
  <c r="M192" i="5" s="1" a="1"/>
  <c r="M192" i="5" s="1"/>
  <c r="L193" i="5"/>
  <c r="M193" i="5" s="1" a="1"/>
  <c r="M193" i="5" s="1"/>
  <c r="L194" i="5"/>
  <c r="M194" i="5" s="1" a="1"/>
  <c r="M194" i="5" s="1"/>
  <c r="L195" i="5"/>
  <c r="M195" i="5" s="1" a="1"/>
  <c r="M195" i="5" s="1"/>
  <c r="L196" i="5"/>
  <c r="M196" i="5" s="1" a="1"/>
  <c r="M196" i="5" s="1"/>
  <c r="L197" i="5"/>
  <c r="M197" i="5" s="1" a="1"/>
  <c r="M197" i="5" s="1"/>
  <c r="L198" i="5"/>
  <c r="M198" i="5" s="1" a="1"/>
  <c r="M198" i="5" s="1"/>
  <c r="L199" i="5"/>
  <c r="M199" i="5" s="1" a="1"/>
  <c r="M199" i="5" s="1"/>
  <c r="L200" i="5"/>
  <c r="M200" i="5" s="1" a="1"/>
  <c r="M200" i="5" s="1"/>
  <c r="L201" i="5"/>
  <c r="M201" i="5" s="1" a="1"/>
  <c r="M201" i="5" s="1"/>
  <c r="L202" i="5"/>
  <c r="M202" i="5" s="1" a="1"/>
  <c r="M202" i="5" s="1"/>
  <c r="L203" i="5"/>
  <c r="M203" i="5" s="1" a="1"/>
  <c r="M203" i="5" s="1"/>
  <c r="L204" i="5"/>
  <c r="M204" i="5" s="1" a="1"/>
  <c r="M204" i="5" s="1"/>
  <c r="L205" i="5"/>
  <c r="M205" i="5" s="1" a="1"/>
  <c r="M205" i="5" s="1"/>
  <c r="L206" i="5"/>
  <c r="M206" i="5" s="1" a="1"/>
  <c r="M206" i="5" s="1"/>
  <c r="L207" i="5"/>
  <c r="M207" i="5" s="1" a="1"/>
  <c r="M207" i="5" s="1"/>
  <c r="L208" i="5"/>
  <c r="M208" i="5" s="1" a="1"/>
  <c r="M208" i="5" s="1"/>
  <c r="L209" i="5"/>
  <c r="M209" i="5" s="1" a="1"/>
  <c r="M209" i="5" s="1"/>
  <c r="L210" i="5"/>
  <c r="M210" i="5" s="1" a="1"/>
  <c r="M210" i="5" s="1"/>
  <c r="L211" i="5"/>
  <c r="M211" i="5" s="1" a="1"/>
  <c r="M211" i="5" s="1"/>
  <c r="L212" i="5"/>
  <c r="M212" i="5" s="1" a="1"/>
  <c r="M212" i="5" s="1"/>
  <c r="L213" i="5"/>
  <c r="M213" i="5" s="1" a="1"/>
  <c r="M213" i="5" s="1"/>
  <c r="L214" i="5"/>
  <c r="M214" i="5" s="1" a="1"/>
  <c r="M214" i="5" s="1"/>
  <c r="L215" i="5"/>
  <c r="M215" i="5" s="1" a="1"/>
  <c r="M215" i="5" s="1"/>
  <c r="L216" i="5"/>
  <c r="M216" i="5" s="1" a="1"/>
  <c r="M216" i="5" s="1"/>
  <c r="L217" i="5"/>
  <c r="M217" i="5" s="1" a="1"/>
  <c r="M217" i="5" s="1"/>
  <c r="L218" i="5"/>
  <c r="M218" i="5" s="1" a="1"/>
  <c r="M218" i="5" s="1"/>
  <c r="L219" i="5"/>
  <c r="M219" i="5" s="1" a="1"/>
  <c r="M219" i="5" s="1"/>
  <c r="L220" i="5"/>
  <c r="M220" i="5" s="1" a="1"/>
  <c r="M220" i="5" s="1"/>
  <c r="L221" i="5"/>
  <c r="M221" i="5" s="1" a="1"/>
  <c r="M221" i="5" s="1"/>
  <c r="L222" i="5"/>
  <c r="M222" i="5" s="1" a="1"/>
  <c r="M222" i="5" s="1"/>
  <c r="L223" i="5"/>
  <c r="M223" i="5" s="1" a="1"/>
  <c r="M223" i="5" s="1"/>
  <c r="L224" i="5"/>
  <c r="M224" i="5" s="1" a="1"/>
  <c r="M224" i="5" s="1"/>
  <c r="L225" i="5"/>
  <c r="M225" i="5" s="1" a="1"/>
  <c r="M225" i="5" s="1"/>
  <c r="L226" i="5"/>
  <c r="M226" i="5" s="1" a="1"/>
  <c r="M226" i="5" s="1"/>
  <c r="L227" i="5"/>
  <c r="M227" i="5" s="1" a="1"/>
  <c r="M227" i="5" s="1"/>
  <c r="L228" i="5"/>
  <c r="M228" i="5" s="1" a="1"/>
  <c r="M228" i="5" s="1"/>
  <c r="L229" i="5"/>
  <c r="M229" i="5" s="1" a="1"/>
  <c r="M229" i="5" s="1"/>
  <c r="L230" i="5"/>
  <c r="M230" i="5" s="1" a="1"/>
  <c r="M230" i="5" s="1"/>
  <c r="L231" i="5"/>
  <c r="M231" i="5" s="1" a="1"/>
  <c r="M231" i="5" s="1"/>
  <c r="L232" i="5"/>
  <c r="M232" i="5" s="1" a="1"/>
  <c r="M232" i="5" s="1"/>
  <c r="L233" i="5"/>
  <c r="M233" i="5" s="1" a="1"/>
  <c r="M233" i="5" s="1"/>
  <c r="L234" i="5"/>
  <c r="M234" i="5" s="1" a="1"/>
  <c r="M234" i="5" s="1"/>
  <c r="L235" i="5"/>
  <c r="M235" i="5" s="1" a="1"/>
  <c r="M235" i="5" s="1"/>
  <c r="L236" i="5"/>
  <c r="M236" i="5" s="1" a="1"/>
  <c r="M236" i="5" s="1"/>
  <c r="L237" i="5"/>
  <c r="M237" i="5" s="1" a="1"/>
  <c r="M237" i="5" s="1"/>
  <c r="L238" i="5"/>
  <c r="M238" i="5" s="1" a="1"/>
  <c r="M238" i="5" s="1"/>
  <c r="L239" i="5"/>
  <c r="M239" i="5" s="1" a="1"/>
  <c r="M239" i="5" s="1"/>
  <c r="L240" i="5"/>
  <c r="M240" i="5" s="1" a="1"/>
  <c r="M240" i="5" s="1"/>
  <c r="L241" i="5"/>
  <c r="M241" i="5" s="1" a="1"/>
  <c r="M241" i="5" s="1"/>
  <c r="L242" i="5"/>
  <c r="M242" i="5" s="1" a="1"/>
  <c r="M242" i="5" s="1"/>
  <c r="L243" i="5"/>
  <c r="M243" i="5" s="1" a="1"/>
  <c r="M243" i="5" s="1"/>
  <c r="L244" i="5"/>
  <c r="M244" i="5" s="1" a="1"/>
  <c r="M244" i="5" s="1"/>
  <c r="L245" i="5"/>
  <c r="M245" i="5" s="1" a="1"/>
  <c r="M245" i="5" s="1"/>
  <c r="L246" i="5"/>
  <c r="M246" i="5" s="1" a="1"/>
  <c r="M246" i="5" s="1"/>
  <c r="L247" i="5"/>
  <c r="M247" i="5" s="1" a="1"/>
  <c r="M247" i="5" s="1"/>
  <c r="L248" i="5"/>
  <c r="M248" i="5" s="1" a="1"/>
  <c r="M248" i="5" s="1"/>
  <c r="L249" i="5"/>
  <c r="M249" i="5" s="1" a="1"/>
  <c r="M249" i="5" s="1"/>
  <c r="L250" i="5"/>
  <c r="M250" i="5" s="1" a="1"/>
  <c r="M250" i="5" s="1"/>
  <c r="L251" i="5"/>
  <c r="M251" i="5" s="1" a="1"/>
  <c r="M251" i="5" s="1"/>
  <c r="L252" i="5"/>
  <c r="M252" i="5" s="1" a="1"/>
  <c r="M252" i="5" s="1"/>
  <c r="L253" i="5"/>
  <c r="M253" i="5" s="1" a="1"/>
  <c r="M253" i="5" s="1"/>
  <c r="L254" i="5"/>
  <c r="M254" i="5" s="1" a="1"/>
  <c r="M254" i="5" s="1"/>
  <c r="L255" i="5"/>
  <c r="M255" i="5" s="1" a="1"/>
  <c r="M255" i="5" s="1"/>
  <c r="L256" i="5"/>
  <c r="M256" i="5" s="1" a="1"/>
  <c r="M256" i="5" s="1"/>
  <c r="L257" i="5"/>
  <c r="M257" i="5" s="1" a="1"/>
  <c r="M257" i="5" s="1"/>
  <c r="L258" i="5"/>
  <c r="M258" i="5" s="1" a="1"/>
  <c r="M258" i="5" s="1"/>
  <c r="L259" i="5"/>
  <c r="M259" i="5" s="1" a="1"/>
  <c r="M259" i="5" s="1"/>
  <c r="L260" i="5"/>
  <c r="M260" i="5" s="1" a="1"/>
  <c r="M260" i="5" s="1"/>
  <c r="L261" i="5"/>
  <c r="M261" i="5" s="1" a="1"/>
  <c r="M261" i="5" s="1"/>
  <c r="L262" i="5"/>
  <c r="M262" i="5" s="1" a="1"/>
  <c r="M262" i="5" s="1"/>
  <c r="L263" i="5"/>
  <c r="M263" i="5" s="1" a="1"/>
  <c r="M263" i="5" s="1"/>
  <c r="L264" i="5"/>
  <c r="M264" i="5" s="1" a="1"/>
  <c r="M264" i="5" s="1"/>
  <c r="L265" i="5"/>
  <c r="M265" i="5" s="1" a="1"/>
  <c r="M265" i="5" s="1"/>
  <c r="L266" i="5"/>
  <c r="M266" i="5" s="1" a="1"/>
  <c r="M266" i="5" s="1"/>
  <c r="L267" i="5"/>
  <c r="M267" i="5" s="1" a="1"/>
  <c r="M267" i="5" s="1"/>
  <c r="L268" i="5"/>
  <c r="M268" i="5" s="1" a="1"/>
  <c r="M268" i="5" s="1"/>
  <c r="L269" i="5"/>
  <c r="M269" i="5" s="1" a="1"/>
  <c r="M269" i="5" s="1"/>
  <c r="L270" i="5"/>
  <c r="M270" i="5" s="1" a="1"/>
  <c r="M270" i="5" s="1"/>
  <c r="L271" i="5"/>
  <c r="M271" i="5" s="1" a="1"/>
  <c r="M271" i="5" s="1"/>
  <c r="L272" i="5"/>
  <c r="M272" i="5" s="1" a="1"/>
  <c r="M272" i="5" s="1"/>
  <c r="L273" i="5"/>
  <c r="M273" i="5" s="1" a="1"/>
  <c r="M273" i="5" s="1"/>
  <c r="L274" i="5"/>
  <c r="M274" i="5" s="1" a="1"/>
  <c r="M274" i="5" s="1"/>
  <c r="L275" i="5"/>
  <c r="M275" i="5" s="1" a="1"/>
  <c r="M275" i="5" s="1"/>
  <c r="L276" i="5"/>
  <c r="M276" i="5" s="1" a="1"/>
  <c r="M276" i="5" s="1"/>
  <c r="L277" i="5"/>
  <c r="M277" i="5" s="1" a="1"/>
  <c r="M277" i="5" s="1"/>
  <c r="L278" i="5"/>
  <c r="M278" i="5" s="1" a="1"/>
  <c r="M278" i="5" s="1"/>
  <c r="L279" i="5"/>
  <c r="M279" i="5" s="1" a="1"/>
  <c r="M279" i="5" s="1"/>
  <c r="L280" i="5"/>
  <c r="M280" i="5" s="1" a="1"/>
  <c r="M280" i="5" s="1"/>
  <c r="L281" i="5"/>
  <c r="M281" i="5" s="1" a="1"/>
  <c r="M281" i="5" s="1"/>
  <c r="L282" i="5"/>
  <c r="M282" i="5" s="1" a="1"/>
  <c r="M282" i="5" s="1"/>
  <c r="L283" i="5"/>
  <c r="M283" i="5" s="1" a="1"/>
  <c r="M283" i="5" s="1"/>
  <c r="L284" i="5"/>
  <c r="M284" i="5" s="1" a="1"/>
  <c r="M284" i="5" s="1"/>
  <c r="L285" i="5"/>
  <c r="M285" i="5" s="1" a="1"/>
  <c r="M285" i="5" s="1"/>
  <c r="L286" i="5"/>
  <c r="M286" i="5" s="1" a="1"/>
  <c r="M286" i="5" s="1"/>
  <c r="L287" i="5"/>
  <c r="M287" i="5" s="1" a="1"/>
  <c r="M287" i="5" s="1"/>
  <c r="L288" i="5"/>
  <c r="M288" i="5" s="1" a="1"/>
  <c r="M288" i="5" s="1"/>
  <c r="L289" i="5"/>
  <c r="M289" i="5" s="1" a="1"/>
  <c r="M289" i="5" s="1"/>
  <c r="L290" i="5"/>
  <c r="M290" i="5" s="1" a="1"/>
  <c r="M290" i="5" s="1"/>
  <c r="L291" i="5"/>
  <c r="M291" i="5" s="1" a="1"/>
  <c r="M291" i="5" s="1"/>
  <c r="L292" i="5"/>
  <c r="M292" i="5" s="1" a="1"/>
  <c r="M292" i="5" s="1"/>
  <c r="L293" i="5"/>
  <c r="M293" i="5" s="1" a="1"/>
  <c r="M293" i="5" s="1"/>
  <c r="L294" i="5"/>
  <c r="M294" i="5" s="1" a="1"/>
  <c r="M294" i="5" s="1"/>
  <c r="L295" i="5"/>
  <c r="M295" i="5" s="1" a="1"/>
  <c r="M295" i="5" s="1"/>
  <c r="L296" i="5"/>
  <c r="M296" i="5" s="1" a="1"/>
  <c r="M296" i="5" s="1"/>
  <c r="L297" i="5"/>
  <c r="M297" i="5" s="1" a="1"/>
  <c r="M297" i="5" s="1"/>
  <c r="L298" i="5"/>
  <c r="M298" i="5" s="1" a="1"/>
  <c r="M298" i="5" s="1"/>
  <c r="L299" i="5"/>
  <c r="M299" i="5" s="1" a="1"/>
  <c r="M299" i="5" s="1"/>
  <c r="L300" i="5"/>
  <c r="M300" i="5" s="1" a="1"/>
  <c r="M300" i="5" s="1"/>
  <c r="L301" i="5"/>
  <c r="M301" i="5" s="1" a="1"/>
  <c r="M301" i="5" s="1"/>
  <c r="L302" i="5"/>
  <c r="M302" i="5" s="1" a="1"/>
  <c r="M302" i="5" s="1"/>
  <c r="L303" i="5"/>
  <c r="M303" i="5" s="1" a="1"/>
  <c r="M303" i="5" s="1"/>
  <c r="L304" i="5"/>
  <c r="M304" i="5" s="1" a="1"/>
  <c r="M304" i="5" s="1"/>
  <c r="L305" i="5"/>
  <c r="M305" i="5" s="1" a="1"/>
  <c r="M305" i="5" s="1"/>
  <c r="L306" i="5"/>
  <c r="M306" i="5" s="1" a="1"/>
  <c r="M306" i="5" s="1"/>
  <c r="L307" i="5"/>
  <c r="M307" i="5" s="1" a="1"/>
  <c r="M307" i="5" s="1"/>
  <c r="L308" i="5"/>
  <c r="M308" i="5" s="1" a="1"/>
  <c r="M308" i="5" s="1"/>
  <c r="L309" i="5"/>
  <c r="M309" i="5" s="1" a="1"/>
  <c r="M309" i="5" s="1"/>
  <c r="L310" i="5"/>
  <c r="M310" i="5" s="1" a="1"/>
  <c r="M310" i="5" s="1"/>
  <c r="L311" i="5"/>
  <c r="M311" i="5" s="1" a="1"/>
  <c r="M311" i="5" s="1"/>
  <c r="L312" i="5"/>
  <c r="M312" i="5" s="1" a="1"/>
  <c r="M312" i="5" s="1"/>
  <c r="L313" i="5"/>
  <c r="M313" i="5" s="1" a="1"/>
  <c r="M313" i="5" s="1"/>
  <c r="L314" i="5"/>
  <c r="M314" i="5" s="1" a="1"/>
  <c r="M314" i="5" s="1"/>
  <c r="L315" i="5"/>
  <c r="M315" i="5" s="1" a="1"/>
  <c r="M315" i="5" s="1"/>
  <c r="L316" i="5"/>
  <c r="M316" i="5" s="1" a="1"/>
  <c r="M316" i="5" s="1"/>
  <c r="L317" i="5"/>
  <c r="M317" i="5" s="1" a="1"/>
  <c r="M317" i="5" s="1"/>
  <c r="L318" i="5"/>
  <c r="M318" i="5" s="1" a="1"/>
  <c r="M318" i="5" s="1"/>
  <c r="L319" i="5"/>
  <c r="M319" i="5" s="1" a="1"/>
  <c r="M319" i="5" s="1"/>
  <c r="L320" i="5"/>
  <c r="M320" i="5" s="1" a="1"/>
  <c r="M320" i="5" s="1"/>
  <c r="L321" i="5"/>
  <c r="M321" i="5" s="1" a="1"/>
  <c r="M321" i="5" s="1"/>
  <c r="L322" i="5"/>
  <c r="M322" i="5" s="1" a="1"/>
  <c r="M322" i="5" s="1"/>
  <c r="L323" i="5"/>
  <c r="M323" i="5" s="1" a="1"/>
  <c r="M323" i="5" s="1"/>
  <c r="L324" i="5"/>
  <c r="M324" i="5" s="1" a="1"/>
  <c r="M324" i="5" s="1"/>
  <c r="L325" i="5"/>
  <c r="M325" i="5" s="1" a="1"/>
  <c r="M325" i="5" s="1"/>
  <c r="L326" i="5"/>
  <c r="M326" i="5" s="1" a="1"/>
  <c r="M326" i="5" s="1"/>
  <c r="L327" i="5"/>
  <c r="M327" i="5" s="1" a="1"/>
  <c r="M327" i="5" s="1"/>
  <c r="L328" i="5"/>
  <c r="M328" i="5" s="1" a="1"/>
  <c r="M328" i="5" s="1"/>
  <c r="L329" i="5"/>
  <c r="M329" i="5" s="1" a="1"/>
  <c r="M329" i="5" s="1"/>
  <c r="L330" i="5"/>
  <c r="M330" i="5" s="1" a="1"/>
  <c r="M330" i="5" s="1"/>
  <c r="L331" i="5"/>
  <c r="M331" i="5" s="1" a="1"/>
  <c r="M331" i="5" s="1"/>
  <c r="L332" i="5"/>
  <c r="M332" i="5" s="1" a="1"/>
  <c r="M332" i="5" s="1"/>
  <c r="L333" i="5"/>
  <c r="M333" i="5" s="1" a="1"/>
  <c r="M333" i="5" s="1"/>
  <c r="L334" i="5"/>
  <c r="M334" i="5" s="1" a="1"/>
  <c r="M334" i="5" s="1"/>
  <c r="L335" i="5"/>
  <c r="M335" i="5" s="1" a="1"/>
  <c r="M335" i="5" s="1"/>
  <c r="L336" i="5"/>
  <c r="M336" i="5" s="1" a="1"/>
  <c r="M336" i="5" s="1"/>
  <c r="L337" i="5"/>
  <c r="M337" i="5" s="1" a="1"/>
  <c r="M337" i="5" s="1"/>
  <c r="L338" i="5"/>
  <c r="M338" i="5" s="1" a="1"/>
  <c r="M338" i="5" s="1"/>
  <c r="L339" i="5"/>
  <c r="M339" i="5" s="1" a="1"/>
  <c r="M339" i="5" s="1"/>
  <c r="L340" i="5"/>
  <c r="M340" i="5" s="1" a="1"/>
  <c r="M340" i="5" s="1"/>
  <c r="L341" i="5"/>
  <c r="M341" i="5" s="1" a="1"/>
  <c r="M341" i="5" s="1"/>
  <c r="L342" i="5"/>
  <c r="M342" i="5" s="1" a="1"/>
  <c r="M342" i="5" s="1"/>
  <c r="L343" i="5"/>
  <c r="M343" i="5" s="1" a="1"/>
  <c r="M343" i="5" s="1"/>
  <c r="L344" i="5"/>
  <c r="M344" i="5" s="1" a="1"/>
  <c r="M344" i="5" s="1"/>
  <c r="L345" i="5"/>
  <c r="M345" i="5" s="1" a="1"/>
  <c r="M345" i="5" s="1"/>
  <c r="L346" i="5"/>
  <c r="M346" i="5" s="1" a="1"/>
  <c r="M346" i="5" s="1"/>
  <c r="L347" i="5"/>
  <c r="M347" i="5" s="1" a="1"/>
  <c r="M347" i="5" s="1"/>
  <c r="L348" i="5"/>
  <c r="M348" i="5" s="1" a="1"/>
  <c r="M348" i="5" s="1"/>
  <c r="L349" i="5"/>
  <c r="M349" i="5" s="1" a="1"/>
  <c r="M349" i="5" s="1"/>
  <c r="L350" i="5"/>
  <c r="M350" i="5" s="1" a="1"/>
  <c r="M350" i="5" s="1"/>
  <c r="L351" i="5"/>
  <c r="M351" i="5" s="1" a="1"/>
  <c r="M351" i="5" s="1"/>
  <c r="L352" i="5"/>
  <c r="M352" i="5" s="1" a="1"/>
  <c r="M352" i="5" s="1"/>
  <c r="L353" i="5"/>
  <c r="M353" i="5" s="1" a="1"/>
  <c r="M353" i="5" s="1"/>
  <c r="L354" i="5"/>
  <c r="M354" i="5" s="1" a="1"/>
  <c r="M354" i="5" s="1"/>
  <c r="L355" i="5"/>
  <c r="M355" i="5" s="1" a="1"/>
  <c r="M355" i="5" s="1"/>
  <c r="L356" i="5"/>
  <c r="M356" i="5" s="1" a="1"/>
  <c r="M356" i="5" s="1"/>
  <c r="L357" i="5"/>
  <c r="M357" i="5" s="1" a="1"/>
  <c r="M357" i="5" s="1"/>
  <c r="L358" i="5"/>
  <c r="M358" i="5" s="1" a="1"/>
  <c r="M358" i="5" s="1"/>
  <c r="L359" i="5"/>
  <c r="M359" i="5" s="1" a="1"/>
  <c r="M359" i="5" s="1"/>
  <c r="L360" i="5"/>
  <c r="M360" i="5" s="1" a="1"/>
  <c r="M360" i="5" s="1"/>
  <c r="L361" i="5"/>
  <c r="M361" i="5" s="1" a="1"/>
  <c r="M361" i="5" s="1"/>
  <c r="L362" i="5"/>
  <c r="M362" i="5" s="1" a="1"/>
  <c r="M362" i="5" s="1"/>
  <c r="L363" i="5"/>
  <c r="M363" i="5" s="1" a="1"/>
  <c r="M363" i="5" s="1"/>
  <c r="L364" i="5"/>
  <c r="M364" i="5" s="1" a="1"/>
  <c r="M364" i="5" s="1"/>
  <c r="L365" i="5"/>
  <c r="M365" i="5" s="1" a="1"/>
  <c r="M365" i="5" s="1"/>
  <c r="L366" i="5"/>
  <c r="M366" i="5" s="1" a="1"/>
  <c r="M366" i="5" s="1"/>
  <c r="L367" i="5"/>
  <c r="M367" i="5" s="1" a="1"/>
  <c r="M367" i="5" s="1"/>
  <c r="L368" i="5"/>
  <c r="M368" i="5" s="1" a="1"/>
  <c r="M368" i="5" s="1"/>
  <c r="L369" i="5"/>
  <c r="M369" i="5" s="1" a="1"/>
  <c r="M369" i="5" s="1"/>
  <c r="L370" i="5"/>
  <c r="M370" i="5" s="1" a="1"/>
  <c r="M370" i="5" s="1"/>
  <c r="L371" i="5"/>
  <c r="M371" i="5" s="1" a="1"/>
  <c r="M371" i="5" s="1"/>
  <c r="L372" i="5"/>
  <c r="M372" i="5" s="1" a="1"/>
  <c r="M372" i="5" s="1"/>
  <c r="L373" i="5"/>
  <c r="M373" i="5" s="1" a="1"/>
  <c r="M373" i="5" s="1"/>
  <c r="L374" i="5"/>
  <c r="M374" i="5" s="1" a="1"/>
  <c r="M374" i="5" s="1"/>
  <c r="L375" i="5"/>
  <c r="M375" i="5" s="1" a="1"/>
  <c r="M375" i="5" s="1"/>
  <c r="L376" i="5"/>
  <c r="M376" i="5" s="1" a="1"/>
  <c r="M376" i="5" s="1"/>
  <c r="L377" i="5"/>
  <c r="M377" i="5" s="1" a="1"/>
  <c r="M377" i="5" s="1"/>
  <c r="L378" i="5"/>
  <c r="M378" i="5" s="1" a="1"/>
  <c r="M378" i="5" s="1"/>
  <c r="L379" i="5"/>
  <c r="M379" i="5" s="1" a="1"/>
  <c r="M379" i="5" s="1"/>
  <c r="L380" i="5"/>
  <c r="M380" i="5" s="1" a="1"/>
  <c r="M380" i="5" s="1"/>
  <c r="L381" i="5"/>
  <c r="M381" i="5" s="1" a="1"/>
  <c r="M381" i="5" s="1"/>
  <c r="L382" i="5"/>
  <c r="M382" i="5" s="1" a="1"/>
  <c r="M382" i="5" s="1"/>
  <c r="L383" i="5"/>
  <c r="M383" i="5" s="1" a="1"/>
  <c r="M383" i="5" s="1"/>
  <c r="L384" i="5"/>
  <c r="M384" i="5" s="1" a="1"/>
  <c r="M384" i="5" s="1"/>
  <c r="L385" i="5"/>
  <c r="M385" i="5" s="1" a="1"/>
  <c r="M385" i="5" s="1"/>
  <c r="L386" i="5"/>
  <c r="M386" i="5" s="1" a="1"/>
  <c r="M386" i="5" s="1"/>
  <c r="L387" i="5"/>
  <c r="M387" i="5" s="1" a="1"/>
  <c r="M387" i="5" s="1"/>
  <c r="L388" i="5"/>
  <c r="M388" i="5" s="1" a="1"/>
  <c r="M388" i="5" s="1"/>
  <c r="L389" i="5"/>
  <c r="M389" i="5" s="1" a="1"/>
  <c r="M389" i="5" s="1"/>
  <c r="L390" i="5"/>
  <c r="M390" i="5" s="1" a="1"/>
  <c r="M390" i="5" s="1"/>
  <c r="L391" i="5"/>
  <c r="M391" i="5" s="1" a="1"/>
  <c r="M391" i="5" s="1"/>
  <c r="L392" i="5"/>
  <c r="M392" i="5" s="1" a="1"/>
  <c r="M392" i="5" s="1"/>
  <c r="L393" i="5"/>
  <c r="M393" i="5" s="1" a="1"/>
  <c r="M393" i="5" s="1"/>
  <c r="L394" i="5"/>
  <c r="M394" i="5" s="1" a="1"/>
  <c r="M394" i="5" s="1"/>
  <c r="L395" i="5"/>
  <c r="M395" i="5" s="1" a="1"/>
  <c r="M395" i="5" s="1"/>
  <c r="L396" i="5"/>
  <c r="M396" i="5" s="1" a="1"/>
  <c r="M396" i="5" s="1"/>
  <c r="L397" i="5"/>
  <c r="M397" i="5" s="1" a="1"/>
  <c r="M397" i="5" s="1"/>
  <c r="L398" i="5"/>
  <c r="M398" i="5" s="1" a="1"/>
  <c r="M398" i="5" s="1"/>
  <c r="L399" i="5"/>
  <c r="M399" i="5" s="1" a="1"/>
  <c r="M399" i="5" s="1"/>
  <c r="L400" i="5"/>
  <c r="M400" i="5" s="1" a="1"/>
  <c r="M400" i="5" s="1"/>
  <c r="L401" i="5"/>
  <c r="M401" i="5" s="1" a="1"/>
  <c r="M401" i="5" s="1"/>
  <c r="L402" i="5"/>
  <c r="M402" i="5" s="1" a="1"/>
  <c r="M402" i="5" s="1"/>
  <c r="L403" i="5"/>
  <c r="M403" i="5" s="1" a="1"/>
  <c r="M403" i="5" s="1"/>
  <c r="L404" i="5"/>
  <c r="M404" i="5" s="1" a="1"/>
  <c r="M404" i="5" s="1"/>
  <c r="L405" i="5"/>
  <c r="M405" i="5" s="1" a="1"/>
  <c r="M405" i="5" s="1"/>
  <c r="L406" i="5"/>
  <c r="M406" i="5" s="1" a="1"/>
  <c r="M406" i="5" s="1"/>
  <c r="L407" i="5"/>
  <c r="M407" i="5" s="1" a="1"/>
  <c r="M407" i="5" s="1"/>
  <c r="L408" i="5"/>
  <c r="M408" i="5" s="1" a="1"/>
  <c r="M408" i="5" s="1"/>
  <c r="L409" i="5"/>
  <c r="M409" i="5" s="1" a="1"/>
  <c r="M409" i="5" s="1"/>
  <c r="L410" i="5"/>
  <c r="M410" i="5" s="1" a="1"/>
  <c r="M410" i="5" s="1"/>
  <c r="L411" i="5"/>
  <c r="M411" i="5" s="1" a="1"/>
  <c r="M411" i="5" s="1"/>
  <c r="L412" i="5"/>
  <c r="M412" i="5" s="1" a="1"/>
  <c r="M412" i="5" s="1"/>
  <c r="L413" i="5"/>
  <c r="M413" i="5" s="1" a="1"/>
  <c r="M413" i="5" s="1"/>
  <c r="L414" i="5"/>
  <c r="M414" i="5" s="1" a="1"/>
  <c r="M414" i="5" s="1"/>
  <c r="L415" i="5"/>
  <c r="M415" i="5" s="1" a="1"/>
  <c r="M415" i="5" s="1"/>
  <c r="L416" i="5"/>
  <c r="M416" i="5" s="1" a="1"/>
  <c r="M416" i="5" s="1"/>
  <c r="L417" i="5"/>
  <c r="M417" i="5" s="1" a="1"/>
  <c r="M417" i="5" s="1"/>
  <c r="L418" i="5"/>
  <c r="M418" i="5" s="1" a="1"/>
  <c r="M418" i="5" s="1"/>
  <c r="L419" i="5"/>
  <c r="M419" i="5" s="1" a="1"/>
  <c r="M419" i="5" s="1"/>
  <c r="L420" i="5"/>
  <c r="M420" i="5" s="1" a="1"/>
  <c r="M420" i="5" s="1"/>
  <c r="L421" i="5"/>
  <c r="M421" i="5" s="1" a="1"/>
  <c r="M421" i="5" s="1"/>
  <c r="L422" i="5"/>
  <c r="M422" i="5" s="1" a="1"/>
  <c r="M422" i="5" s="1"/>
  <c r="L423" i="5"/>
  <c r="M423" i="5" s="1" a="1"/>
  <c r="M423" i="5" s="1"/>
  <c r="L424" i="5"/>
  <c r="M424" i="5" s="1" a="1"/>
  <c r="M424" i="5" s="1"/>
  <c r="L425" i="5"/>
  <c r="M425" i="5" s="1" a="1"/>
  <c r="M425" i="5" s="1"/>
  <c r="L426" i="5"/>
  <c r="M426" i="5" s="1" a="1"/>
  <c r="M426" i="5" s="1"/>
  <c r="L427" i="5"/>
  <c r="M427" i="5" s="1" a="1"/>
  <c r="M427" i="5" s="1"/>
  <c r="L428" i="5"/>
  <c r="M428" i="5" s="1" a="1"/>
  <c r="M428" i="5" s="1"/>
  <c r="L429" i="5"/>
  <c r="M429" i="5" s="1" a="1"/>
  <c r="M429" i="5" s="1"/>
  <c r="L430" i="5"/>
  <c r="M430" i="5" s="1" a="1"/>
  <c r="M430" i="5" s="1"/>
  <c r="L431" i="5"/>
  <c r="M431" i="5" s="1" a="1"/>
  <c r="M431" i="5" s="1"/>
  <c r="L432" i="5"/>
  <c r="M432" i="5" s="1" a="1"/>
  <c r="M432" i="5" s="1"/>
  <c r="L433" i="5"/>
  <c r="M433" i="5" s="1" a="1"/>
  <c r="M433" i="5" s="1"/>
  <c r="L434" i="5"/>
  <c r="M434" i="5" s="1" a="1"/>
  <c r="M434" i="5" s="1"/>
  <c r="L435" i="5"/>
  <c r="M435" i="5" s="1" a="1"/>
  <c r="M435" i="5" s="1"/>
  <c r="L436" i="5"/>
  <c r="M436" i="5" s="1" a="1"/>
  <c r="M436" i="5" s="1"/>
  <c r="L437" i="5"/>
  <c r="M437" i="5" s="1" a="1"/>
  <c r="M437" i="5" s="1"/>
  <c r="L438" i="5"/>
  <c r="M438" i="5" s="1" a="1"/>
  <c r="M438" i="5" s="1"/>
  <c r="L439" i="5"/>
  <c r="M439" i="5" s="1" a="1"/>
  <c r="M439" i="5" s="1"/>
  <c r="L440" i="5"/>
  <c r="M440" i="5" s="1" a="1"/>
  <c r="M440" i="5" s="1"/>
  <c r="L441" i="5"/>
  <c r="M441" i="5" s="1" a="1"/>
  <c r="M441" i="5" s="1"/>
  <c r="L442" i="5"/>
  <c r="M442" i="5" s="1" a="1"/>
  <c r="M442" i="5" s="1"/>
  <c r="L443" i="5"/>
  <c r="M443" i="5" s="1" a="1"/>
  <c r="M443" i="5" s="1"/>
  <c r="L444" i="5"/>
  <c r="M444" i="5" s="1" a="1"/>
  <c r="M444" i="5" s="1"/>
  <c r="L445" i="5"/>
  <c r="M445" i="5" s="1" a="1"/>
  <c r="M445" i="5" s="1"/>
  <c r="L446" i="5"/>
  <c r="M446" i="5" s="1" a="1"/>
  <c r="M446" i="5" s="1"/>
  <c r="L447" i="5"/>
  <c r="M447" i="5" s="1" a="1"/>
  <c r="M447" i="5" s="1"/>
  <c r="L448" i="5"/>
  <c r="M448" i="5" s="1" a="1"/>
  <c r="M448" i="5" s="1"/>
  <c r="L449" i="5"/>
  <c r="M449" i="5" s="1" a="1"/>
  <c r="M449" i="5" s="1"/>
  <c r="L450" i="5"/>
  <c r="M450" i="5" s="1" a="1"/>
  <c r="M450" i="5" s="1"/>
  <c r="L451" i="5"/>
  <c r="M451" i="5" s="1" a="1"/>
  <c r="M451" i="5" s="1"/>
  <c r="L452" i="5"/>
  <c r="M452" i="5" s="1" a="1"/>
  <c r="M452" i="5" s="1"/>
  <c r="L453" i="5"/>
  <c r="M453" i="5" s="1" a="1"/>
  <c r="M453" i="5" s="1"/>
  <c r="L454" i="5"/>
  <c r="M454" i="5" s="1" a="1"/>
  <c r="M454" i="5" s="1"/>
  <c r="L455" i="5"/>
  <c r="M455" i="5" s="1" a="1"/>
  <c r="M455" i="5" s="1"/>
  <c r="L456" i="5"/>
  <c r="M456" i="5" s="1" a="1"/>
  <c r="M456" i="5" s="1"/>
  <c r="L457" i="5"/>
  <c r="M457" i="5" s="1" a="1"/>
  <c r="M457" i="5" s="1"/>
  <c r="L458" i="5"/>
  <c r="M458" i="5" s="1" a="1"/>
  <c r="M458" i="5" s="1"/>
  <c r="L459" i="5"/>
  <c r="M459" i="5" s="1" a="1"/>
  <c r="M459" i="5" s="1"/>
  <c r="L460" i="5"/>
  <c r="M460" i="5" s="1" a="1"/>
  <c r="M460" i="5" s="1"/>
  <c r="L461" i="5"/>
  <c r="M461" i="5" s="1" a="1"/>
  <c r="M461" i="5" s="1"/>
  <c r="L462" i="5"/>
  <c r="M462" i="5" s="1" a="1"/>
  <c r="M462" i="5" s="1"/>
  <c r="L463" i="5"/>
  <c r="M463" i="5" s="1" a="1"/>
  <c r="M463" i="5" s="1"/>
  <c r="L464" i="5"/>
  <c r="M464" i="5" s="1" a="1"/>
  <c r="M464" i="5" s="1"/>
  <c r="L465" i="5"/>
  <c r="M465" i="5" s="1" a="1"/>
  <c r="M465" i="5" s="1"/>
  <c r="L466" i="5"/>
  <c r="M466" i="5" s="1" a="1"/>
  <c r="M466" i="5" s="1"/>
  <c r="L467" i="5"/>
  <c r="M467" i="5" s="1" a="1"/>
  <c r="M467" i="5" s="1"/>
  <c r="L468" i="5"/>
  <c r="M468" i="5" s="1" a="1"/>
  <c r="M468" i="5" s="1"/>
  <c r="L469" i="5"/>
  <c r="M469" i="5" s="1" a="1"/>
  <c r="M469" i="5" s="1"/>
  <c r="L470" i="5"/>
  <c r="M470" i="5" s="1" a="1"/>
  <c r="M470" i="5" s="1"/>
  <c r="L471" i="5"/>
  <c r="M471" i="5" s="1" a="1"/>
  <c r="M471" i="5" s="1"/>
  <c r="L472" i="5"/>
  <c r="M472" i="5" s="1" a="1"/>
  <c r="M472" i="5" s="1"/>
  <c r="L473" i="5"/>
  <c r="M473" i="5" s="1" a="1"/>
  <c r="M473" i="5" s="1"/>
  <c r="L474" i="5"/>
  <c r="M474" i="5" s="1" a="1"/>
  <c r="M474" i="5" s="1"/>
  <c r="L475" i="5"/>
  <c r="M475" i="5" s="1" a="1"/>
  <c r="M475" i="5" s="1"/>
  <c r="L476" i="5"/>
  <c r="M476" i="5" s="1" a="1"/>
  <c r="M476" i="5" s="1"/>
  <c r="L477" i="5"/>
  <c r="M477" i="5" s="1" a="1"/>
  <c r="M477" i="5" s="1"/>
  <c r="L478" i="5"/>
  <c r="M478" i="5" s="1" a="1"/>
  <c r="M478" i="5" s="1"/>
  <c r="L479" i="5"/>
  <c r="M479" i="5" s="1" a="1"/>
  <c r="M479" i="5" s="1"/>
  <c r="L480" i="5"/>
  <c r="M480" i="5" s="1" a="1"/>
  <c r="M480" i="5" s="1"/>
  <c r="L481" i="5"/>
  <c r="M481" i="5" s="1" a="1"/>
  <c r="M481" i="5" s="1"/>
  <c r="L482" i="5"/>
  <c r="M482" i="5" s="1" a="1"/>
  <c r="M482" i="5" s="1"/>
  <c r="L483" i="5"/>
  <c r="M483" i="5" s="1" a="1"/>
  <c r="M483" i="5" s="1"/>
  <c r="L484" i="5"/>
  <c r="M484" i="5" s="1" a="1"/>
  <c r="M484" i="5" s="1"/>
  <c r="L485" i="5"/>
  <c r="M485" i="5" s="1" a="1"/>
  <c r="M485" i="5" s="1"/>
  <c r="L486" i="5"/>
  <c r="M486" i="5" s="1" a="1"/>
  <c r="M486" i="5" s="1"/>
  <c r="L487" i="5"/>
  <c r="M487" i="5" s="1" a="1"/>
  <c r="M487" i="5" s="1"/>
  <c r="L488" i="5"/>
  <c r="M488" i="5" s="1" a="1"/>
  <c r="M488" i="5" s="1"/>
  <c r="L489" i="5"/>
  <c r="M489" i="5" s="1" a="1"/>
  <c r="M489" i="5" s="1"/>
  <c r="L490" i="5"/>
  <c r="M490" i="5" s="1" a="1"/>
  <c r="M490" i="5" s="1"/>
  <c r="L491" i="5"/>
  <c r="M491" i="5" s="1" a="1"/>
  <c r="M491" i="5" s="1"/>
  <c r="L492" i="5"/>
  <c r="M492" i="5" s="1" a="1"/>
  <c r="M492" i="5" s="1"/>
  <c r="L493" i="5"/>
  <c r="M493" i="5" s="1" a="1"/>
  <c r="M493" i="5" s="1"/>
  <c r="L494" i="5"/>
  <c r="M494" i="5" s="1" a="1"/>
  <c r="M494" i="5" s="1"/>
  <c r="L495" i="5"/>
  <c r="M495" i="5" s="1" a="1"/>
  <c r="M495" i="5" s="1"/>
  <c r="L496" i="5"/>
  <c r="M496" i="5" s="1" a="1"/>
  <c r="M496" i="5" s="1"/>
  <c r="L497" i="5"/>
  <c r="M497" i="5" s="1" a="1"/>
  <c r="M497" i="5" s="1"/>
  <c r="L498" i="5"/>
  <c r="M498" i="5" s="1" a="1"/>
  <c r="M498" i="5" s="1"/>
  <c r="L499" i="5"/>
  <c r="M499" i="5" s="1" a="1"/>
  <c r="M499" i="5" s="1"/>
  <c r="L500" i="5"/>
  <c r="M500" i="5" s="1" a="1"/>
  <c r="M500" i="5" s="1"/>
  <c r="L501" i="5"/>
  <c r="M501" i="5" s="1" a="1"/>
  <c r="M501" i="5" s="1"/>
  <c r="L502" i="5"/>
  <c r="M502" i="5" s="1" a="1"/>
  <c r="M502" i="5" s="1"/>
  <c r="L503" i="5"/>
  <c r="M503" i="5" s="1" a="1"/>
  <c r="M503" i="5" s="1"/>
  <c r="L504" i="5"/>
  <c r="M504" i="5" s="1" a="1"/>
  <c r="M504" i="5" s="1"/>
  <c r="L505" i="5"/>
  <c r="M505" i="5" s="1" a="1"/>
  <c r="M505" i="5" s="1"/>
  <c r="L506" i="5"/>
  <c r="M506" i="5" s="1" a="1"/>
  <c r="M506" i="5" s="1"/>
  <c r="L507" i="5"/>
  <c r="M507" i="5" s="1" a="1"/>
  <c r="M507" i="5" s="1"/>
  <c r="L508" i="5"/>
  <c r="M508" i="5" s="1" a="1"/>
  <c r="M508" i="5" s="1"/>
  <c r="L509" i="5"/>
  <c r="M509" i="5" s="1" a="1"/>
  <c r="M509" i="5" s="1"/>
  <c r="L510" i="5"/>
  <c r="M510" i="5" s="1" a="1"/>
  <c r="M510" i="5" s="1"/>
  <c r="L511" i="5"/>
  <c r="M511" i="5" s="1" a="1"/>
  <c r="M511" i="5" s="1"/>
  <c r="L512" i="5"/>
  <c r="M512" i="5" s="1" a="1"/>
  <c r="M512" i="5" s="1"/>
  <c r="L513" i="5"/>
  <c r="M513" i="5" s="1" a="1"/>
  <c r="M513" i="5" s="1"/>
  <c r="L514" i="5"/>
  <c r="M514" i="5" s="1" a="1"/>
  <c r="M514" i="5" s="1"/>
  <c r="L515" i="5"/>
  <c r="M515" i="5" s="1" a="1"/>
  <c r="M515" i="5" s="1"/>
  <c r="L516" i="5"/>
  <c r="M516" i="5" s="1" a="1"/>
  <c r="M516" i="5" s="1"/>
  <c r="L517" i="5"/>
  <c r="M517" i="5" s="1" a="1"/>
  <c r="M517" i="5" s="1"/>
  <c r="L518" i="5"/>
  <c r="M518" i="5" s="1" a="1"/>
  <c r="M518" i="5" s="1"/>
  <c r="L519" i="5"/>
  <c r="M519" i="5" s="1" a="1"/>
  <c r="M519" i="5" s="1"/>
  <c r="L520" i="5"/>
  <c r="M520" i="5" s="1" a="1"/>
  <c r="M520" i="5" s="1"/>
  <c r="L521" i="5"/>
  <c r="M521" i="5" s="1" a="1"/>
  <c r="M521" i="5" s="1"/>
  <c r="L522" i="5"/>
  <c r="M522" i="5" s="1" a="1"/>
  <c r="M522" i="5" s="1"/>
  <c r="L523" i="5"/>
  <c r="M523" i="5" s="1" a="1"/>
  <c r="M523" i="5" s="1"/>
  <c r="L524" i="5"/>
  <c r="M524" i="5" s="1" a="1"/>
  <c r="M524" i="5" s="1"/>
  <c r="L525" i="5"/>
  <c r="M525" i="5" s="1" a="1"/>
  <c r="M525" i="5" s="1"/>
  <c r="L526" i="5"/>
  <c r="M526" i="5" s="1" a="1"/>
  <c r="M526" i="5" s="1"/>
  <c r="L527" i="5"/>
  <c r="M527" i="5" s="1" a="1"/>
  <c r="M527" i="5" s="1"/>
  <c r="L528" i="5"/>
  <c r="M528" i="5" s="1" a="1"/>
  <c r="M528" i="5" s="1"/>
  <c r="L529" i="5"/>
  <c r="M529" i="5" s="1" a="1"/>
  <c r="M529" i="5" s="1"/>
  <c r="L530" i="5"/>
  <c r="M530" i="5" s="1" a="1"/>
  <c r="M530" i="5" s="1"/>
  <c r="L531" i="5"/>
  <c r="M531" i="5" s="1" a="1"/>
  <c r="M531" i="5" s="1"/>
  <c r="L532" i="5"/>
  <c r="M532" i="5" s="1" a="1"/>
  <c r="M532" i="5" s="1"/>
  <c r="L533" i="5"/>
  <c r="M533" i="5" s="1" a="1"/>
  <c r="M533" i="5" s="1"/>
  <c r="L534" i="5"/>
  <c r="M534" i="5" s="1" a="1"/>
  <c r="M534" i="5" s="1"/>
  <c r="L535" i="5"/>
  <c r="M535" i="5" s="1" a="1"/>
  <c r="M535" i="5" s="1"/>
  <c r="L536" i="5"/>
  <c r="M536" i="5" s="1" a="1"/>
  <c r="M536" i="5" s="1"/>
  <c r="L537" i="5"/>
  <c r="M537" i="5" s="1" a="1"/>
  <c r="M537" i="5" s="1"/>
  <c r="L538" i="5"/>
  <c r="M538" i="5" s="1" a="1"/>
  <c r="M538" i="5" s="1"/>
  <c r="L539" i="5"/>
  <c r="M539" i="5" s="1" a="1"/>
  <c r="M539" i="5" s="1"/>
  <c r="L540" i="5"/>
  <c r="M540" i="5" s="1" a="1"/>
  <c r="M540" i="5" s="1"/>
  <c r="L541" i="5"/>
  <c r="M541" i="5" s="1" a="1"/>
  <c r="M541" i="5" s="1"/>
  <c r="L542" i="5"/>
  <c r="M542" i="5" s="1" a="1"/>
  <c r="M542" i="5" s="1"/>
  <c r="L543" i="5"/>
  <c r="M543" i="5" s="1" a="1"/>
  <c r="M543" i="5" s="1"/>
  <c r="L544" i="5"/>
  <c r="M544" i="5" s="1" a="1"/>
  <c r="M544" i="5" s="1"/>
  <c r="L545" i="5"/>
  <c r="M545" i="5" s="1" a="1"/>
  <c r="M545" i="5" s="1"/>
  <c r="L546" i="5"/>
  <c r="M546" i="5" s="1" a="1"/>
  <c r="M546" i="5" s="1"/>
  <c r="L547" i="5"/>
  <c r="M547" i="5" s="1" a="1"/>
  <c r="M547" i="5" s="1"/>
  <c r="L548" i="5"/>
  <c r="M548" i="5" s="1" a="1"/>
  <c r="M548" i="5" s="1"/>
  <c r="L549" i="5"/>
  <c r="M549" i="5" s="1" a="1"/>
  <c r="M549" i="5" s="1"/>
  <c r="L550" i="5"/>
  <c r="M550" i="5" s="1" a="1"/>
  <c r="M550" i="5" s="1"/>
  <c r="L551" i="5"/>
  <c r="M551" i="5" s="1" a="1"/>
  <c r="M551" i="5" s="1"/>
  <c r="L552" i="5"/>
  <c r="M552" i="5" s="1" a="1"/>
  <c r="M552" i="5" s="1"/>
  <c r="L553" i="5"/>
  <c r="M553" i="5" s="1" a="1"/>
  <c r="M553" i="5" s="1"/>
  <c r="L554" i="5"/>
  <c r="M554" i="5" s="1" a="1"/>
  <c r="M554" i="5" s="1"/>
  <c r="L555" i="5"/>
  <c r="M555" i="5" s="1" a="1"/>
  <c r="M555" i="5" s="1"/>
  <c r="L556" i="5"/>
  <c r="M556" i="5" s="1" a="1"/>
  <c r="M556" i="5" s="1"/>
  <c r="L557" i="5"/>
  <c r="M557" i="5" s="1" a="1"/>
  <c r="M557" i="5" s="1"/>
  <c r="L558" i="5"/>
  <c r="M558" i="5" s="1" a="1"/>
  <c r="M558" i="5" s="1"/>
  <c r="L559" i="5"/>
  <c r="M559" i="5" s="1" a="1"/>
  <c r="M559" i="5" s="1"/>
  <c r="L560" i="5"/>
  <c r="M560" i="5" s="1" a="1"/>
  <c r="M560" i="5" s="1"/>
  <c r="L561" i="5"/>
  <c r="M561" i="5" s="1" a="1"/>
  <c r="M561" i="5" s="1"/>
  <c r="L562" i="5"/>
  <c r="M562" i="5" s="1" a="1"/>
  <c r="M562" i="5" s="1"/>
  <c r="L563" i="5"/>
  <c r="M563" i="5" s="1" a="1"/>
  <c r="M563" i="5" s="1"/>
  <c r="L564" i="5"/>
  <c r="M564" i="5" s="1" a="1"/>
  <c r="M564" i="5" s="1"/>
  <c r="L565" i="5"/>
  <c r="M565" i="5" s="1" a="1"/>
  <c r="M565" i="5" s="1"/>
  <c r="L566" i="5"/>
  <c r="M566" i="5" s="1" a="1"/>
  <c r="M566" i="5" s="1"/>
  <c r="L567" i="5"/>
  <c r="M567" i="5" s="1" a="1"/>
  <c r="M567" i="5" s="1"/>
  <c r="L568" i="5"/>
  <c r="M568" i="5" s="1" a="1"/>
  <c r="M568" i="5" s="1"/>
  <c r="L569" i="5"/>
  <c r="M569" i="5" s="1" a="1"/>
  <c r="M569" i="5" s="1"/>
  <c r="L570" i="5"/>
  <c r="M570" i="5" s="1" a="1"/>
  <c r="M570" i="5" s="1"/>
  <c r="L571" i="5"/>
  <c r="M571" i="5" s="1" a="1"/>
  <c r="M571" i="5" s="1"/>
  <c r="L572" i="5"/>
  <c r="M572" i="5" s="1" a="1"/>
  <c r="M572" i="5" s="1"/>
  <c r="L573" i="5"/>
  <c r="M573" i="5" s="1" a="1"/>
  <c r="M573" i="5" s="1"/>
  <c r="L574" i="5"/>
  <c r="M574" i="5" s="1" a="1"/>
  <c r="M574" i="5" s="1"/>
  <c r="L575" i="5"/>
  <c r="M575" i="5" s="1" a="1"/>
  <c r="M575" i="5" s="1"/>
  <c r="L576" i="5"/>
  <c r="M576" i="5" s="1" a="1"/>
  <c r="M576" i="5" s="1"/>
  <c r="L577" i="5"/>
  <c r="M577" i="5" s="1" a="1"/>
  <c r="M577" i="5" s="1"/>
  <c r="L578" i="5"/>
  <c r="M578" i="5" s="1" a="1"/>
  <c r="M578" i="5" s="1"/>
  <c r="L579" i="5"/>
  <c r="M579" i="5" s="1" a="1"/>
  <c r="M579" i="5" s="1"/>
  <c r="L580" i="5"/>
  <c r="M580" i="5" s="1" a="1"/>
  <c r="M580" i="5" s="1"/>
  <c r="L581" i="5"/>
  <c r="M581" i="5" s="1" a="1"/>
  <c r="M581" i="5" s="1"/>
  <c r="L582" i="5"/>
  <c r="M582" i="5" s="1" a="1"/>
  <c r="M582" i="5" s="1"/>
  <c r="L583" i="5"/>
  <c r="M583" i="5" s="1" a="1"/>
  <c r="M583" i="5" s="1"/>
  <c r="L584" i="5"/>
  <c r="M584" i="5" s="1" a="1"/>
  <c r="M584" i="5" s="1"/>
  <c r="L585" i="5"/>
  <c r="M585" i="5" s="1" a="1"/>
  <c r="M585" i="5" s="1"/>
  <c r="L586" i="5"/>
  <c r="M586" i="5" s="1" a="1"/>
  <c r="M586" i="5" s="1"/>
  <c r="L587" i="5"/>
  <c r="M587" i="5" s="1" a="1"/>
  <c r="M587" i="5" s="1"/>
  <c r="L588" i="5"/>
  <c r="M588" i="5" s="1" a="1"/>
  <c r="M588" i="5" s="1"/>
  <c r="L589" i="5"/>
  <c r="M589" i="5" s="1" a="1"/>
  <c r="M589" i="5" s="1"/>
  <c r="L590" i="5"/>
  <c r="M590" i="5" s="1" a="1"/>
  <c r="M590" i="5" s="1"/>
  <c r="L591" i="5"/>
  <c r="M591" i="5" s="1" a="1"/>
  <c r="M591" i="5" s="1"/>
  <c r="L592" i="5"/>
  <c r="M592" i="5" s="1" a="1"/>
  <c r="M592" i="5" s="1"/>
  <c r="L593" i="5"/>
  <c r="M593" i="5" s="1" a="1"/>
  <c r="M593" i="5" s="1"/>
  <c r="L594" i="5"/>
  <c r="M594" i="5" s="1" a="1"/>
  <c r="M594" i="5" s="1"/>
  <c r="L595" i="5"/>
  <c r="M595" i="5" s="1" a="1"/>
  <c r="M595" i="5" s="1"/>
  <c r="L596" i="5"/>
  <c r="M596" i="5" s="1" a="1"/>
  <c r="M596" i="5" s="1"/>
  <c r="L597" i="5"/>
  <c r="M597" i="5" s="1" a="1"/>
  <c r="M597" i="5" s="1"/>
  <c r="L598" i="5"/>
  <c r="M598" i="5" s="1" a="1"/>
  <c r="M598" i="5" s="1"/>
  <c r="L599" i="5"/>
  <c r="M599" i="5" s="1" a="1"/>
  <c r="M599" i="5" s="1"/>
  <c r="L600" i="5"/>
  <c r="M600" i="5" s="1" a="1"/>
  <c r="M600" i="5" s="1"/>
  <c r="L601" i="5"/>
  <c r="M601" i="5" s="1" a="1"/>
  <c r="M601" i="5" s="1"/>
  <c r="L602" i="5"/>
  <c r="M602" i="5" s="1" a="1"/>
  <c r="M602" i="5" s="1"/>
  <c r="L603" i="5"/>
  <c r="M603" i="5" s="1" a="1"/>
  <c r="M603" i="5" s="1"/>
  <c r="L604" i="5"/>
  <c r="M604" i="5" s="1" a="1"/>
  <c r="M604" i="5" s="1"/>
  <c r="L605" i="5"/>
  <c r="M605" i="5" s="1" a="1"/>
  <c r="M605" i="5" s="1"/>
  <c r="L606" i="5"/>
  <c r="M606" i="5" s="1" a="1"/>
  <c r="M606" i="5" s="1"/>
  <c r="L607" i="5"/>
  <c r="M607" i="5" s="1" a="1"/>
  <c r="M607" i="5" s="1"/>
  <c r="L608" i="5"/>
  <c r="M608" i="5" s="1" a="1"/>
  <c r="M608" i="5" s="1"/>
  <c r="L609" i="5"/>
  <c r="M609" i="5" s="1" a="1"/>
  <c r="M609" i="5" s="1"/>
  <c r="L610" i="5"/>
  <c r="M610" i="5" s="1" a="1"/>
  <c r="M610" i="5" s="1"/>
  <c r="L611" i="5"/>
  <c r="M611" i="5" s="1" a="1"/>
  <c r="M611" i="5" s="1"/>
  <c r="L612" i="5"/>
  <c r="M612" i="5" s="1" a="1"/>
  <c r="M612" i="5" s="1"/>
  <c r="L613" i="5"/>
  <c r="M613" i="5" s="1" a="1"/>
  <c r="M613" i="5" s="1"/>
  <c r="L614" i="5"/>
  <c r="M614" i="5" s="1" a="1"/>
  <c r="M614" i="5" s="1"/>
  <c r="L615" i="5"/>
  <c r="M615" i="5" s="1" a="1"/>
  <c r="M615" i="5" s="1"/>
  <c r="L616" i="5"/>
  <c r="M616" i="5" s="1" a="1"/>
  <c r="M616" i="5" s="1"/>
  <c r="L617" i="5"/>
  <c r="M617" i="5" s="1" a="1"/>
  <c r="M617" i="5" s="1"/>
  <c r="L618" i="5"/>
  <c r="M618" i="5" s="1" a="1"/>
  <c r="M618" i="5" s="1"/>
  <c r="L619" i="5"/>
  <c r="M619" i="5" s="1" a="1"/>
  <c r="M619" i="5" s="1"/>
  <c r="L620" i="5"/>
  <c r="M620" i="5" s="1" a="1"/>
  <c r="M620" i="5" s="1"/>
  <c r="L621" i="5"/>
  <c r="M621" i="5" s="1" a="1"/>
  <c r="M621" i="5" s="1"/>
  <c r="L622" i="5"/>
  <c r="M622" i="5" s="1" a="1"/>
  <c r="M622" i="5" s="1"/>
  <c r="L623" i="5"/>
  <c r="M623" i="5" s="1" a="1"/>
  <c r="M623" i="5" s="1"/>
  <c r="L624" i="5"/>
  <c r="M624" i="5" s="1" a="1"/>
  <c r="M624" i="5" s="1"/>
  <c r="L625" i="5"/>
  <c r="M625" i="5" s="1" a="1"/>
  <c r="M625" i="5" s="1"/>
  <c r="L626" i="5"/>
  <c r="M626" i="5" s="1" a="1"/>
  <c r="M626" i="5" s="1"/>
  <c r="L627" i="5"/>
  <c r="M627" i="5" s="1" a="1"/>
  <c r="M627" i="5" s="1"/>
  <c r="L628" i="5"/>
  <c r="M628" i="5" s="1" a="1"/>
  <c r="M628" i="5" s="1"/>
  <c r="L629" i="5"/>
  <c r="M629" i="5" s="1" a="1"/>
  <c r="M629" i="5" s="1"/>
  <c r="L630" i="5"/>
  <c r="M630" i="5" s="1" a="1"/>
  <c r="M630" i="5" s="1"/>
  <c r="L631" i="5"/>
  <c r="M631" i="5" s="1" a="1"/>
  <c r="M631" i="5" s="1"/>
  <c r="L632" i="5"/>
  <c r="M632" i="5" s="1" a="1"/>
  <c r="M632" i="5" s="1"/>
  <c r="L633" i="5"/>
  <c r="M633" i="5" s="1" a="1"/>
  <c r="M633" i="5" s="1"/>
  <c r="L634" i="5"/>
  <c r="M634" i="5" s="1" a="1"/>
  <c r="M634" i="5" s="1"/>
  <c r="L635" i="5"/>
  <c r="M635" i="5" s="1" a="1"/>
  <c r="M635" i="5" s="1"/>
  <c r="L636" i="5"/>
  <c r="M636" i="5" s="1" a="1"/>
  <c r="M636" i="5" s="1"/>
  <c r="L637" i="5"/>
  <c r="M637" i="5" s="1" a="1"/>
  <c r="M637" i="5" s="1"/>
  <c r="L638" i="5"/>
  <c r="M638" i="5" s="1" a="1"/>
  <c r="M638" i="5" s="1"/>
  <c r="L639" i="5"/>
  <c r="M639" i="5" s="1" a="1"/>
  <c r="M639" i="5" s="1"/>
  <c r="L640" i="5"/>
  <c r="M640" i="5" s="1" a="1"/>
  <c r="M640" i="5" s="1"/>
  <c r="L641" i="5"/>
  <c r="M641" i="5" s="1" a="1"/>
  <c r="M641" i="5" s="1"/>
  <c r="L642" i="5"/>
  <c r="M642" i="5" s="1" a="1"/>
  <c r="M642" i="5" s="1"/>
  <c r="L643" i="5"/>
  <c r="M643" i="5" s="1" a="1"/>
  <c r="M643" i="5" s="1"/>
  <c r="L644" i="5"/>
  <c r="M644" i="5" s="1" a="1"/>
  <c r="M644" i="5" s="1"/>
  <c r="L645" i="5"/>
  <c r="M645" i="5" s="1" a="1"/>
  <c r="M645" i="5" s="1"/>
  <c r="L646" i="5"/>
  <c r="M646" i="5" s="1" a="1"/>
  <c r="M646" i="5" s="1"/>
  <c r="L647" i="5"/>
  <c r="M647" i="5" s="1" a="1"/>
  <c r="M647" i="5" s="1"/>
  <c r="L648" i="5"/>
  <c r="M648" i="5" s="1" a="1"/>
  <c r="M648" i="5" s="1"/>
  <c r="L649" i="5"/>
  <c r="M649" i="5" s="1" a="1"/>
  <c r="M649" i="5" s="1"/>
  <c r="L650" i="5"/>
  <c r="M650" i="5" s="1" a="1"/>
  <c r="M650" i="5" s="1"/>
  <c r="L651" i="5"/>
  <c r="M651" i="5" s="1" a="1"/>
  <c r="M651" i="5" s="1"/>
  <c r="L652" i="5"/>
  <c r="M652" i="5" s="1" a="1"/>
  <c r="M652" i="5" s="1"/>
  <c r="L653" i="5"/>
  <c r="M653" i="5" s="1" a="1"/>
  <c r="M653" i="5" s="1"/>
  <c r="L654" i="5"/>
  <c r="M654" i="5" s="1" a="1"/>
  <c r="M654" i="5" s="1"/>
  <c r="L655" i="5"/>
  <c r="M655" i="5" s="1" a="1"/>
  <c r="M655" i="5" s="1"/>
  <c r="L656" i="5"/>
  <c r="M656" i="5" s="1" a="1"/>
  <c r="M656" i="5" s="1"/>
  <c r="L657" i="5"/>
  <c r="M657" i="5" s="1" a="1"/>
  <c r="M657" i="5" s="1"/>
  <c r="L658" i="5"/>
  <c r="M658" i="5" s="1" a="1"/>
  <c r="M658" i="5" s="1"/>
  <c r="L659" i="5"/>
  <c r="M659" i="5" s="1" a="1"/>
  <c r="M659" i="5" s="1"/>
  <c r="L660" i="5"/>
  <c r="M660" i="5" s="1" a="1"/>
  <c r="M660" i="5" s="1"/>
  <c r="L661" i="5"/>
  <c r="M661" i="5" s="1" a="1"/>
  <c r="M661" i="5" s="1"/>
  <c r="L662" i="5"/>
  <c r="M662" i="5" s="1" a="1"/>
  <c r="M662" i="5" s="1"/>
  <c r="L663" i="5"/>
  <c r="M663" i="5" s="1" a="1"/>
  <c r="M663" i="5" s="1"/>
  <c r="L664" i="5"/>
  <c r="M664" i="5" s="1" a="1"/>
  <c r="M664" i="5" s="1"/>
  <c r="L665" i="5"/>
  <c r="M665" i="5" s="1" a="1"/>
  <c r="M665" i="5" s="1"/>
  <c r="L666" i="5"/>
  <c r="M666" i="5" s="1" a="1"/>
  <c r="M666" i="5" s="1"/>
  <c r="L667" i="5"/>
  <c r="M667" i="5" s="1" a="1"/>
  <c r="M667" i="5" s="1"/>
  <c r="L668" i="5"/>
  <c r="M668" i="5" s="1" a="1"/>
  <c r="M668" i="5" s="1"/>
  <c r="L669" i="5"/>
  <c r="M669" i="5" s="1" a="1"/>
  <c r="M669" i="5" s="1"/>
  <c r="L670" i="5"/>
  <c r="M670" i="5" s="1" a="1"/>
  <c r="M670" i="5" s="1"/>
  <c r="L671" i="5"/>
  <c r="M671" i="5" s="1" a="1"/>
  <c r="M671" i="5" s="1"/>
  <c r="L672" i="5"/>
  <c r="M672" i="5" s="1" a="1"/>
  <c r="M672" i="5" s="1"/>
  <c r="L673" i="5"/>
  <c r="M673" i="5" s="1" a="1"/>
  <c r="M673" i="5" s="1"/>
  <c r="L674" i="5"/>
  <c r="M674" i="5" s="1" a="1"/>
  <c r="M674" i="5" s="1"/>
  <c r="L675" i="5"/>
  <c r="M675" i="5" s="1" a="1"/>
  <c r="M675" i="5" s="1"/>
  <c r="L676" i="5"/>
  <c r="M676" i="5" s="1" a="1"/>
  <c r="M676" i="5" s="1"/>
  <c r="L677" i="5"/>
  <c r="M677" i="5" s="1" a="1"/>
  <c r="M677" i="5" s="1"/>
  <c r="L678" i="5"/>
  <c r="M678" i="5" s="1" a="1"/>
  <c r="M678" i="5" s="1"/>
  <c r="L679" i="5"/>
  <c r="M679" i="5" s="1" a="1"/>
  <c r="M679" i="5" s="1"/>
  <c r="L680" i="5"/>
  <c r="M680" i="5" s="1" a="1"/>
  <c r="M680" i="5" s="1"/>
  <c r="L681" i="5"/>
  <c r="M681" i="5" s="1" a="1"/>
  <c r="M681" i="5" s="1"/>
  <c r="L682" i="5"/>
  <c r="M682" i="5" s="1" a="1"/>
  <c r="M682" i="5" s="1"/>
  <c r="L683" i="5"/>
  <c r="M683" i="5" s="1" a="1"/>
  <c r="M683" i="5" s="1"/>
  <c r="L684" i="5"/>
  <c r="M684" i="5" s="1" a="1"/>
  <c r="M684" i="5" s="1"/>
  <c r="L685" i="5"/>
  <c r="M685" i="5" s="1" a="1"/>
  <c r="M685" i="5" s="1"/>
  <c r="L686" i="5"/>
  <c r="M686" i="5" s="1" a="1"/>
  <c r="M686" i="5" s="1"/>
  <c r="L687" i="5"/>
  <c r="M687" i="5" s="1" a="1"/>
  <c r="M687" i="5" s="1"/>
  <c r="L688" i="5"/>
  <c r="M688" i="5" s="1" a="1"/>
  <c r="M688" i="5" s="1"/>
  <c r="L689" i="5"/>
  <c r="M689" i="5" s="1" a="1"/>
  <c r="M689" i="5" s="1"/>
  <c r="L690" i="5"/>
  <c r="M690" i="5" s="1" a="1"/>
  <c r="M690" i="5" s="1"/>
  <c r="L691" i="5"/>
  <c r="M691" i="5" s="1" a="1"/>
  <c r="M691" i="5" s="1"/>
  <c r="L692" i="5"/>
  <c r="M692" i="5" s="1" a="1"/>
  <c r="M692" i="5" s="1"/>
  <c r="L693" i="5"/>
  <c r="M693" i="5" s="1" a="1"/>
  <c r="M693" i="5" s="1"/>
  <c r="L694" i="5"/>
  <c r="M694" i="5" s="1" a="1"/>
  <c r="M694" i="5" s="1"/>
  <c r="L695" i="5"/>
  <c r="M695" i="5" s="1" a="1"/>
  <c r="M695" i="5" s="1"/>
  <c r="L696" i="5"/>
  <c r="M696" i="5" s="1" a="1"/>
  <c r="M696" i="5" s="1"/>
  <c r="L697" i="5"/>
  <c r="M697" i="5" s="1" a="1"/>
  <c r="M697" i="5" s="1"/>
  <c r="L698" i="5"/>
  <c r="M698" i="5" s="1" a="1"/>
  <c r="M698" i="5" s="1"/>
  <c r="L699" i="5"/>
  <c r="M699" i="5" s="1" a="1"/>
  <c r="M699" i="5" s="1"/>
  <c r="L700" i="5"/>
  <c r="M700" i="5" s="1" a="1"/>
  <c r="M700" i="5" s="1"/>
  <c r="L701" i="5"/>
  <c r="M701" i="5" s="1" a="1"/>
  <c r="M701" i="5" s="1"/>
  <c r="L702" i="5"/>
  <c r="M702" i="5" s="1" a="1"/>
  <c r="M702" i="5" s="1"/>
  <c r="L703" i="5"/>
  <c r="M703" i="5" s="1" a="1"/>
  <c r="M703" i="5" s="1"/>
  <c r="L704" i="5"/>
  <c r="M704" i="5" s="1" a="1"/>
  <c r="M704" i="5" s="1"/>
  <c r="L705" i="5"/>
  <c r="M705" i="5" s="1" a="1"/>
  <c r="M705" i="5" s="1"/>
  <c r="L706" i="5"/>
  <c r="M706" i="5" s="1" a="1"/>
  <c r="M706" i="5" s="1"/>
  <c r="L707" i="5"/>
  <c r="M707" i="5" s="1" a="1"/>
  <c r="M707" i="5" s="1"/>
  <c r="L708" i="5"/>
  <c r="M708" i="5" s="1" a="1"/>
  <c r="M708" i="5" s="1"/>
  <c r="L709" i="5"/>
  <c r="M709" i="5" s="1" a="1"/>
  <c r="M709" i="5" s="1"/>
  <c r="L710" i="5"/>
  <c r="M710" i="5" s="1" a="1"/>
  <c r="M710" i="5" s="1"/>
  <c r="L711" i="5"/>
  <c r="M711" i="5" s="1" a="1"/>
  <c r="M711" i="5" s="1"/>
  <c r="L712" i="5"/>
  <c r="M712" i="5" s="1" a="1"/>
  <c r="M712" i="5" s="1"/>
  <c r="L713" i="5"/>
  <c r="M713" i="5" s="1" a="1"/>
  <c r="M713" i="5" s="1"/>
  <c r="L714" i="5"/>
  <c r="M714" i="5" s="1" a="1"/>
  <c r="M714" i="5" s="1"/>
  <c r="L715" i="5"/>
  <c r="M715" i="5" s="1" a="1"/>
  <c r="M715" i="5" s="1"/>
  <c r="L716" i="5"/>
  <c r="M716" i="5" s="1" a="1"/>
  <c r="M716" i="5" s="1"/>
  <c r="L717" i="5"/>
  <c r="M717" i="5" s="1" a="1"/>
  <c r="M717" i="5" s="1"/>
  <c r="L718" i="5"/>
  <c r="M718" i="5" s="1" a="1"/>
  <c r="M718" i="5" s="1"/>
  <c r="L719" i="5"/>
  <c r="M719" i="5" s="1" a="1"/>
  <c r="M719" i="5" s="1"/>
  <c r="L720" i="5"/>
  <c r="M720" i="5" s="1" a="1"/>
  <c r="M720" i="5" s="1"/>
  <c r="L721" i="5"/>
  <c r="M721" i="5" s="1" a="1"/>
  <c r="M721" i="5" s="1"/>
  <c r="L722" i="5"/>
  <c r="M722" i="5" s="1" a="1"/>
  <c r="M722" i="5" s="1"/>
  <c r="L723" i="5"/>
  <c r="M723" i="5" s="1" a="1"/>
  <c r="M723" i="5" s="1"/>
  <c r="L724" i="5"/>
  <c r="M724" i="5" s="1" a="1"/>
  <c r="M724" i="5" s="1"/>
  <c r="L725" i="5"/>
  <c r="M725" i="5" s="1" a="1"/>
  <c r="M725" i="5" s="1"/>
  <c r="L726" i="5"/>
  <c r="M726" i="5" s="1" a="1"/>
  <c r="M726" i="5" s="1"/>
  <c r="L727" i="5"/>
  <c r="M727" i="5" s="1" a="1"/>
  <c r="M727" i="5" s="1"/>
  <c r="L728" i="5"/>
  <c r="M728" i="5" s="1" a="1"/>
  <c r="M728" i="5" s="1"/>
  <c r="L729" i="5"/>
  <c r="M729" i="5" s="1" a="1"/>
  <c r="M729" i="5" s="1"/>
  <c r="L730" i="5"/>
  <c r="M730" i="5" s="1" a="1"/>
  <c r="M730" i="5" s="1"/>
  <c r="L731" i="5"/>
  <c r="M731" i="5" s="1" a="1"/>
  <c r="M731" i="5" s="1"/>
  <c r="L732" i="5"/>
  <c r="M732" i="5" s="1" a="1"/>
  <c r="M732" i="5" s="1"/>
  <c r="L733" i="5"/>
  <c r="M733" i="5" s="1" a="1"/>
  <c r="M733" i="5" s="1"/>
  <c r="L734" i="5"/>
  <c r="M734" i="5" s="1" a="1"/>
  <c r="M734" i="5" s="1"/>
  <c r="L735" i="5"/>
  <c r="M735" i="5" s="1" a="1"/>
  <c r="M735" i="5" s="1"/>
  <c r="L736" i="5"/>
  <c r="M736" i="5" s="1" a="1"/>
  <c r="M736" i="5" s="1"/>
  <c r="L737" i="5"/>
  <c r="M737" i="5" s="1" a="1"/>
  <c r="M737" i="5" s="1"/>
  <c r="L738" i="5"/>
  <c r="M738" i="5" s="1" a="1"/>
  <c r="M738" i="5" s="1"/>
  <c r="L739" i="5"/>
  <c r="M739" i="5" s="1" a="1"/>
  <c r="M739" i="5" s="1"/>
  <c r="L740" i="5"/>
  <c r="M740" i="5" s="1" a="1"/>
  <c r="M740" i="5" s="1"/>
  <c r="L741" i="5"/>
  <c r="M741" i="5" s="1" a="1"/>
  <c r="M741" i="5" s="1"/>
  <c r="L742" i="5"/>
  <c r="M742" i="5" s="1" a="1"/>
  <c r="M742" i="5" s="1"/>
  <c r="L743" i="5"/>
  <c r="M743" i="5" s="1" a="1"/>
  <c r="M743" i="5" s="1"/>
  <c r="L744" i="5"/>
  <c r="M744" i="5" s="1" a="1"/>
  <c r="M744" i="5" s="1"/>
  <c r="L745" i="5"/>
  <c r="M745" i="5" s="1" a="1"/>
  <c r="M745" i="5" s="1"/>
  <c r="L746" i="5"/>
  <c r="M746" i="5" s="1" a="1"/>
  <c r="M746" i="5" s="1"/>
  <c r="L747" i="5"/>
  <c r="M747" i="5" s="1" a="1"/>
  <c r="M747" i="5" s="1"/>
  <c r="L748" i="5"/>
  <c r="M748" i="5" s="1" a="1"/>
  <c r="M748" i="5" s="1"/>
  <c r="L749" i="5"/>
  <c r="M749" i="5" s="1" a="1"/>
  <c r="M749" i="5" s="1"/>
  <c r="L750" i="5"/>
  <c r="M750" i="5" s="1" a="1"/>
  <c r="M750" i="5" s="1"/>
  <c r="L751" i="5"/>
  <c r="M751" i="5" s="1" a="1"/>
  <c r="M751" i="5" s="1"/>
  <c r="L752" i="5"/>
  <c r="M752" i="5" s="1" a="1"/>
  <c r="M752" i="5" s="1"/>
  <c r="L753" i="5"/>
  <c r="M753" i="5" s="1" a="1"/>
  <c r="M753" i="5" s="1"/>
  <c r="L754" i="5"/>
  <c r="M754" i="5" s="1" a="1"/>
  <c r="M754" i="5" s="1"/>
  <c r="L755" i="5"/>
  <c r="M755" i="5" s="1" a="1"/>
  <c r="M755" i="5" s="1"/>
  <c r="L756" i="5"/>
  <c r="M756" i="5" s="1" a="1"/>
  <c r="M756" i="5" s="1"/>
  <c r="L757" i="5"/>
  <c r="M757" i="5" s="1" a="1"/>
  <c r="M757" i="5" s="1"/>
  <c r="L758" i="5"/>
  <c r="M758" i="5" s="1" a="1"/>
  <c r="M758" i="5" s="1"/>
  <c r="L759" i="5"/>
  <c r="M759" i="5" s="1" a="1"/>
  <c r="M759" i="5" s="1"/>
  <c r="L760" i="5"/>
  <c r="M760" i="5" s="1" a="1"/>
  <c r="M760" i="5" s="1"/>
  <c r="L761" i="5"/>
  <c r="M761" i="5" s="1" a="1"/>
  <c r="M761" i="5" s="1"/>
  <c r="L762" i="5"/>
  <c r="M762" i="5" s="1" a="1"/>
  <c r="M762" i="5" s="1"/>
  <c r="L763" i="5"/>
  <c r="M763" i="5" s="1" a="1"/>
  <c r="M763" i="5" s="1"/>
  <c r="L764" i="5"/>
  <c r="M764" i="5" s="1" a="1"/>
  <c r="M764" i="5" s="1"/>
  <c r="L765" i="5"/>
  <c r="M765" i="5" s="1" a="1"/>
  <c r="M765" i="5" s="1"/>
  <c r="L766" i="5"/>
  <c r="M766" i="5" s="1" a="1"/>
  <c r="M766" i="5" s="1"/>
  <c r="L767" i="5"/>
  <c r="M767" i="5" s="1" a="1"/>
  <c r="M767" i="5" s="1"/>
  <c r="L768" i="5"/>
  <c r="M768" i="5" s="1" a="1"/>
  <c r="M768" i="5" s="1"/>
  <c r="L769" i="5"/>
  <c r="M769" i="5" s="1" a="1"/>
  <c r="M769" i="5" s="1"/>
  <c r="L770" i="5"/>
  <c r="M770" i="5" s="1" a="1"/>
  <c r="M770" i="5" s="1"/>
  <c r="L771" i="5"/>
  <c r="M771" i="5" s="1" a="1"/>
  <c r="M771" i="5" s="1"/>
  <c r="L772" i="5"/>
  <c r="M772" i="5" s="1" a="1"/>
  <c r="M772" i="5" s="1"/>
  <c r="L773" i="5"/>
  <c r="M773" i="5" s="1" a="1"/>
  <c r="M773" i="5" s="1"/>
  <c r="L774" i="5"/>
  <c r="M774" i="5" s="1" a="1"/>
  <c r="M774" i="5" s="1"/>
  <c r="L775" i="5"/>
  <c r="M775" i="5" s="1" a="1"/>
  <c r="M775" i="5" s="1"/>
  <c r="L776" i="5"/>
  <c r="M776" i="5" s="1" a="1"/>
  <c r="M776" i="5" s="1"/>
  <c r="L777" i="5"/>
  <c r="M777" i="5" s="1" a="1"/>
  <c r="M777" i="5" s="1"/>
  <c r="L778" i="5"/>
  <c r="M778" i="5" s="1" a="1"/>
  <c r="M778" i="5" s="1"/>
  <c r="L779" i="5"/>
  <c r="M779" i="5" s="1" a="1"/>
  <c r="M779" i="5" s="1"/>
  <c r="L780" i="5"/>
  <c r="M780" i="5" s="1" a="1"/>
  <c r="M780" i="5" s="1"/>
  <c r="L781" i="5"/>
  <c r="M781" i="5" s="1" a="1"/>
  <c r="M781" i="5" s="1"/>
  <c r="L782" i="5"/>
  <c r="M782" i="5" s="1" a="1"/>
  <c r="M782" i="5" s="1"/>
  <c r="L783" i="5"/>
  <c r="M783" i="5" s="1" a="1"/>
  <c r="M783" i="5" s="1"/>
  <c r="L784" i="5"/>
  <c r="M784" i="5" s="1" a="1"/>
  <c r="M784" i="5" s="1"/>
  <c r="L785" i="5"/>
  <c r="M785" i="5" s="1" a="1"/>
  <c r="M785" i="5" s="1"/>
  <c r="L786" i="5"/>
  <c r="M786" i="5" s="1" a="1"/>
  <c r="M786" i="5" s="1"/>
  <c r="L787" i="5"/>
  <c r="M787" i="5" s="1" a="1"/>
  <c r="M787" i="5" s="1"/>
  <c r="L788" i="5"/>
  <c r="M788" i="5" s="1" a="1"/>
  <c r="M788" i="5" s="1"/>
  <c r="L789" i="5"/>
  <c r="M789" i="5" s="1" a="1"/>
  <c r="M789" i="5" s="1"/>
  <c r="L790" i="5"/>
  <c r="M790" i="5" s="1" a="1"/>
  <c r="M790" i="5" s="1"/>
  <c r="L791" i="5"/>
  <c r="M791" i="5" s="1" a="1"/>
  <c r="M791" i="5" s="1"/>
  <c r="L792" i="5"/>
  <c r="M792" i="5" s="1" a="1"/>
  <c r="M792" i="5" s="1"/>
  <c r="L793" i="5"/>
  <c r="M793" i="5" s="1" a="1"/>
  <c r="M793" i="5" s="1"/>
  <c r="L794" i="5"/>
  <c r="M794" i="5" s="1" a="1"/>
  <c r="M794" i="5" s="1"/>
  <c r="L795" i="5"/>
  <c r="M795" i="5" s="1" a="1"/>
  <c r="M795" i="5" s="1"/>
  <c r="L796" i="5"/>
  <c r="M796" i="5" s="1" a="1"/>
  <c r="M796" i="5" s="1"/>
  <c r="L797" i="5"/>
  <c r="M797" i="5" s="1" a="1"/>
  <c r="M797" i="5" s="1"/>
  <c r="L798" i="5"/>
  <c r="M798" i="5" s="1" a="1"/>
  <c r="M798" i="5" s="1"/>
  <c r="L799" i="5"/>
  <c r="M799" i="5" s="1" a="1"/>
  <c r="M799" i="5" s="1"/>
  <c r="L800" i="5"/>
  <c r="M800" i="5" s="1" a="1"/>
  <c r="M800" i="5" s="1"/>
  <c r="L801" i="5"/>
  <c r="M801" i="5" s="1" a="1"/>
  <c r="M801" i="5" s="1"/>
  <c r="L802" i="5"/>
  <c r="M802" i="5" s="1" a="1"/>
  <c r="M802" i="5" s="1"/>
  <c r="L803" i="5"/>
  <c r="M803" i="5" s="1" a="1"/>
  <c r="M803" i="5" s="1"/>
  <c r="L804" i="5"/>
  <c r="M804" i="5" s="1" a="1"/>
  <c r="M804" i="5" s="1"/>
  <c r="L805" i="5"/>
  <c r="M805" i="5" s="1" a="1"/>
  <c r="M805" i="5" s="1"/>
  <c r="L806" i="5"/>
  <c r="M806" i="5" s="1" a="1"/>
  <c r="M806" i="5" s="1"/>
  <c r="L807" i="5"/>
  <c r="M807" i="5" s="1" a="1"/>
  <c r="M807" i="5" s="1"/>
  <c r="L808" i="5"/>
  <c r="M808" i="5" s="1" a="1"/>
  <c r="M808" i="5" s="1"/>
  <c r="L809" i="5"/>
  <c r="M809" i="5" s="1" a="1"/>
  <c r="M809" i="5" s="1"/>
  <c r="L810" i="5"/>
  <c r="M810" i="5" s="1" a="1"/>
  <c r="M810" i="5" s="1"/>
  <c r="L811" i="5"/>
  <c r="M811" i="5" s="1" a="1"/>
  <c r="M811" i="5" s="1"/>
  <c r="L812" i="5"/>
  <c r="M812" i="5" s="1" a="1"/>
  <c r="M812" i="5" s="1"/>
  <c r="L813" i="5"/>
  <c r="M813" i="5" s="1" a="1"/>
  <c r="M813" i="5" s="1"/>
  <c r="L814" i="5"/>
  <c r="M814" i="5" s="1" a="1"/>
  <c r="M814" i="5" s="1"/>
  <c r="L815" i="5"/>
  <c r="M815" i="5" s="1" a="1"/>
  <c r="M815" i="5" s="1"/>
  <c r="L816" i="5"/>
  <c r="M816" i="5" s="1" a="1"/>
  <c r="M816" i="5" s="1"/>
  <c r="L817" i="5"/>
  <c r="M817" i="5" s="1" a="1"/>
  <c r="M817" i="5" s="1"/>
  <c r="L818" i="5"/>
  <c r="M818" i="5" s="1" a="1"/>
  <c r="M818" i="5" s="1"/>
  <c r="L819" i="5"/>
  <c r="M819" i="5" s="1" a="1"/>
  <c r="M819" i="5" s="1"/>
  <c r="L820" i="5"/>
  <c r="M820" i="5" s="1" a="1"/>
  <c r="M820" i="5" s="1"/>
  <c r="L821" i="5"/>
  <c r="M821" i="5" s="1" a="1"/>
  <c r="M821" i="5" s="1"/>
  <c r="L822" i="5"/>
  <c r="M822" i="5" s="1" a="1"/>
  <c r="M822" i="5" s="1"/>
  <c r="L823" i="5"/>
  <c r="M823" i="5" s="1" a="1"/>
  <c r="M823" i="5" s="1"/>
  <c r="L824" i="5"/>
  <c r="M824" i="5" s="1" a="1"/>
  <c r="M824" i="5" s="1"/>
  <c r="L825" i="5"/>
  <c r="M825" i="5" s="1" a="1"/>
  <c r="M825" i="5" s="1"/>
  <c r="L826" i="5"/>
  <c r="M826" i="5" s="1" a="1"/>
  <c r="M826" i="5" s="1"/>
  <c r="L827" i="5"/>
  <c r="M827" i="5" s="1" a="1"/>
  <c r="M827" i="5" s="1"/>
  <c r="L828" i="5"/>
  <c r="M828" i="5" s="1" a="1"/>
  <c r="M828" i="5" s="1"/>
  <c r="L829" i="5"/>
  <c r="M829" i="5" s="1" a="1"/>
  <c r="M829" i="5" s="1"/>
  <c r="L830" i="5"/>
  <c r="M830" i="5" s="1" a="1"/>
  <c r="M830" i="5" s="1"/>
  <c r="L831" i="5"/>
  <c r="M831" i="5" s="1" a="1"/>
  <c r="M831" i="5" s="1"/>
  <c r="L832" i="5"/>
  <c r="M832" i="5" s="1" a="1"/>
  <c r="M832" i="5" s="1"/>
  <c r="L833" i="5"/>
  <c r="M833" i="5" s="1" a="1"/>
  <c r="M833" i="5" s="1"/>
  <c r="L834" i="5"/>
  <c r="M834" i="5" s="1" a="1"/>
  <c r="M834" i="5" s="1"/>
  <c r="L835" i="5"/>
  <c r="M835" i="5" s="1" a="1"/>
  <c r="M835" i="5" s="1"/>
  <c r="L836" i="5"/>
  <c r="M836" i="5" s="1" a="1"/>
  <c r="M836" i="5" s="1"/>
  <c r="L837" i="5"/>
  <c r="M837" i="5" s="1" a="1"/>
  <c r="M837" i="5" s="1"/>
  <c r="L838" i="5"/>
  <c r="M838" i="5" s="1" a="1"/>
  <c r="M838" i="5" s="1"/>
  <c r="L839" i="5"/>
  <c r="M839" i="5" s="1" a="1"/>
  <c r="M839" i="5" s="1"/>
  <c r="L840" i="5"/>
  <c r="M840" i="5" s="1" a="1"/>
  <c r="M840" i="5" s="1"/>
  <c r="L841" i="5"/>
  <c r="M841" i="5" s="1" a="1"/>
  <c r="M841" i="5" s="1"/>
  <c r="L842" i="5"/>
  <c r="M842" i="5" s="1" a="1"/>
  <c r="M842" i="5" s="1"/>
  <c r="L843" i="5"/>
  <c r="M843" i="5" s="1" a="1"/>
  <c r="M843" i="5" s="1"/>
  <c r="L844" i="5"/>
  <c r="M844" i="5" s="1" a="1"/>
  <c r="M844" i="5" s="1"/>
  <c r="L845" i="5"/>
  <c r="M845" i="5" s="1" a="1"/>
  <c r="M845" i="5" s="1"/>
  <c r="L846" i="5"/>
  <c r="M846" i="5" s="1" a="1"/>
  <c r="M846" i="5" s="1"/>
  <c r="L847" i="5"/>
  <c r="M847" i="5" s="1" a="1"/>
  <c r="M847" i="5" s="1"/>
  <c r="L848" i="5"/>
  <c r="M848" i="5" s="1" a="1"/>
  <c r="M848" i="5" s="1"/>
  <c r="L849" i="5"/>
  <c r="M849" i="5" s="1" a="1"/>
  <c r="M849" i="5" s="1"/>
  <c r="L850" i="5"/>
  <c r="M850" i="5" s="1" a="1"/>
  <c r="M850" i="5" s="1"/>
  <c r="L851" i="5"/>
  <c r="M851" i="5" s="1" a="1"/>
  <c r="M851" i="5" s="1"/>
  <c r="L852" i="5"/>
  <c r="M852" i="5" s="1" a="1"/>
  <c r="M852" i="5" s="1"/>
  <c r="L853" i="5"/>
  <c r="M853" i="5" s="1" a="1"/>
  <c r="M853" i="5" s="1"/>
  <c r="L854" i="5"/>
  <c r="M854" i="5" s="1" a="1"/>
  <c r="M854" i="5" s="1"/>
  <c r="L855" i="5"/>
  <c r="M855" i="5" s="1" a="1"/>
  <c r="M855" i="5" s="1"/>
  <c r="L856" i="5"/>
  <c r="M856" i="5" s="1" a="1"/>
  <c r="M856" i="5" s="1"/>
  <c r="L857" i="5"/>
  <c r="M857" i="5" s="1" a="1"/>
  <c r="M857" i="5" s="1"/>
  <c r="L858" i="5"/>
  <c r="M858" i="5" s="1" a="1"/>
  <c r="M858" i="5" s="1"/>
  <c r="L859" i="5"/>
  <c r="M859" i="5" s="1" a="1"/>
  <c r="M859" i="5" s="1"/>
  <c r="L860" i="5"/>
  <c r="M860" i="5" s="1" a="1"/>
  <c r="M860" i="5" s="1"/>
  <c r="L861" i="5"/>
  <c r="M861" i="5" s="1" a="1"/>
  <c r="M861" i="5" s="1"/>
  <c r="L862" i="5"/>
  <c r="M862" i="5" s="1" a="1"/>
  <c r="M862" i="5" s="1"/>
  <c r="L863" i="5"/>
  <c r="M863" i="5" s="1" a="1"/>
  <c r="M863" i="5" s="1"/>
  <c r="L864" i="5"/>
  <c r="M864" i="5" s="1" a="1"/>
  <c r="M864" i="5" s="1"/>
  <c r="L865" i="5"/>
  <c r="M865" i="5" s="1" a="1"/>
  <c r="M865" i="5" s="1"/>
  <c r="L866" i="5"/>
  <c r="M866" i="5" s="1" a="1"/>
  <c r="M866" i="5" s="1"/>
  <c r="L867" i="5"/>
  <c r="M867" i="5" s="1" a="1"/>
  <c r="M867" i="5" s="1"/>
  <c r="L868" i="5"/>
  <c r="M868" i="5" s="1" a="1"/>
  <c r="M868" i="5" s="1"/>
  <c r="L869" i="5"/>
  <c r="M869" i="5" s="1" a="1"/>
  <c r="M869" i="5" s="1"/>
  <c r="L870" i="5"/>
  <c r="M870" i="5" s="1" a="1"/>
  <c r="M870" i="5" s="1"/>
  <c r="L871" i="5"/>
  <c r="M871" i="5" s="1" a="1"/>
  <c r="M871" i="5" s="1"/>
  <c r="L872" i="5"/>
  <c r="M872" i="5" s="1" a="1"/>
  <c r="M872" i="5" s="1"/>
  <c r="L873" i="5"/>
  <c r="M873" i="5" s="1" a="1"/>
  <c r="M873" i="5" s="1"/>
  <c r="L874" i="5"/>
  <c r="M874" i="5" s="1" a="1"/>
  <c r="M874" i="5" s="1"/>
  <c r="L875" i="5"/>
  <c r="M875" i="5" s="1" a="1"/>
  <c r="M875" i="5" s="1"/>
  <c r="L876" i="5"/>
  <c r="M876" i="5" s="1" a="1"/>
  <c r="M876" i="5" s="1"/>
  <c r="L877" i="5"/>
  <c r="M877" i="5" s="1" a="1"/>
  <c r="M877" i="5" s="1"/>
  <c r="L878" i="5"/>
  <c r="M878" i="5" s="1" a="1"/>
  <c r="M878" i="5" s="1"/>
  <c r="L879" i="5"/>
  <c r="M879" i="5" s="1" a="1"/>
  <c r="M879" i="5" s="1"/>
  <c r="L880" i="5"/>
  <c r="M880" i="5" s="1" a="1"/>
  <c r="M880" i="5" s="1"/>
  <c r="L881" i="5"/>
  <c r="M881" i="5" s="1" a="1"/>
  <c r="M881" i="5" s="1"/>
  <c r="L882" i="5"/>
  <c r="M882" i="5" s="1" a="1"/>
  <c r="M882" i="5" s="1"/>
  <c r="L883" i="5"/>
  <c r="M883" i="5" s="1" a="1"/>
  <c r="M883" i="5" s="1"/>
  <c r="L884" i="5"/>
  <c r="M884" i="5" s="1" a="1"/>
  <c r="M884" i="5" s="1"/>
  <c r="L885" i="5"/>
  <c r="M885" i="5" s="1" a="1"/>
  <c r="M885" i="5" s="1"/>
  <c r="L886" i="5"/>
  <c r="M886" i="5" s="1" a="1"/>
  <c r="M886" i="5" s="1"/>
  <c r="L887" i="5"/>
  <c r="M887" i="5" s="1" a="1"/>
  <c r="M887" i="5" s="1"/>
  <c r="L888" i="5"/>
  <c r="M888" i="5" s="1" a="1"/>
  <c r="M888" i="5" s="1"/>
  <c r="L889" i="5"/>
  <c r="M889" i="5" s="1" a="1"/>
  <c r="M889" i="5" s="1"/>
  <c r="L890" i="5"/>
  <c r="M890" i="5" s="1" a="1"/>
  <c r="M890" i="5" s="1"/>
  <c r="L891" i="5"/>
  <c r="M891" i="5" s="1" a="1"/>
  <c r="M891" i="5" s="1"/>
  <c r="L892" i="5"/>
  <c r="M892" i="5" s="1" a="1"/>
  <c r="M892" i="5" s="1"/>
  <c r="L893" i="5"/>
  <c r="M893" i="5" s="1" a="1"/>
  <c r="M893" i="5" s="1"/>
  <c r="L894" i="5"/>
  <c r="M894" i="5" s="1" a="1"/>
  <c r="M894" i="5" s="1"/>
  <c r="L895" i="5"/>
  <c r="M895" i="5" s="1" a="1"/>
  <c r="M895" i="5" s="1"/>
  <c r="L896" i="5"/>
  <c r="M896" i="5" s="1" a="1"/>
  <c r="M896" i="5" s="1"/>
  <c r="L897" i="5"/>
  <c r="M897" i="5" s="1" a="1"/>
  <c r="M897" i="5" s="1"/>
  <c r="L898" i="5"/>
  <c r="M898" i="5" s="1" a="1"/>
  <c r="M898" i="5" s="1"/>
  <c r="L899" i="5"/>
  <c r="M899" i="5" s="1" a="1"/>
  <c r="M899" i="5" s="1"/>
  <c r="L900" i="5"/>
  <c r="M900" i="5" s="1" a="1"/>
  <c r="M900" i="5" s="1"/>
  <c r="L901" i="5"/>
  <c r="M901" i="5" s="1" a="1"/>
  <c r="M901" i="5" s="1"/>
  <c r="L902" i="5"/>
  <c r="M902" i="5" s="1" a="1"/>
  <c r="M902" i="5" s="1"/>
  <c r="L903" i="5"/>
  <c r="M903" i="5" s="1" a="1"/>
  <c r="M903" i="5" s="1"/>
  <c r="L904" i="5"/>
  <c r="M904" i="5" s="1" a="1"/>
  <c r="M904" i="5" s="1"/>
  <c r="L905" i="5"/>
  <c r="M905" i="5" s="1" a="1"/>
  <c r="M905" i="5" s="1"/>
  <c r="L906" i="5"/>
  <c r="M906" i="5" s="1" a="1"/>
  <c r="M906" i="5" s="1"/>
  <c r="L907" i="5"/>
  <c r="M907" i="5" s="1" a="1"/>
  <c r="M907" i="5" s="1"/>
  <c r="L908" i="5"/>
  <c r="M908" i="5" s="1" a="1"/>
  <c r="M908" i="5" s="1"/>
  <c r="L909" i="5"/>
  <c r="M909" i="5" s="1" a="1"/>
  <c r="M909" i="5" s="1"/>
  <c r="L910" i="5"/>
  <c r="M910" i="5" s="1" a="1"/>
  <c r="M910" i="5" s="1"/>
  <c r="L911" i="5"/>
  <c r="M911" i="5" s="1" a="1"/>
  <c r="M911" i="5" s="1"/>
  <c r="L912" i="5"/>
  <c r="M912" i="5" s="1" a="1"/>
  <c r="M912" i="5" s="1"/>
  <c r="L913" i="5"/>
  <c r="M913" i="5" s="1" a="1"/>
  <c r="M913" i="5" s="1"/>
  <c r="L914" i="5"/>
  <c r="M914" i="5" s="1" a="1"/>
  <c r="M914" i="5" s="1"/>
  <c r="L915" i="5"/>
  <c r="M915" i="5" s="1" a="1"/>
  <c r="M915" i="5" s="1"/>
  <c r="L916" i="5"/>
  <c r="M916" i="5" s="1" a="1"/>
  <c r="M916" i="5" s="1"/>
  <c r="L917" i="5"/>
  <c r="M917" i="5" s="1" a="1"/>
  <c r="M917" i="5" s="1"/>
  <c r="L918" i="5"/>
  <c r="M918" i="5" s="1" a="1"/>
  <c r="M918" i="5" s="1"/>
  <c r="L919" i="5"/>
  <c r="M919" i="5" s="1" a="1"/>
  <c r="M919" i="5" s="1"/>
  <c r="L920" i="5"/>
  <c r="M920" i="5" s="1" a="1"/>
  <c r="M920" i="5" s="1"/>
  <c r="L921" i="5"/>
  <c r="M921" i="5" s="1" a="1"/>
  <c r="M921" i="5" s="1"/>
  <c r="L922" i="5"/>
  <c r="M922" i="5" s="1" a="1"/>
  <c r="M922" i="5" s="1"/>
  <c r="L923" i="5"/>
  <c r="M923" i="5" s="1" a="1"/>
  <c r="M923" i="5" s="1"/>
  <c r="L924" i="5"/>
  <c r="M924" i="5" s="1" a="1"/>
  <c r="M924" i="5" s="1"/>
  <c r="L925" i="5"/>
  <c r="M925" i="5" s="1" a="1"/>
  <c r="M925" i="5" s="1"/>
  <c r="L926" i="5"/>
  <c r="M926" i="5" s="1" a="1"/>
  <c r="M926" i="5" s="1"/>
  <c r="L927" i="5"/>
  <c r="M927" i="5" s="1" a="1"/>
  <c r="M927" i="5" s="1"/>
  <c r="L928" i="5"/>
  <c r="M928" i="5" s="1" a="1"/>
  <c r="M928" i="5" s="1"/>
  <c r="L929" i="5"/>
  <c r="M929" i="5" s="1" a="1"/>
  <c r="M929" i="5" s="1"/>
  <c r="L930" i="5"/>
  <c r="M930" i="5" s="1" a="1"/>
  <c r="M930" i="5" s="1"/>
  <c r="L931" i="5"/>
  <c r="M931" i="5" s="1" a="1"/>
  <c r="M931" i="5" s="1"/>
  <c r="L932" i="5"/>
  <c r="M932" i="5" s="1" a="1"/>
  <c r="M932" i="5" s="1"/>
  <c r="L933" i="5"/>
  <c r="M933" i="5" s="1" a="1"/>
  <c r="M933" i="5" s="1"/>
  <c r="L934" i="5"/>
  <c r="M934" i="5" s="1" a="1"/>
  <c r="M934" i="5" s="1"/>
  <c r="L935" i="5"/>
  <c r="M935" i="5" s="1" a="1"/>
  <c r="M935" i="5" s="1"/>
  <c r="L936" i="5"/>
  <c r="M936" i="5" s="1" a="1"/>
  <c r="M936" i="5" s="1"/>
  <c r="L937" i="5"/>
  <c r="M937" i="5" s="1" a="1"/>
  <c r="M937" i="5" s="1"/>
  <c r="L938" i="5"/>
  <c r="M938" i="5" s="1" a="1"/>
  <c r="M938" i="5" s="1"/>
  <c r="L939" i="5"/>
  <c r="M939" i="5" s="1" a="1"/>
  <c r="M939" i="5" s="1"/>
  <c r="L940" i="5"/>
  <c r="M940" i="5" s="1" a="1"/>
  <c r="M940" i="5" s="1"/>
  <c r="L941" i="5"/>
  <c r="M941" i="5" s="1" a="1"/>
  <c r="M941" i="5" s="1"/>
  <c r="L942" i="5"/>
  <c r="M942" i="5" s="1" a="1"/>
  <c r="M942" i="5" s="1"/>
  <c r="L943" i="5"/>
  <c r="M943" i="5" s="1" a="1"/>
  <c r="M943" i="5" s="1"/>
  <c r="L944" i="5"/>
  <c r="M944" i="5" s="1" a="1"/>
  <c r="M944" i="5" s="1"/>
  <c r="L945" i="5"/>
  <c r="M945" i="5" s="1" a="1"/>
  <c r="M945" i="5" s="1"/>
  <c r="L946" i="5"/>
  <c r="M946" i="5" s="1" a="1"/>
  <c r="M946" i="5" s="1"/>
  <c r="L947" i="5"/>
  <c r="M947" i="5" s="1" a="1"/>
  <c r="M947" i="5" s="1"/>
  <c r="L948" i="5"/>
  <c r="M948" i="5" s="1" a="1"/>
  <c r="M948" i="5" s="1"/>
  <c r="L949" i="5"/>
  <c r="M949" i="5" s="1" a="1"/>
  <c r="M949" i="5" s="1"/>
  <c r="L950" i="5"/>
  <c r="M950" i="5" s="1" a="1"/>
  <c r="M950" i="5" s="1"/>
  <c r="L951" i="5"/>
  <c r="M951" i="5" s="1" a="1"/>
  <c r="M951" i="5" s="1"/>
  <c r="L952" i="5"/>
  <c r="M952" i="5" s="1" a="1"/>
  <c r="M952" i="5" s="1"/>
  <c r="L953" i="5"/>
  <c r="M953" i="5" s="1" a="1"/>
  <c r="M953" i="5" s="1"/>
  <c r="L954" i="5"/>
  <c r="M954" i="5" s="1" a="1"/>
  <c r="M954" i="5" s="1"/>
  <c r="L955" i="5"/>
  <c r="M955" i="5" s="1" a="1"/>
  <c r="M955" i="5" s="1"/>
  <c r="L956" i="5"/>
  <c r="M956" i="5" s="1" a="1"/>
  <c r="M956" i="5" s="1"/>
  <c r="L957" i="5"/>
  <c r="M957" i="5" s="1" a="1"/>
  <c r="M957" i="5" s="1"/>
  <c r="L958" i="5"/>
  <c r="M958" i="5" s="1" a="1"/>
  <c r="M958" i="5" s="1"/>
  <c r="L959" i="5"/>
  <c r="M959" i="5" s="1" a="1"/>
  <c r="M959" i="5" s="1"/>
  <c r="L960" i="5"/>
  <c r="M960" i="5" s="1" a="1"/>
  <c r="M960" i="5" s="1"/>
  <c r="L961" i="5"/>
  <c r="M961" i="5" s="1" a="1"/>
  <c r="M961" i="5" s="1"/>
  <c r="L962" i="5"/>
  <c r="M962" i="5" s="1" a="1"/>
  <c r="M962" i="5" s="1"/>
  <c r="L963" i="5"/>
  <c r="M963" i="5" s="1" a="1"/>
  <c r="M963" i="5" s="1"/>
  <c r="L964" i="5"/>
  <c r="M964" i="5" s="1" a="1"/>
  <c r="M964" i="5" s="1"/>
  <c r="L965" i="5"/>
  <c r="M965" i="5" s="1" a="1"/>
  <c r="M965" i="5" s="1"/>
  <c r="L966" i="5"/>
  <c r="M966" i="5" s="1" a="1"/>
  <c r="M966" i="5" s="1"/>
  <c r="L967" i="5"/>
  <c r="M967" i="5" s="1" a="1"/>
  <c r="M967" i="5" s="1"/>
  <c r="L968" i="5"/>
  <c r="M968" i="5" s="1" a="1"/>
  <c r="M968" i="5" s="1"/>
  <c r="L969" i="5"/>
  <c r="M969" i="5" s="1" a="1"/>
  <c r="M969" i="5" s="1"/>
  <c r="L970" i="5"/>
  <c r="M970" i="5" s="1" a="1"/>
  <c r="M970" i="5" s="1"/>
  <c r="L971" i="5"/>
  <c r="M971" i="5" s="1" a="1"/>
  <c r="M971" i="5" s="1"/>
  <c r="L972" i="5"/>
  <c r="M972" i="5" s="1" a="1"/>
  <c r="M972" i="5" s="1"/>
  <c r="L973" i="5"/>
  <c r="M973" i="5" s="1" a="1"/>
  <c r="M973" i="5" s="1"/>
  <c r="L974" i="5"/>
  <c r="M974" i="5" s="1" a="1"/>
  <c r="M974" i="5" s="1"/>
  <c r="L975" i="5"/>
  <c r="M975" i="5" s="1" a="1"/>
  <c r="M975" i="5" s="1"/>
  <c r="L976" i="5"/>
  <c r="M976" i="5" s="1" a="1"/>
  <c r="M976" i="5" s="1"/>
  <c r="L977" i="5"/>
  <c r="M977" i="5" s="1" a="1"/>
  <c r="M977" i="5" s="1"/>
  <c r="L978" i="5"/>
  <c r="M978" i="5" s="1" a="1"/>
  <c r="M978" i="5" s="1"/>
  <c r="L979" i="5"/>
  <c r="M979" i="5" s="1" a="1"/>
  <c r="M979" i="5" s="1"/>
  <c r="L980" i="5"/>
  <c r="M980" i="5" s="1" a="1"/>
  <c r="M980" i="5" s="1"/>
  <c r="L981" i="5"/>
  <c r="M981" i="5" s="1" a="1"/>
  <c r="M981" i="5" s="1"/>
  <c r="L982" i="5"/>
  <c r="M982" i="5" s="1" a="1"/>
  <c r="M982" i="5" s="1"/>
  <c r="L983" i="5"/>
  <c r="M983" i="5" s="1" a="1"/>
  <c r="M983" i="5" s="1"/>
  <c r="L984" i="5"/>
  <c r="M984" i="5" s="1" a="1"/>
  <c r="M984" i="5" s="1"/>
  <c r="L985" i="5"/>
  <c r="M985" i="5" s="1" a="1"/>
  <c r="M985" i="5" s="1"/>
  <c r="L986" i="5"/>
  <c r="M986" i="5" s="1" a="1"/>
  <c r="M986" i="5" s="1"/>
  <c r="L987" i="5"/>
  <c r="M987" i="5" s="1" a="1"/>
  <c r="M987" i="5" s="1"/>
  <c r="L988" i="5"/>
  <c r="M988" i="5" s="1" a="1"/>
  <c r="M988" i="5" s="1"/>
  <c r="L989" i="5"/>
  <c r="M989" i="5" s="1" a="1"/>
  <c r="M989" i="5" s="1"/>
  <c r="L990" i="5"/>
  <c r="M990" i="5" s="1" a="1"/>
  <c r="M990" i="5" s="1"/>
  <c r="L991" i="5"/>
  <c r="M991" i="5" s="1" a="1"/>
  <c r="M991" i="5" s="1"/>
  <c r="L992" i="5"/>
  <c r="M992" i="5" s="1" a="1"/>
  <c r="M992" i="5" s="1"/>
  <c r="L993" i="5"/>
  <c r="M993" i="5" s="1" a="1"/>
  <c r="M993" i="5" s="1"/>
  <c r="L994" i="5"/>
  <c r="M994" i="5" s="1" a="1"/>
  <c r="M994" i="5" s="1"/>
  <c r="L995" i="5"/>
  <c r="M995" i="5" s="1" a="1"/>
  <c r="M995" i="5" s="1"/>
  <c r="L996" i="5"/>
  <c r="M996" i="5" s="1" a="1"/>
  <c r="M996" i="5" s="1"/>
  <c r="L997" i="5"/>
  <c r="M997" i="5" s="1" a="1"/>
  <c r="M997" i="5" s="1"/>
  <c r="L998" i="5"/>
  <c r="M998" i="5" s="1" a="1"/>
  <c r="M998" i="5" s="1"/>
  <c r="L999" i="5"/>
  <c r="M999" i="5" s="1" a="1"/>
  <c r="M999" i="5" s="1"/>
  <c r="L1000" i="5"/>
  <c r="M1000" i="5" s="1" a="1"/>
  <c r="M1000" i="5" s="1"/>
  <c r="L1001" i="5"/>
  <c r="M1001" i="5" s="1" a="1"/>
  <c r="M1001" i="5" s="1"/>
  <c r="L4" i="5"/>
  <c r="M4" i="5" s="1" a="1"/>
  <c r="M4" i="5" s="1"/>
  <c r="L3" i="5"/>
  <c r="M3" i="5" s="1" a="1"/>
  <c r="M3" i="5" s="1"/>
  <c r="L2" i="5"/>
  <c r="M2" i="5" s="1" a="1"/>
  <c r="M2" i="5" s="1"/>
  <c r="B9" i="9" l="1"/>
  <c r="B11" i="9"/>
  <c r="B12" i="9" s="1"/>
  <c r="B7" i="9"/>
  <c r="B10" i="9"/>
  <c r="B2" i="13" a="1"/>
  <c r="D10" i="13"/>
  <c r="D6" i="13"/>
  <c r="G2" i="13" a="1"/>
  <c r="G2" i="13" s="1"/>
  <c r="C2" i="13" a="1"/>
  <c r="D9" i="13"/>
  <c r="D5" i="13"/>
  <c r="D8" i="13"/>
  <c r="D4" i="13"/>
  <c r="D11" i="13"/>
  <c r="D7" i="13"/>
  <c r="D3" i="13"/>
  <c r="C2" i="13" l="1"/>
  <c r="F3" i="13"/>
  <c r="F8" i="13"/>
  <c r="B2" i="13"/>
  <c r="E2" i="13" s="1"/>
  <c r="E5" i="13"/>
  <c r="F5" i="13" s="1"/>
  <c r="E9" i="13"/>
  <c r="F9" i="13" s="1"/>
  <c r="E6" i="13"/>
  <c r="F6" i="13" s="1"/>
  <c r="E10" i="13"/>
  <c r="F10" i="13" s="1"/>
  <c r="E3" i="13"/>
  <c r="E7" i="13"/>
  <c r="F7" i="13" s="1"/>
  <c r="E11" i="13"/>
  <c r="F11" i="13" s="1"/>
  <c r="E4" i="13"/>
  <c r="F4" i="13" s="1"/>
  <c r="E8" i="13"/>
  <c r="F2" i="13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<sst xmlns="http://schemas.openxmlformats.org/spreadsheetml/2006/main" count="13632" uniqueCount="1595">
  <si>
    <t>Healthcare MIS Practice Dataset (dummy data, no real patients)</t>
  </si>
  <si>
    <t>Scenario: you are an MIS Executive for a medical billing (RCM) team of 10 AR agents in 3 teams. You report to the operations manager.</t>
  </si>
  <si>
    <t>Aging / report date: 15-Oct-2026</t>
  </si>
  <si>
    <t>Sheets</t>
  </si>
  <si>
    <t>Claims_Raw: 1,010 rows. One row per claim (some duplicates). Columns: Claim ID, Patient ID, Facility, Payer, DOS, Submission Date, Billed Amount, Paid Amount, Status, Denial Reason, Assigned Agent.</t>
  </si>
  <si>
    <t>Agents: 10 agents with Team Lead and daily target (accounts per day).</t>
  </si>
  <si>
    <t>Daily_Productivity: daily work log, 1-Sep-2026 to 15-Oct-2026 (weekdays). Columns: Work Date, Agent, Accounts Worked, Hours Logged, Quality %.</t>
  </si>
  <si>
    <t>Rules</t>
  </si>
  <si>
    <t>Status values: Paid, Denied, Pending. Only Pending claims count as outstanding AR.</t>
  </si>
  <si>
    <t>Paid Amount is blank for Pending claims and 0 for Denied claims.</t>
  </si>
  <si>
    <t>Planted data issues (Claims_Raw)</t>
  </si>
  <si>
    <t>1. 10 duplicate rows (same Claim ID twice)</t>
  </si>
  <si>
    <t>2. About 15 blank Payer values</t>
  </si>
  <si>
    <t>3. Payer names with extra spaces or ALL CAPS</t>
  </si>
  <si>
    <t>4. Status in mixed case or with extra spaces</t>
  </si>
  <si>
    <t>5. Agent names in lowercase or with extra spaces</t>
  </si>
  <si>
    <t>Claim ID</t>
  </si>
  <si>
    <t>Patient ID</t>
  </si>
  <si>
    <t>Facility</t>
  </si>
  <si>
    <t>Payer</t>
  </si>
  <si>
    <t>DOS</t>
  </si>
  <si>
    <t>Submission Date</t>
  </si>
  <si>
    <t>Billed Amount</t>
  </si>
  <si>
    <t>Paid Amount</t>
  </si>
  <si>
    <t>Status</t>
  </si>
  <si>
    <t>Denial Reason</t>
  </si>
  <si>
    <t>Assigned Agent</t>
  </si>
  <si>
    <t>C20001</t>
  </si>
  <si>
    <t>P-1411</t>
  </si>
  <si>
    <t>Green Valley Health</t>
  </si>
  <si>
    <t>UnitedHealthcare</t>
  </si>
  <si>
    <t>Denied</t>
  </si>
  <si>
    <t>Duplicate Claim</t>
  </si>
  <si>
    <t>Amit V</t>
  </si>
  <si>
    <t>C20002</t>
  </si>
  <si>
    <t>P-1324</t>
  </si>
  <si>
    <t>City Care Clinic</t>
  </si>
  <si>
    <t>Paid</t>
  </si>
  <si>
    <t>Vikas R</t>
  </si>
  <si>
    <t>C20003</t>
  </si>
  <si>
    <t>P-1032</t>
  </si>
  <si>
    <t>Medicare</t>
  </si>
  <si>
    <t>Pending</t>
  </si>
  <si>
    <t>Neha G</t>
  </si>
  <si>
    <t>C20004</t>
  </si>
  <si>
    <t>P-1327</t>
  </si>
  <si>
    <t>Apex Ortho Center</t>
  </si>
  <si>
    <t>Coding Error</t>
  </si>
  <si>
    <t>Priya K</t>
  </si>
  <si>
    <t>C20005</t>
  </si>
  <si>
    <t>P-1477</t>
  </si>
  <si>
    <t xml:space="preserve"> Cigna </t>
  </si>
  <si>
    <t>Pooja M</t>
  </si>
  <si>
    <t>C20006</t>
  </si>
  <si>
    <t>P-1055</t>
  </si>
  <si>
    <t>Aetna</t>
  </si>
  <si>
    <t>Rahul S</t>
  </si>
  <si>
    <t>C20007</t>
  </si>
  <si>
    <t>P-1026</t>
  </si>
  <si>
    <t>C20008</t>
  </si>
  <si>
    <t>P-1398</t>
  </si>
  <si>
    <t>Medicaid</t>
  </si>
  <si>
    <t>Sandeep Y</t>
  </si>
  <si>
    <t>C20009</t>
  </si>
  <si>
    <t>P-1051</t>
  </si>
  <si>
    <t>Anjali T</t>
  </si>
  <si>
    <t>C20010</t>
  </si>
  <si>
    <t>P-1067</t>
  </si>
  <si>
    <t>Cigna</t>
  </si>
  <si>
    <t>C20011</t>
  </si>
  <si>
    <t>P-1303</t>
  </si>
  <si>
    <t>Self Pay</t>
  </si>
  <si>
    <t>Incorrect Patient Info</t>
  </si>
  <si>
    <t>C20012</t>
  </si>
  <si>
    <t>P-1308</t>
  </si>
  <si>
    <t>C20013</t>
  </si>
  <si>
    <t>P-1197</t>
  </si>
  <si>
    <t>C20014</t>
  </si>
  <si>
    <t>P-1247</t>
  </si>
  <si>
    <t>Sunrise Hospital</t>
  </si>
  <si>
    <t>Blue Cross</t>
  </si>
  <si>
    <t>C20015</t>
  </si>
  <si>
    <t>P-1127</t>
  </si>
  <si>
    <t>Rohit B</t>
  </si>
  <si>
    <t>C20016</t>
  </si>
  <si>
    <t>P-1019</t>
  </si>
  <si>
    <t>C20017</t>
  </si>
  <si>
    <t>P-1035</t>
  </si>
  <si>
    <t>C20018</t>
  </si>
  <si>
    <t>P-1104</t>
  </si>
  <si>
    <t>C20019</t>
  </si>
  <si>
    <t>P-1498</t>
  </si>
  <si>
    <t>C20020</t>
  </si>
  <si>
    <t>P-1071</t>
  </si>
  <si>
    <t>Humana</t>
  </si>
  <si>
    <t>C20021</t>
  </si>
  <si>
    <t>P-1374</t>
  </si>
  <si>
    <t>C20022</t>
  </si>
  <si>
    <t>P-1377</t>
  </si>
  <si>
    <t>C20023</t>
  </si>
  <si>
    <t>P-1446</t>
  </si>
  <si>
    <t>C20024</t>
  </si>
  <si>
    <t>P-1006</t>
  </si>
  <si>
    <t>C20025</t>
  </si>
  <si>
    <t>P-1225</t>
  </si>
  <si>
    <t>C20026</t>
  </si>
  <si>
    <t>P-1044</t>
  </si>
  <si>
    <t>C20027</t>
  </si>
  <si>
    <t>P-1188</t>
  </si>
  <si>
    <t>Kavita D</t>
  </si>
  <si>
    <t>C20028</t>
  </si>
  <si>
    <t>P-1255</t>
  </si>
  <si>
    <t>C20029</t>
  </si>
  <si>
    <t>P-1196</t>
  </si>
  <si>
    <t>C20030</t>
  </si>
  <si>
    <t>P-1364</t>
  </si>
  <si>
    <t>Medical Necessity Not Met</t>
  </si>
  <si>
    <t>C20031</t>
  </si>
  <si>
    <t>P-1195</t>
  </si>
  <si>
    <t>C20032</t>
  </si>
  <si>
    <t>P-1142</t>
  </si>
  <si>
    <t>C20033</t>
  </si>
  <si>
    <t>P-1012</t>
  </si>
  <si>
    <t>C20034</t>
  </si>
  <si>
    <t>C20035</t>
  </si>
  <si>
    <t>P-1386</t>
  </si>
  <si>
    <t>C20036</t>
  </si>
  <si>
    <t>P-1256</t>
  </si>
  <si>
    <t>C20037</t>
  </si>
  <si>
    <t>P-1465</t>
  </si>
  <si>
    <t>paid</t>
  </si>
  <si>
    <t>C20038</t>
  </si>
  <si>
    <t>C20039</t>
  </si>
  <si>
    <t>P-1500</t>
  </si>
  <si>
    <t>PENDING</t>
  </si>
  <si>
    <t>C20040</t>
  </si>
  <si>
    <t>P-1215</t>
  </si>
  <si>
    <t>C20041</t>
  </si>
  <si>
    <t>P-1403</t>
  </si>
  <si>
    <t>C20042</t>
  </si>
  <si>
    <t>P-1352</t>
  </si>
  <si>
    <t>C20043</t>
  </si>
  <si>
    <t>P-1287</t>
  </si>
  <si>
    <t>C20044</t>
  </si>
  <si>
    <t>P-1445</t>
  </si>
  <si>
    <t>pending</t>
  </si>
  <si>
    <t>C20045</t>
  </si>
  <si>
    <t>P-1210</t>
  </si>
  <si>
    <t xml:space="preserve"> UnitedHealthcare </t>
  </si>
  <si>
    <t>C20046</t>
  </si>
  <si>
    <t>P-1264</t>
  </si>
  <si>
    <t>C20047</t>
  </si>
  <si>
    <t>P-1211</t>
  </si>
  <si>
    <t>C20048</t>
  </si>
  <si>
    <t>P-1417</t>
  </si>
  <si>
    <t>C20049</t>
  </si>
  <si>
    <t>P-1066</t>
  </si>
  <si>
    <t>C20050</t>
  </si>
  <si>
    <t>P-1053</t>
  </si>
  <si>
    <t>C20051</t>
  </si>
  <si>
    <t>P-1449</t>
  </si>
  <si>
    <t>C20052</t>
  </si>
  <si>
    <t>P-1271</t>
  </si>
  <si>
    <t>C20053</t>
  </si>
  <si>
    <t>P-1161</t>
  </si>
  <si>
    <t>C20054</t>
  </si>
  <si>
    <t>P-1132</t>
  </si>
  <si>
    <t>C20055</t>
  </si>
  <si>
    <t>P-1291</t>
  </si>
  <si>
    <t>C20056</t>
  </si>
  <si>
    <t>P-1036</t>
  </si>
  <si>
    <t>C20057</t>
  </si>
  <si>
    <t>P-1080</t>
  </si>
  <si>
    <t>C20058</t>
  </si>
  <si>
    <t>P-1218</t>
  </si>
  <si>
    <t>C20059</t>
  </si>
  <si>
    <t>P-1092</t>
  </si>
  <si>
    <t>C20060</t>
  </si>
  <si>
    <t>P-1043</t>
  </si>
  <si>
    <t>C20061</t>
  </si>
  <si>
    <t>P-1059</t>
  </si>
  <si>
    <t>BLUE CROSS</t>
  </si>
  <si>
    <t>C20062</t>
  </si>
  <si>
    <t>P-1207</t>
  </si>
  <si>
    <t>C20063</t>
  </si>
  <si>
    <t>P-1462</t>
  </si>
  <si>
    <t>C20064</t>
  </si>
  <si>
    <t>P-1254</t>
  </si>
  <si>
    <t>C20065</t>
  </si>
  <si>
    <t>P-1025</t>
  </si>
  <si>
    <t>C20066</t>
  </si>
  <si>
    <t>P-1212</t>
  </si>
  <si>
    <t>C20067</t>
  </si>
  <si>
    <t>P-1277</t>
  </si>
  <si>
    <t>C20068</t>
  </si>
  <si>
    <t xml:space="preserve"> Sandeep Y</t>
  </si>
  <si>
    <t>C20069</t>
  </si>
  <si>
    <t>P-1209</t>
  </si>
  <si>
    <t>C20070</t>
  </si>
  <si>
    <t>P-1244</t>
  </si>
  <si>
    <t>C20071</t>
  </si>
  <si>
    <t>P-1370</t>
  </si>
  <si>
    <t>MEDICARE</t>
  </si>
  <si>
    <t>C20072</t>
  </si>
  <si>
    <t>P-1270</t>
  </si>
  <si>
    <t>C20073</t>
  </si>
  <si>
    <t>P-1186</t>
  </si>
  <si>
    <t>C20074</t>
  </si>
  <si>
    <t>P-1433</t>
  </si>
  <si>
    <t>C20075</t>
  </si>
  <si>
    <t>P-1468</t>
  </si>
  <si>
    <t>C20076</t>
  </si>
  <si>
    <t>P-1113</t>
  </si>
  <si>
    <t>C20077</t>
  </si>
  <si>
    <t>P-1107</t>
  </si>
  <si>
    <t>C20078</t>
  </si>
  <si>
    <t>P-1319</t>
  </si>
  <si>
    <t>C20079</t>
  </si>
  <si>
    <t>P-1148</t>
  </si>
  <si>
    <t>C20080</t>
  </si>
  <si>
    <t>P-1248</t>
  </si>
  <si>
    <t>C20081</t>
  </si>
  <si>
    <t>P-1309</t>
  </si>
  <si>
    <t>C20082</t>
  </si>
  <si>
    <t>P-1464</t>
  </si>
  <si>
    <t>C20083</t>
  </si>
  <si>
    <t>P-1156</t>
  </si>
  <si>
    <t>C20084</t>
  </si>
  <si>
    <t>P-1187</t>
  </si>
  <si>
    <t>C20085</t>
  </si>
  <si>
    <t>P-1302</t>
  </si>
  <si>
    <t>C20086</t>
  </si>
  <si>
    <t>P-1494</t>
  </si>
  <si>
    <t>C20087</t>
  </si>
  <si>
    <t>C20088</t>
  </si>
  <si>
    <t>P-1112</t>
  </si>
  <si>
    <t>C20089</t>
  </si>
  <si>
    <t>P-1069</t>
  </si>
  <si>
    <t>C20090</t>
  </si>
  <si>
    <t>P-1412</t>
  </si>
  <si>
    <t>C20091</t>
  </si>
  <si>
    <t>P-1005</t>
  </si>
  <si>
    <t>C20092</t>
  </si>
  <si>
    <t>P-1192</t>
  </si>
  <si>
    <t>C20093</t>
  </si>
  <si>
    <t>denied</t>
  </si>
  <si>
    <t>C20094</t>
  </si>
  <si>
    <t>P-1160</t>
  </si>
  <si>
    <t>pooja m</t>
  </si>
  <si>
    <t>C20095</t>
  </si>
  <si>
    <t>P-1143</t>
  </si>
  <si>
    <t>C20096</t>
  </si>
  <si>
    <t>C20097</t>
  </si>
  <si>
    <t>C20098</t>
  </si>
  <si>
    <t>P-1230</t>
  </si>
  <si>
    <t>C20099</t>
  </si>
  <si>
    <t>P-1414</t>
  </si>
  <si>
    <t>C20100</t>
  </si>
  <si>
    <t>C20101</t>
  </si>
  <si>
    <t>P-1489</t>
  </si>
  <si>
    <t>C20102</t>
  </si>
  <si>
    <t>C20103</t>
  </si>
  <si>
    <t>P-1493</t>
  </si>
  <si>
    <t>C20104</t>
  </si>
  <si>
    <t>P-1341</t>
  </si>
  <si>
    <t>C20105</t>
  </si>
  <si>
    <t>P-1227</t>
  </si>
  <si>
    <t>C20106</t>
  </si>
  <si>
    <t>P-1432</t>
  </si>
  <si>
    <t>C20107</t>
  </si>
  <si>
    <t>P-1284</t>
  </si>
  <si>
    <t>Patient Not Eligible</t>
  </si>
  <si>
    <t>C20108</t>
  </si>
  <si>
    <t>C20109</t>
  </si>
  <si>
    <t>P-1091</t>
  </si>
  <si>
    <t>C20110</t>
  </si>
  <si>
    <t>P-1208</t>
  </si>
  <si>
    <t>C20111</t>
  </si>
  <si>
    <t>P-1420</t>
  </si>
  <si>
    <t>C20112</t>
  </si>
  <si>
    <t>P-1404</t>
  </si>
  <si>
    <t>C20113</t>
  </si>
  <si>
    <t>P-1175</t>
  </si>
  <si>
    <t>C20114</t>
  </si>
  <si>
    <t>P-1365</t>
  </si>
  <si>
    <t>C20115</t>
  </si>
  <si>
    <t>C20116</t>
  </si>
  <si>
    <t>P-1213</t>
  </si>
  <si>
    <t>C20117</t>
  </si>
  <si>
    <t>C20118</t>
  </si>
  <si>
    <t>P-1459</t>
  </si>
  <si>
    <t>C20119</t>
  </si>
  <si>
    <t>P-1206</t>
  </si>
  <si>
    <t>C20120</t>
  </si>
  <si>
    <t>C20121</t>
  </si>
  <si>
    <t>P-1027</t>
  </si>
  <si>
    <t>C20122</t>
  </si>
  <si>
    <t>C20123</t>
  </si>
  <si>
    <t>P-1169</t>
  </si>
  <si>
    <t>PAID</t>
  </si>
  <si>
    <t>C20124</t>
  </si>
  <si>
    <t>P-1305</t>
  </si>
  <si>
    <t>C20125</t>
  </si>
  <si>
    <t>P-1124</t>
  </si>
  <si>
    <t>C20126</t>
  </si>
  <si>
    <t>P-1450</t>
  </si>
  <si>
    <t>C20127</t>
  </si>
  <si>
    <t>C20128</t>
  </si>
  <si>
    <t>P-1294</t>
  </si>
  <si>
    <t xml:space="preserve"> Medicare </t>
  </si>
  <si>
    <t>C20129</t>
  </si>
  <si>
    <t>C20130</t>
  </si>
  <si>
    <t>Timely Filing Exceeded</t>
  </si>
  <si>
    <t>C20131</t>
  </si>
  <si>
    <t>P-1354</t>
  </si>
  <si>
    <t>C20132</t>
  </si>
  <si>
    <t>P-1357</t>
  </si>
  <si>
    <t>C20133</t>
  </si>
  <si>
    <t>P-1140</t>
  </si>
  <si>
    <t>C20134</t>
  </si>
  <si>
    <t>P-1363</t>
  </si>
  <si>
    <t>C20135</t>
  </si>
  <si>
    <t>P-1338</t>
  </si>
  <si>
    <t>C20136</t>
  </si>
  <si>
    <t>P-1039</t>
  </si>
  <si>
    <t>C20137</t>
  </si>
  <si>
    <t>P-1145</t>
  </si>
  <si>
    <t>C20138</t>
  </si>
  <si>
    <t>P-1097</t>
  </si>
  <si>
    <t>C20139</t>
  </si>
  <si>
    <t>P-1017</t>
  </si>
  <si>
    <t>C20140</t>
  </si>
  <si>
    <t>C20141</t>
  </si>
  <si>
    <t>P-1266</t>
  </si>
  <si>
    <t>C20142</t>
  </si>
  <si>
    <t>P-1366</t>
  </si>
  <si>
    <t>C20143</t>
  </si>
  <si>
    <t>P-1293</t>
  </si>
  <si>
    <t>amit v</t>
  </si>
  <si>
    <t>C20144</t>
  </si>
  <si>
    <t>C20145</t>
  </si>
  <si>
    <t>P-1121</t>
  </si>
  <si>
    <t>C20146</t>
  </si>
  <si>
    <t>P-1332</t>
  </si>
  <si>
    <t>C20147</t>
  </si>
  <si>
    <t>P-1110</t>
  </si>
  <si>
    <t>C20148</t>
  </si>
  <si>
    <t>Missing Prior Authorization</t>
  </si>
  <si>
    <t>C20149</t>
  </si>
  <si>
    <t>P-1497</t>
  </si>
  <si>
    <t>C20150</t>
  </si>
  <si>
    <t>C20151</t>
  </si>
  <si>
    <t>C20152</t>
  </si>
  <si>
    <t>P-1094</t>
  </si>
  <si>
    <t>C20153</t>
  </si>
  <si>
    <t>C20154</t>
  </si>
  <si>
    <t>P-1185</t>
  </si>
  <si>
    <t>C20155</t>
  </si>
  <si>
    <t>P-1137</t>
  </si>
  <si>
    <t>C20156</t>
  </si>
  <si>
    <t>P-1164</t>
  </si>
  <si>
    <t>C20157</t>
  </si>
  <si>
    <t>P-1250</t>
  </si>
  <si>
    <t>C20158</t>
  </si>
  <si>
    <t>C20159</t>
  </si>
  <si>
    <t>P-1273</t>
  </si>
  <si>
    <t>C20160</t>
  </si>
  <si>
    <t>C20161</t>
  </si>
  <si>
    <t>C20162</t>
  </si>
  <si>
    <t>C20163</t>
  </si>
  <si>
    <t>P-1085</t>
  </si>
  <si>
    <t>C20164</t>
  </si>
  <si>
    <t>C20165</t>
  </si>
  <si>
    <t>P-1139</t>
  </si>
  <si>
    <t>C20166</t>
  </si>
  <si>
    <t>P-1037</t>
  </si>
  <si>
    <t>C20167</t>
  </si>
  <si>
    <t>P-1454</t>
  </si>
  <si>
    <t>C20168</t>
  </si>
  <si>
    <t>P-1321</t>
  </si>
  <si>
    <t>C20169</t>
  </si>
  <si>
    <t>C20170</t>
  </si>
  <si>
    <t>P-1242</t>
  </si>
  <si>
    <t>C20171</t>
  </si>
  <si>
    <t>P-1278</t>
  </si>
  <si>
    <t>C20172</t>
  </si>
  <si>
    <t>C20173</t>
  </si>
  <si>
    <t>P-1422</t>
  </si>
  <si>
    <t>C20174</t>
  </si>
  <si>
    <t>C20175</t>
  </si>
  <si>
    <t>C20176</t>
  </si>
  <si>
    <t>P-1262</t>
  </si>
  <si>
    <t>C20177</t>
  </si>
  <si>
    <t>P-1355</t>
  </si>
  <si>
    <t xml:space="preserve"> Paid</t>
  </si>
  <si>
    <t>C20178</t>
  </si>
  <si>
    <t>P-1424</t>
  </si>
  <si>
    <t>C20179</t>
  </si>
  <si>
    <t>P-1118</t>
  </si>
  <si>
    <t>C20180</t>
  </si>
  <si>
    <t>C20181</t>
  </si>
  <si>
    <t>C20182</t>
  </si>
  <si>
    <t>C20183</t>
  </si>
  <si>
    <t>C20184</t>
  </si>
  <si>
    <t>C20185</t>
  </si>
  <si>
    <t>P-1138</t>
  </si>
  <si>
    <t>C20186</t>
  </si>
  <si>
    <t>P-1286</t>
  </si>
  <si>
    <t>C20187</t>
  </si>
  <si>
    <t>P-1103</t>
  </si>
  <si>
    <t>C20188</t>
  </si>
  <si>
    <t>P-1423</t>
  </si>
  <si>
    <t>C20189</t>
  </si>
  <si>
    <t>P-1371</t>
  </si>
  <si>
    <t>C20190</t>
  </si>
  <si>
    <t>C20191</t>
  </si>
  <si>
    <t>C20192</t>
  </si>
  <si>
    <t>P-1393</t>
  </si>
  <si>
    <t>C20193</t>
  </si>
  <si>
    <t>C20194</t>
  </si>
  <si>
    <t>C20195</t>
  </si>
  <si>
    <t>P-1024</t>
  </si>
  <si>
    <t>C20196</t>
  </si>
  <si>
    <t>P-1011</t>
  </si>
  <si>
    <t>C20197</t>
  </si>
  <si>
    <t>P-1430</t>
  </si>
  <si>
    <t>C20198</t>
  </si>
  <si>
    <t>P-1480</t>
  </si>
  <si>
    <t>C20199</t>
  </si>
  <si>
    <t xml:space="preserve"> Pending</t>
  </si>
  <si>
    <t>C20200</t>
  </si>
  <si>
    <t>P-1028</t>
  </si>
  <si>
    <t>C20201</t>
  </si>
  <si>
    <t>P-1473</t>
  </si>
  <si>
    <t>C20202</t>
  </si>
  <si>
    <t>C20203</t>
  </si>
  <si>
    <t>P-1023</t>
  </si>
  <si>
    <t>C20204</t>
  </si>
  <si>
    <t>C20205</t>
  </si>
  <si>
    <t>C20206</t>
  </si>
  <si>
    <t>C20207</t>
  </si>
  <si>
    <t xml:space="preserve"> Self Pay </t>
  </si>
  <si>
    <t>C20208</t>
  </si>
  <si>
    <t>C20209</t>
  </si>
  <si>
    <t>C20210</t>
  </si>
  <si>
    <t>C20211</t>
  </si>
  <si>
    <t>P-1220</t>
  </si>
  <si>
    <t>C20212</t>
  </si>
  <si>
    <t>C20213</t>
  </si>
  <si>
    <t>C20214</t>
  </si>
  <si>
    <t>P-1419</t>
  </si>
  <si>
    <t>C20215</t>
  </si>
  <si>
    <t>P-1360</t>
  </si>
  <si>
    <t>C20216</t>
  </si>
  <si>
    <t>P-1146</t>
  </si>
  <si>
    <t>C20217</t>
  </si>
  <si>
    <t>C20218</t>
  </si>
  <si>
    <t>P-1125</t>
  </si>
  <si>
    <t>C20219</t>
  </si>
  <si>
    <t>C20220</t>
  </si>
  <si>
    <t>P-1008</t>
  </si>
  <si>
    <t>C20221</t>
  </si>
  <si>
    <t>C20222</t>
  </si>
  <si>
    <t>P-1202</t>
  </si>
  <si>
    <t>C20223</t>
  </si>
  <si>
    <t>P-1335</t>
  </si>
  <si>
    <t>C20224</t>
  </si>
  <si>
    <t>P-1073</t>
  </si>
  <si>
    <t>C20225</t>
  </si>
  <si>
    <t>P-1452</t>
  </si>
  <si>
    <t>C20226</t>
  </si>
  <si>
    <t>P-1458</t>
  </si>
  <si>
    <t>vikas r</t>
  </si>
  <si>
    <t>C20227</t>
  </si>
  <si>
    <t>P-1397</t>
  </si>
  <si>
    <t>C20228</t>
  </si>
  <si>
    <t>P-1157</t>
  </si>
  <si>
    <t>C20229</t>
  </si>
  <si>
    <t>P-1285</t>
  </si>
  <si>
    <t>C20230</t>
  </si>
  <si>
    <t>P-1268</t>
  </si>
  <si>
    <t>C20231</t>
  </si>
  <si>
    <t>C20232</t>
  </si>
  <si>
    <t>P-1390</t>
  </si>
  <si>
    <t>C20233</t>
  </si>
  <si>
    <t>C20234</t>
  </si>
  <si>
    <t>C20235</t>
  </si>
  <si>
    <t>P-1170</t>
  </si>
  <si>
    <t>C20236</t>
  </si>
  <si>
    <t>P-1280</t>
  </si>
  <si>
    <t>C20237</t>
  </si>
  <si>
    <t>P-1383</t>
  </si>
  <si>
    <t>C20238</t>
  </si>
  <si>
    <t>P-1182</t>
  </si>
  <si>
    <t>C20239</t>
  </si>
  <si>
    <t>C20240</t>
  </si>
  <si>
    <t>P-1217</t>
  </si>
  <si>
    <t>C20241</t>
  </si>
  <si>
    <t>P-1425</t>
  </si>
  <si>
    <t>C20242</t>
  </si>
  <si>
    <t>C20243</t>
  </si>
  <si>
    <t>P-1279</t>
  </si>
  <si>
    <t>C20244</t>
  </si>
  <si>
    <t>C20245</t>
  </si>
  <si>
    <t>P-1372</t>
  </si>
  <si>
    <t>C20246</t>
  </si>
  <si>
    <t>P-1472</t>
  </si>
  <si>
    <t>C20247</t>
  </si>
  <si>
    <t>C20248</t>
  </si>
  <si>
    <t>P-1198</t>
  </si>
  <si>
    <t>C20249</t>
  </si>
  <si>
    <t>C20250</t>
  </si>
  <si>
    <t>C20251</t>
  </si>
  <si>
    <t>P-1193</t>
  </si>
  <si>
    <t>C20252</t>
  </si>
  <si>
    <t>C20253</t>
  </si>
  <si>
    <t>C20254</t>
  </si>
  <si>
    <t>C20255</t>
  </si>
  <si>
    <t>C20256</t>
  </si>
  <si>
    <t>P-1367</t>
  </si>
  <si>
    <t>C20257</t>
  </si>
  <si>
    <t>P-1150</t>
  </si>
  <si>
    <t>C20258</t>
  </si>
  <si>
    <t>P-1260</t>
  </si>
  <si>
    <t>C20259</t>
  </si>
  <si>
    <t>P-1083</t>
  </si>
  <si>
    <t>C20260</t>
  </si>
  <si>
    <t>C20261</t>
  </si>
  <si>
    <t>C20262</t>
  </si>
  <si>
    <t>C20263</t>
  </si>
  <si>
    <t>P-1269</t>
  </si>
  <si>
    <t>C20264</t>
  </si>
  <si>
    <t>C20265</t>
  </si>
  <si>
    <t>P-1486</t>
  </si>
  <si>
    <t>C20266</t>
  </si>
  <si>
    <t>P-1016</t>
  </si>
  <si>
    <t>C20267</t>
  </si>
  <si>
    <t>C20268</t>
  </si>
  <si>
    <t>P-1007</t>
  </si>
  <si>
    <t>C20269</t>
  </si>
  <si>
    <t>P-1476</t>
  </si>
  <si>
    <t>C20270</t>
  </si>
  <si>
    <t>C20271</t>
  </si>
  <si>
    <t>P-1378</t>
  </si>
  <si>
    <t>C20272</t>
  </si>
  <si>
    <t>P-1257</t>
  </si>
  <si>
    <t>C20273</t>
  </si>
  <si>
    <t>P-1427</t>
  </si>
  <si>
    <t>C20274</t>
  </si>
  <si>
    <t>P-1379</t>
  </si>
  <si>
    <t>C20275</t>
  </si>
  <si>
    <t>C20276</t>
  </si>
  <si>
    <t>P-1163</t>
  </si>
  <si>
    <t>C20277</t>
  </si>
  <si>
    <t>C20278</t>
  </si>
  <si>
    <t>P-1267</t>
  </si>
  <si>
    <t>C20279</t>
  </si>
  <si>
    <t>P-1499</t>
  </si>
  <si>
    <t>C20280</t>
  </si>
  <si>
    <t>C20281</t>
  </si>
  <si>
    <t>P-1144</t>
  </si>
  <si>
    <t>C20282</t>
  </si>
  <si>
    <t>P-1334</t>
  </si>
  <si>
    <t>C20283</t>
  </si>
  <si>
    <t>P-1316</t>
  </si>
  <si>
    <t>C20284</t>
  </si>
  <si>
    <t>P-1219</t>
  </si>
  <si>
    <t xml:space="preserve"> Anjali T</t>
  </si>
  <si>
    <t>C20285</t>
  </si>
  <si>
    <t>P-1087</t>
  </si>
  <si>
    <t>C20286</t>
  </si>
  <si>
    <t>P-1177</t>
  </si>
  <si>
    <t>C20287</t>
  </si>
  <si>
    <t>P-1205</t>
  </si>
  <si>
    <t>C20288</t>
  </si>
  <si>
    <t>C20289</t>
  </si>
  <si>
    <t>P-1408</t>
  </si>
  <si>
    <t>C20290</t>
  </si>
  <si>
    <t>P-1246</t>
  </si>
  <si>
    <t>C20291</t>
  </si>
  <si>
    <t>P-1353</t>
  </si>
  <si>
    <t>C20292</t>
  </si>
  <si>
    <t>P-1090</t>
  </si>
  <si>
    <t>C20293</t>
  </si>
  <si>
    <t>P-1336</t>
  </si>
  <si>
    <t>C20294</t>
  </si>
  <si>
    <t>P-1159</t>
  </si>
  <si>
    <t>C20295</t>
  </si>
  <si>
    <t>C20296</t>
  </si>
  <si>
    <t>C20297</t>
  </si>
  <si>
    <t>P-1095</t>
  </si>
  <si>
    <t>CIGNA</t>
  </si>
  <si>
    <t>C20298</t>
  </si>
  <si>
    <t>C20299</t>
  </si>
  <si>
    <t>P-1049</t>
  </si>
  <si>
    <t xml:space="preserve"> Rohit B</t>
  </si>
  <si>
    <t>C20300</t>
  </si>
  <si>
    <t>C20301</t>
  </si>
  <si>
    <t>P-1151</t>
  </si>
  <si>
    <t>C20302</t>
  </si>
  <si>
    <t>P-1243</t>
  </si>
  <si>
    <t>C20303</t>
  </si>
  <si>
    <t>C20304</t>
  </si>
  <si>
    <t>C20305</t>
  </si>
  <si>
    <t>P-1488</t>
  </si>
  <si>
    <t>C20306</t>
  </si>
  <si>
    <t>C20307</t>
  </si>
  <si>
    <t>C20308</t>
  </si>
  <si>
    <t>C20309</t>
  </si>
  <si>
    <t>P-1295</t>
  </si>
  <si>
    <t>C20310</t>
  </si>
  <si>
    <t>P-1223</t>
  </si>
  <si>
    <t>C20311</t>
  </si>
  <si>
    <t>P-1318</t>
  </si>
  <si>
    <t>C20312</t>
  </si>
  <si>
    <t>P-1402</t>
  </si>
  <si>
    <t>C20313</t>
  </si>
  <si>
    <t>P-1342</t>
  </si>
  <si>
    <t>C20314</t>
  </si>
  <si>
    <t>P-1200</t>
  </si>
  <si>
    <t>C20315</t>
  </si>
  <si>
    <t>C20316</t>
  </si>
  <si>
    <t>C20317</t>
  </si>
  <si>
    <t>C20318</t>
  </si>
  <si>
    <t>C20319</t>
  </si>
  <si>
    <t>C20320</t>
  </si>
  <si>
    <t>C20321</t>
  </si>
  <si>
    <t>C20322</t>
  </si>
  <si>
    <t>C20323</t>
  </si>
  <si>
    <t>P-1013</t>
  </si>
  <si>
    <t>C20324</t>
  </si>
  <si>
    <t>P-1108</t>
  </si>
  <si>
    <t>C20325</t>
  </si>
  <si>
    <t>C20326</t>
  </si>
  <si>
    <t>P-1093</t>
  </si>
  <si>
    <t>C20327</t>
  </si>
  <si>
    <t>P-1115</t>
  </si>
  <si>
    <t>C20328</t>
  </si>
  <si>
    <t>P-1348</t>
  </si>
  <si>
    <t>C20329</t>
  </si>
  <si>
    <t>C20330</t>
  </si>
  <si>
    <t xml:space="preserve"> Blue Cross </t>
  </si>
  <si>
    <t>C20331</t>
  </si>
  <si>
    <t>P-1133</t>
  </si>
  <si>
    <t>C20332</t>
  </si>
  <si>
    <t>P-1346</t>
  </si>
  <si>
    <t>C20333</t>
  </si>
  <si>
    <t>P-1239</t>
  </si>
  <si>
    <t>C20334</t>
  </si>
  <si>
    <t>P-1020</t>
  </si>
  <si>
    <t>C20335</t>
  </si>
  <si>
    <t>P-1203</t>
  </si>
  <si>
    <t>C20336</t>
  </si>
  <si>
    <t>C20337</t>
  </si>
  <si>
    <t>P-1057</t>
  </si>
  <si>
    <t>C20338</t>
  </si>
  <si>
    <t>C20339</t>
  </si>
  <si>
    <t>C20340</t>
  </si>
  <si>
    <t>C20341</t>
  </si>
  <si>
    <t>P-1416</t>
  </si>
  <si>
    <t>C20342</t>
  </si>
  <si>
    <t>P-1453</t>
  </si>
  <si>
    <t>C20343</t>
  </si>
  <si>
    <t>P-1022</t>
  </si>
  <si>
    <t>C20344</t>
  </si>
  <si>
    <t>C20345</t>
  </si>
  <si>
    <t>P-1340</t>
  </si>
  <si>
    <t>C20346</t>
  </si>
  <si>
    <t>C20347</t>
  </si>
  <si>
    <t>C20348</t>
  </si>
  <si>
    <t>P-1442</t>
  </si>
  <si>
    <t>C20349</t>
  </si>
  <si>
    <t>P-1381</t>
  </si>
  <si>
    <t>C20350</t>
  </si>
  <si>
    <t>P-1123</t>
  </si>
  <si>
    <t>C20351</t>
  </si>
  <si>
    <t>C20352</t>
  </si>
  <si>
    <t>P-1076</t>
  </si>
  <si>
    <t>C20353</t>
  </si>
  <si>
    <t>P-1099</t>
  </si>
  <si>
    <t>C20354</t>
  </si>
  <si>
    <t>P-1409</t>
  </si>
  <si>
    <t>C20355</t>
  </si>
  <si>
    <t>P-1050</t>
  </si>
  <si>
    <t>C20356</t>
  </si>
  <si>
    <t>C20357</t>
  </si>
  <si>
    <t>C20358</t>
  </si>
  <si>
    <t>C20359</t>
  </si>
  <si>
    <t>P-1134</t>
  </si>
  <si>
    <t>C20360</t>
  </si>
  <si>
    <t>C20361</t>
  </si>
  <si>
    <t>C20362</t>
  </si>
  <si>
    <t>P-1237</t>
  </si>
  <si>
    <t>C20363</t>
  </si>
  <si>
    <t>C20364</t>
  </si>
  <si>
    <t>P-1130</t>
  </si>
  <si>
    <t>C20365</t>
  </si>
  <si>
    <t>P-1436</t>
  </si>
  <si>
    <t>C20366</t>
  </si>
  <si>
    <t>P-1190</t>
  </si>
  <si>
    <t>C20367</t>
  </si>
  <si>
    <t>C20368</t>
  </si>
  <si>
    <t>C20369</t>
  </si>
  <si>
    <t>P-1349</t>
  </si>
  <si>
    <t>C20370</t>
  </si>
  <si>
    <t>P-1350</t>
  </si>
  <si>
    <t>C20371</t>
  </si>
  <si>
    <t>P-1347</t>
  </si>
  <si>
    <t>C20372</t>
  </si>
  <si>
    <t>C20373</t>
  </si>
  <si>
    <t>C20374</t>
  </si>
  <si>
    <t>C20375</t>
  </si>
  <si>
    <t>P-1333</t>
  </si>
  <si>
    <t>C20376</t>
  </si>
  <si>
    <t>P-1396</t>
  </si>
  <si>
    <t>C20377</t>
  </si>
  <si>
    <t>C20378</t>
  </si>
  <si>
    <t>C20379</t>
  </si>
  <si>
    <t>C20380</t>
  </si>
  <si>
    <t>C20381</t>
  </si>
  <si>
    <t>P-1126</t>
  </si>
  <si>
    <t>C20382</t>
  </si>
  <si>
    <t>P-1400</t>
  </si>
  <si>
    <t>C20383</t>
  </si>
  <si>
    <t>P-1078</t>
  </si>
  <si>
    <t>C20384</t>
  </si>
  <si>
    <t>P-1466</t>
  </si>
  <si>
    <t>C20385</t>
  </si>
  <si>
    <t>P-1048</t>
  </si>
  <si>
    <t>C20386</t>
  </si>
  <si>
    <t>C20387</t>
  </si>
  <si>
    <t>C20388</t>
  </si>
  <si>
    <t>C20389</t>
  </si>
  <si>
    <t>P-1046</t>
  </si>
  <si>
    <t>C20390</t>
  </si>
  <si>
    <t>C20391</t>
  </si>
  <si>
    <t>C20392</t>
  </si>
  <si>
    <t>C20393</t>
  </si>
  <si>
    <t>C20394</t>
  </si>
  <si>
    <t>P-1000</t>
  </si>
  <si>
    <t>C20395</t>
  </si>
  <si>
    <t>C20396</t>
  </si>
  <si>
    <t>C20397</t>
  </si>
  <si>
    <t>P-1194</t>
  </si>
  <si>
    <t>C20398</t>
  </si>
  <si>
    <t>C20399</t>
  </si>
  <si>
    <t>C20400</t>
  </si>
  <si>
    <t>P-1448</t>
  </si>
  <si>
    <t>C20401</t>
  </si>
  <si>
    <t>P-1040</t>
  </si>
  <si>
    <t>C20402</t>
  </si>
  <si>
    <t>P-1070</t>
  </si>
  <si>
    <t>C20403</t>
  </si>
  <si>
    <t>P-1392</t>
  </si>
  <si>
    <t>C20404</t>
  </si>
  <si>
    <t>P-1155</t>
  </si>
  <si>
    <t>C20405</t>
  </si>
  <si>
    <t>P-1471</t>
  </si>
  <si>
    <t>C20406</t>
  </si>
  <si>
    <t>P-1154</t>
  </si>
  <si>
    <t>C20407</t>
  </si>
  <si>
    <t>P-1443</t>
  </si>
  <si>
    <t>C20408</t>
  </si>
  <si>
    <t>P-1304</t>
  </si>
  <si>
    <t>C20409</t>
  </si>
  <si>
    <t>C20410</t>
  </si>
  <si>
    <t>P-1251</t>
  </si>
  <si>
    <t>C20411</t>
  </si>
  <si>
    <t>C20412</t>
  </si>
  <si>
    <t>C20413</t>
  </si>
  <si>
    <t>C20414</t>
  </si>
  <si>
    <t>P-1439</t>
  </si>
  <si>
    <t>C20415</t>
  </si>
  <si>
    <t>C20416</t>
  </si>
  <si>
    <t>P-1389</t>
  </si>
  <si>
    <t>C20417</t>
  </si>
  <si>
    <t>C20418</t>
  </si>
  <si>
    <t>C20419</t>
  </si>
  <si>
    <t>C20420</t>
  </si>
  <si>
    <t>P-1376</t>
  </si>
  <si>
    <t>C20421</t>
  </si>
  <si>
    <t>C20422</t>
  </si>
  <si>
    <t>P-1041</t>
  </si>
  <si>
    <t>C20423</t>
  </si>
  <si>
    <t>C20424</t>
  </si>
  <si>
    <t>C20425</t>
  </si>
  <si>
    <t>neha g</t>
  </si>
  <si>
    <t>C20426</t>
  </si>
  <si>
    <t>C20427</t>
  </si>
  <si>
    <t>P-1001</t>
  </si>
  <si>
    <t>C20428</t>
  </si>
  <si>
    <t>C20429</t>
  </si>
  <si>
    <t>P-1339</t>
  </si>
  <si>
    <t>C20430</t>
  </si>
  <si>
    <t>P-1491</t>
  </si>
  <si>
    <t>C20431</t>
  </si>
  <si>
    <t>C20432</t>
  </si>
  <si>
    <t>P-1031</t>
  </si>
  <si>
    <t>C20433</t>
  </si>
  <si>
    <t>C20434</t>
  </si>
  <si>
    <t>C20435</t>
  </si>
  <si>
    <t>C20436</t>
  </si>
  <si>
    <t>C20437</t>
  </si>
  <si>
    <t>P-1030</t>
  </si>
  <si>
    <t>C20438</t>
  </si>
  <si>
    <t>C20439</t>
  </si>
  <si>
    <t>P-1114</t>
  </si>
  <si>
    <t>C20440</t>
  </si>
  <si>
    <t>C20441</t>
  </si>
  <si>
    <t>C20442</t>
  </si>
  <si>
    <t>C20443</t>
  </si>
  <si>
    <t>C20444</t>
  </si>
  <si>
    <t>P-1252</t>
  </si>
  <si>
    <t>C20445</t>
  </si>
  <si>
    <t>P-1311</t>
  </si>
  <si>
    <t>C20446</t>
  </si>
  <si>
    <t>C20447</t>
  </si>
  <si>
    <t>C20448</t>
  </si>
  <si>
    <t>C20449</t>
  </si>
  <si>
    <t>P-1413</t>
  </si>
  <si>
    <t>C20450</t>
  </si>
  <si>
    <t>C20451</t>
  </si>
  <si>
    <t>P-1045</t>
  </si>
  <si>
    <t>rahul s</t>
  </si>
  <si>
    <t>C20452</t>
  </si>
  <si>
    <t>P-1434</t>
  </si>
  <si>
    <t>C20453</t>
  </si>
  <si>
    <t>P-1002</t>
  </si>
  <si>
    <t>C20454</t>
  </si>
  <si>
    <t>P-1068</t>
  </si>
  <si>
    <t>C20455</t>
  </si>
  <si>
    <t>P-1444</t>
  </si>
  <si>
    <t>C20456</t>
  </si>
  <si>
    <t>P-1234</t>
  </si>
  <si>
    <t>C20457</t>
  </si>
  <si>
    <t>P-1098</t>
  </si>
  <si>
    <t>C20458</t>
  </si>
  <si>
    <t>C20459</t>
  </si>
  <si>
    <t>P-1062</t>
  </si>
  <si>
    <t>C20460</t>
  </si>
  <si>
    <t>P-1054</t>
  </si>
  <si>
    <t>C20461</t>
  </si>
  <si>
    <t>C20462</t>
  </si>
  <si>
    <t>C20463</t>
  </si>
  <si>
    <t>P-1331</t>
  </si>
  <si>
    <t>C20464</t>
  </si>
  <si>
    <t>P-1382</t>
  </si>
  <si>
    <t>C20465</t>
  </si>
  <si>
    <t>P-1456</t>
  </si>
  <si>
    <t>C20466</t>
  </si>
  <si>
    <t>P-1312</t>
  </si>
  <si>
    <t>C20467</t>
  </si>
  <si>
    <t>C20468</t>
  </si>
  <si>
    <t>P-1328</t>
  </si>
  <si>
    <t>C20469</t>
  </si>
  <si>
    <t>C20470</t>
  </si>
  <si>
    <t>P-1479</t>
  </si>
  <si>
    <t>C20471</t>
  </si>
  <si>
    <t>P-1116</t>
  </si>
  <si>
    <t>C20472</t>
  </si>
  <si>
    <t>P-1307</t>
  </si>
  <si>
    <t>C20473</t>
  </si>
  <si>
    <t>C20474</t>
  </si>
  <si>
    <t>P-1368</t>
  </si>
  <si>
    <t>C20475</t>
  </si>
  <si>
    <t>C20476</t>
  </si>
  <si>
    <t>C20477</t>
  </si>
  <si>
    <t>C20478</t>
  </si>
  <si>
    <t>C20479</t>
  </si>
  <si>
    <t>C20480</t>
  </si>
  <si>
    <t>P-1437</t>
  </si>
  <si>
    <t>C20481</t>
  </si>
  <si>
    <t>C20482</t>
  </si>
  <si>
    <t>C20483</t>
  </si>
  <si>
    <t>C20484</t>
  </si>
  <si>
    <t>C20485</t>
  </si>
  <si>
    <t>C20486</t>
  </si>
  <si>
    <t>C20487</t>
  </si>
  <si>
    <t>P-1167</t>
  </si>
  <si>
    <t>C20488</t>
  </si>
  <si>
    <t>P-1315</t>
  </si>
  <si>
    <t>C20489</t>
  </si>
  <si>
    <t>C20490</t>
  </si>
  <si>
    <t>C20491</t>
  </si>
  <si>
    <t>C20492</t>
  </si>
  <si>
    <t>P-1128</t>
  </si>
  <si>
    <t>C20493</t>
  </si>
  <si>
    <t>P-1407</t>
  </si>
  <si>
    <t>C20494</t>
  </si>
  <si>
    <t>C20495</t>
  </si>
  <si>
    <t>P-1003</t>
  </si>
  <si>
    <t>C20496</t>
  </si>
  <si>
    <t>P-1135</t>
  </si>
  <si>
    <t>C20497</t>
  </si>
  <si>
    <t>P-1395</t>
  </si>
  <si>
    <t>C20498</t>
  </si>
  <si>
    <t>P-1009</t>
  </si>
  <si>
    <t>C20499</t>
  </si>
  <si>
    <t>C20500</t>
  </si>
  <si>
    <t>P-1079</t>
  </si>
  <si>
    <t>C20501</t>
  </si>
  <si>
    <t>C20502</t>
  </si>
  <si>
    <t>C20503</t>
  </si>
  <si>
    <t>C20504</t>
  </si>
  <si>
    <t>P-1272</t>
  </si>
  <si>
    <t>C20505</t>
  </si>
  <si>
    <t>P-1077</t>
  </si>
  <si>
    <t>C20506</t>
  </si>
  <si>
    <t>C20507</t>
  </si>
  <si>
    <t>P-1323</t>
  </si>
  <si>
    <t>C20508</t>
  </si>
  <si>
    <t>C20509</t>
  </si>
  <si>
    <t>P-1487</t>
  </si>
  <si>
    <t>C20510</t>
  </si>
  <si>
    <t>P-1344</t>
  </si>
  <si>
    <t>C20511</t>
  </si>
  <si>
    <t>C20512</t>
  </si>
  <si>
    <t>C20513</t>
  </si>
  <si>
    <t>P-1105</t>
  </si>
  <si>
    <t>DENIED</t>
  </si>
  <si>
    <t>C20514</t>
  </si>
  <si>
    <t>P-1214</t>
  </si>
  <si>
    <t>C20515</t>
  </si>
  <si>
    <t>C20516</t>
  </si>
  <si>
    <t>C20517</t>
  </si>
  <si>
    <t>P-1204</t>
  </si>
  <si>
    <t xml:space="preserve"> Medicaid </t>
  </si>
  <si>
    <t>C20518</t>
  </si>
  <si>
    <t>C20519</t>
  </si>
  <si>
    <t>P-1290</t>
  </si>
  <si>
    <t>C20520</t>
  </si>
  <si>
    <t>C20521</t>
  </si>
  <si>
    <t>C20522</t>
  </si>
  <si>
    <t>C20523</t>
  </si>
  <si>
    <t>P-1356</t>
  </si>
  <si>
    <t>C20524</t>
  </si>
  <si>
    <t>P-1152</t>
  </si>
  <si>
    <t>C20525</t>
  </si>
  <si>
    <t>C20526</t>
  </si>
  <si>
    <t>C20527</t>
  </si>
  <si>
    <t>C20528</t>
  </si>
  <si>
    <t>C20529</t>
  </si>
  <si>
    <t>C20530</t>
  </si>
  <si>
    <t>C20531</t>
  </si>
  <si>
    <t>C20532</t>
  </si>
  <si>
    <t>C20533</t>
  </si>
  <si>
    <t>P-1440</t>
  </si>
  <si>
    <t>C20534</t>
  </si>
  <si>
    <t>C20535</t>
  </si>
  <si>
    <t>C20536</t>
  </si>
  <si>
    <t>C20537</t>
  </si>
  <si>
    <t>C20538</t>
  </si>
  <si>
    <t>C20539</t>
  </si>
  <si>
    <t>P-1373</t>
  </si>
  <si>
    <t>C20540</t>
  </si>
  <si>
    <t>C20541</t>
  </si>
  <si>
    <t>C20542</t>
  </si>
  <si>
    <t>P-1131</t>
  </si>
  <si>
    <t>C20543</t>
  </si>
  <si>
    <t>P-1236</t>
  </si>
  <si>
    <t>C20544</t>
  </si>
  <si>
    <t>C20545</t>
  </si>
  <si>
    <t>C20546</t>
  </si>
  <si>
    <t>C20547</t>
  </si>
  <si>
    <t>C20548</t>
  </si>
  <si>
    <t>C20549</t>
  </si>
  <si>
    <t>P-1141</t>
  </si>
  <si>
    <t>C20550</t>
  </si>
  <si>
    <t>C20551</t>
  </si>
  <si>
    <t>C20552</t>
  </si>
  <si>
    <t>C20553</t>
  </si>
  <si>
    <t>C20554</t>
  </si>
  <si>
    <t>P-1173</t>
  </si>
  <si>
    <t>C20555</t>
  </si>
  <si>
    <t>C20556</t>
  </si>
  <si>
    <t>P-1289</t>
  </si>
  <si>
    <t>C20557</t>
  </si>
  <si>
    <t>C20558</t>
  </si>
  <si>
    <t>P-1075</t>
  </si>
  <si>
    <t>C20559</t>
  </si>
  <si>
    <t>P-1038</t>
  </si>
  <si>
    <t>C20560</t>
  </si>
  <si>
    <t>C20561</t>
  </si>
  <si>
    <t>AETNA</t>
  </si>
  <si>
    <t>C20562</t>
  </si>
  <si>
    <t>C20563</t>
  </si>
  <si>
    <t>C20564</t>
  </si>
  <si>
    <t>P-1014</t>
  </si>
  <si>
    <t>C20565</t>
  </si>
  <si>
    <t>P-1122</t>
  </si>
  <si>
    <t>C20566</t>
  </si>
  <si>
    <t>P-1231</t>
  </si>
  <si>
    <t>C20567</t>
  </si>
  <si>
    <t>C20568</t>
  </si>
  <si>
    <t>P-1385</t>
  </si>
  <si>
    <t>C20569</t>
  </si>
  <si>
    <t>C20570</t>
  </si>
  <si>
    <t>C20571</t>
  </si>
  <si>
    <t>C20572</t>
  </si>
  <si>
    <t>P-1317</t>
  </si>
  <si>
    <t>C20573</t>
  </si>
  <si>
    <t>P-1047</t>
  </si>
  <si>
    <t>C20574</t>
  </si>
  <si>
    <t>C20575</t>
  </si>
  <si>
    <t>C20576</t>
  </si>
  <si>
    <t>P-1149</t>
  </si>
  <si>
    <t>C20577</t>
  </si>
  <si>
    <t>C20578</t>
  </si>
  <si>
    <t>C20579</t>
  </si>
  <si>
    <t>P-1063</t>
  </si>
  <si>
    <t>C20580</t>
  </si>
  <si>
    <t>C20581</t>
  </si>
  <si>
    <t>C20582</t>
  </si>
  <si>
    <t>C20583</t>
  </si>
  <si>
    <t>C20584</t>
  </si>
  <si>
    <t>P-1306</t>
  </si>
  <si>
    <t>C20585</t>
  </si>
  <si>
    <t>C20586</t>
  </si>
  <si>
    <t>P-1358</t>
  </si>
  <si>
    <t>C20587</t>
  </si>
  <si>
    <t>C20588</t>
  </si>
  <si>
    <t>C20589</t>
  </si>
  <si>
    <t>P-1297</t>
  </si>
  <si>
    <t>C20590</t>
  </si>
  <si>
    <t>C20591</t>
  </si>
  <si>
    <t>C20592</t>
  </si>
  <si>
    <t>P-1426</t>
  </si>
  <si>
    <t>C20593</t>
  </si>
  <si>
    <t>C20594</t>
  </si>
  <si>
    <t>C20595</t>
  </si>
  <si>
    <t>P-1064</t>
  </si>
  <si>
    <t>C20596</t>
  </si>
  <si>
    <t>P-1441</t>
  </si>
  <si>
    <t>C20597</t>
  </si>
  <si>
    <t>P-1490</t>
  </si>
  <si>
    <t>C20598</t>
  </si>
  <si>
    <t>P-1362</t>
  </si>
  <si>
    <t>C20599</t>
  </si>
  <si>
    <t>C20600</t>
  </si>
  <si>
    <t>C20601</t>
  </si>
  <si>
    <t>P-1172</t>
  </si>
  <si>
    <t>C20602</t>
  </si>
  <si>
    <t>P-1088</t>
  </si>
  <si>
    <t>C20603</t>
  </si>
  <si>
    <t>C20604</t>
  </si>
  <si>
    <t>C20605</t>
  </si>
  <si>
    <t>C20606</t>
  </si>
  <si>
    <t>C20607</t>
  </si>
  <si>
    <t>C20608</t>
  </si>
  <si>
    <t>C20609</t>
  </si>
  <si>
    <t>C20610</t>
  </si>
  <si>
    <t>P-1233</t>
  </si>
  <si>
    <t>C20611</t>
  </si>
  <si>
    <t>C20612</t>
  </si>
  <si>
    <t>P-1313</t>
  </si>
  <si>
    <t>C20613</t>
  </si>
  <si>
    <t>C20614</t>
  </si>
  <si>
    <t>C20615</t>
  </si>
  <si>
    <t>P-1184</t>
  </si>
  <si>
    <t>C20616</t>
  </si>
  <si>
    <t>C20617</t>
  </si>
  <si>
    <t>C20618</t>
  </si>
  <si>
    <t>C20619</t>
  </si>
  <si>
    <t>C20620</t>
  </si>
  <si>
    <t>C20621</t>
  </si>
  <si>
    <t>P-1015</t>
  </si>
  <si>
    <t>C20622</t>
  </si>
  <si>
    <t>C20623</t>
  </si>
  <si>
    <t>P-1460</t>
  </si>
  <si>
    <t>C20624</t>
  </si>
  <si>
    <t>C20625</t>
  </si>
  <si>
    <t>P-1387</t>
  </si>
  <si>
    <t>C20626</t>
  </si>
  <si>
    <t>C20627</t>
  </si>
  <si>
    <t>P-1281</t>
  </si>
  <si>
    <t>C20628</t>
  </si>
  <si>
    <t>P-1034</t>
  </si>
  <si>
    <t>C20629</t>
  </si>
  <si>
    <t>C20630</t>
  </si>
  <si>
    <t>C20631</t>
  </si>
  <si>
    <t>C20632</t>
  </si>
  <si>
    <t>C20633</t>
  </si>
  <si>
    <t>C20634</t>
  </si>
  <si>
    <t>P-1060</t>
  </si>
  <si>
    <t>C20635</t>
  </si>
  <si>
    <t>P-1216</t>
  </si>
  <si>
    <t>C20636</t>
  </si>
  <si>
    <t>P-1224</t>
  </si>
  <si>
    <t>C20637</t>
  </si>
  <si>
    <t>C20638</t>
  </si>
  <si>
    <t>C20639</t>
  </si>
  <si>
    <t>C20640</t>
  </si>
  <si>
    <t>P-1245</t>
  </si>
  <si>
    <t>C20641</t>
  </si>
  <si>
    <t>C20642</t>
  </si>
  <si>
    <t>C20643</t>
  </si>
  <si>
    <t>C20644</t>
  </si>
  <si>
    <t>C20645</t>
  </si>
  <si>
    <t>C20646</t>
  </si>
  <si>
    <t>P-1261</t>
  </si>
  <si>
    <t>C20647</t>
  </si>
  <si>
    <t>C20648</t>
  </si>
  <si>
    <t>C20649</t>
  </si>
  <si>
    <t>C20650</t>
  </si>
  <si>
    <t>C20651</t>
  </si>
  <si>
    <t>C20652</t>
  </si>
  <si>
    <t>C20653</t>
  </si>
  <si>
    <t>C20654</t>
  </si>
  <si>
    <t>C20655</t>
  </si>
  <si>
    <t>C20656</t>
  </si>
  <si>
    <t>C20657</t>
  </si>
  <si>
    <t>C20658</t>
  </si>
  <si>
    <t>P-1249</t>
  </si>
  <si>
    <t>C20659</t>
  </si>
  <si>
    <t>C20660</t>
  </si>
  <si>
    <t>C20661</t>
  </si>
  <si>
    <t>C20662</t>
  </si>
  <si>
    <t>C20663</t>
  </si>
  <si>
    <t>C20664</t>
  </si>
  <si>
    <t>P-1065</t>
  </si>
  <si>
    <t>C20665</t>
  </si>
  <si>
    <t>C20666</t>
  </si>
  <si>
    <t>P-1463</t>
  </si>
  <si>
    <t>C20667</t>
  </si>
  <si>
    <t>P-1265</t>
  </si>
  <si>
    <t>C20668</t>
  </si>
  <si>
    <t>C20669</t>
  </si>
  <si>
    <t>C20670</t>
  </si>
  <si>
    <t>C20671</t>
  </si>
  <si>
    <t>C20672</t>
  </si>
  <si>
    <t>P-1111</t>
  </si>
  <si>
    <t>C20673</t>
  </si>
  <si>
    <t>C20674</t>
  </si>
  <si>
    <t>C20675</t>
  </si>
  <si>
    <t>C20676</t>
  </si>
  <si>
    <t>C20677</t>
  </si>
  <si>
    <t>C20678</t>
  </si>
  <si>
    <t>C20679</t>
  </si>
  <si>
    <t>MEDICAID</t>
  </si>
  <si>
    <t>C20680</t>
  </si>
  <si>
    <t>C20681</t>
  </si>
  <si>
    <t>C20682</t>
  </si>
  <si>
    <t>C20683</t>
  </si>
  <si>
    <t>C20684</t>
  </si>
  <si>
    <t>C20685</t>
  </si>
  <si>
    <t xml:space="preserve"> Humana </t>
  </si>
  <si>
    <t>C20686</t>
  </si>
  <si>
    <t>C20687</t>
  </si>
  <si>
    <t>C20688</t>
  </si>
  <si>
    <t>C20689</t>
  </si>
  <si>
    <t>C20690</t>
  </si>
  <si>
    <t>C20691</t>
  </si>
  <si>
    <t>C20692</t>
  </si>
  <si>
    <t>C20693</t>
  </si>
  <si>
    <t>C20694</t>
  </si>
  <si>
    <t>C20695</t>
  </si>
  <si>
    <t>C20696</t>
  </si>
  <si>
    <t>C20697</t>
  </si>
  <si>
    <t>C20698</t>
  </si>
  <si>
    <t>P-1082</t>
  </si>
  <si>
    <t>C20699</t>
  </si>
  <si>
    <t>P-1061</t>
  </si>
  <si>
    <t>C20700</t>
  </si>
  <si>
    <t>C20701</t>
  </si>
  <si>
    <t>C20702</t>
  </si>
  <si>
    <t>C20703</t>
  </si>
  <si>
    <t>P-1010</t>
  </si>
  <si>
    <t>C20704</t>
  </si>
  <si>
    <t>C20705</t>
  </si>
  <si>
    <t>C20706</t>
  </si>
  <si>
    <t>P-1259</t>
  </si>
  <si>
    <t>C20707</t>
  </si>
  <si>
    <t>C20708</t>
  </si>
  <si>
    <t>C20709</t>
  </si>
  <si>
    <t>C20710</t>
  </si>
  <si>
    <t>C20711</t>
  </si>
  <si>
    <t>C20712</t>
  </si>
  <si>
    <t>C20713</t>
  </si>
  <si>
    <t>C20714</t>
  </si>
  <si>
    <t>C20715</t>
  </si>
  <si>
    <t>C20716</t>
  </si>
  <si>
    <t>P-1301</t>
  </si>
  <si>
    <t>C20717</t>
  </si>
  <si>
    <t>P-1325</t>
  </si>
  <si>
    <t>C20718</t>
  </si>
  <si>
    <t>C20719</t>
  </si>
  <si>
    <t>C20720</t>
  </si>
  <si>
    <t>C20721</t>
  </si>
  <si>
    <t>P-1228</t>
  </si>
  <si>
    <t>C20722</t>
  </si>
  <si>
    <t>C20723</t>
  </si>
  <si>
    <t>C20724</t>
  </si>
  <si>
    <t>C20725</t>
  </si>
  <si>
    <t>C20726</t>
  </si>
  <si>
    <t>C20727</t>
  </si>
  <si>
    <t>C20728</t>
  </si>
  <si>
    <t>P-1415</t>
  </si>
  <si>
    <t>C20729</t>
  </si>
  <si>
    <t>C20730</t>
  </si>
  <si>
    <t>C20731</t>
  </si>
  <si>
    <t>C20732</t>
  </si>
  <si>
    <t>C20733</t>
  </si>
  <si>
    <t>P-1438</t>
  </si>
  <si>
    <t>C20734</t>
  </si>
  <si>
    <t>C20735</t>
  </si>
  <si>
    <t>C20736</t>
  </si>
  <si>
    <t>C20737</t>
  </si>
  <si>
    <t>C20738</t>
  </si>
  <si>
    <t>P-1056</t>
  </si>
  <si>
    <t>C20739</t>
  </si>
  <si>
    <t>C20740</t>
  </si>
  <si>
    <t>C20741</t>
  </si>
  <si>
    <t>C20742</t>
  </si>
  <si>
    <t>C20743</t>
  </si>
  <si>
    <t>P-1359</t>
  </si>
  <si>
    <t>C20744</t>
  </si>
  <si>
    <t>C20745</t>
  </si>
  <si>
    <t>C20746</t>
  </si>
  <si>
    <t>C20747</t>
  </si>
  <si>
    <t>P-1033</t>
  </si>
  <si>
    <t>C20748</t>
  </si>
  <si>
    <t>C20749</t>
  </si>
  <si>
    <t>C20750</t>
  </si>
  <si>
    <t>C20751</t>
  </si>
  <si>
    <t>C20752</t>
  </si>
  <si>
    <t>C20753</t>
  </si>
  <si>
    <t>P-1136</t>
  </si>
  <si>
    <t>C20754</t>
  </si>
  <si>
    <t>C20755</t>
  </si>
  <si>
    <t>C20756</t>
  </si>
  <si>
    <t>C20757</t>
  </si>
  <si>
    <t>P-1232</t>
  </si>
  <si>
    <t>C20758</t>
  </si>
  <si>
    <t>C20759</t>
  </si>
  <si>
    <t>C20760</t>
  </si>
  <si>
    <t>C20761</t>
  </si>
  <si>
    <t>C20762</t>
  </si>
  <si>
    <t>C20763</t>
  </si>
  <si>
    <t>C20764</t>
  </si>
  <si>
    <t>C20765</t>
  </si>
  <si>
    <t>P-1384</t>
  </si>
  <si>
    <t>C20766</t>
  </si>
  <si>
    <t>C20767</t>
  </si>
  <si>
    <t>C20768</t>
  </si>
  <si>
    <t>C20769</t>
  </si>
  <si>
    <t>C20770</t>
  </si>
  <si>
    <t>P-1343</t>
  </si>
  <si>
    <t>C20771</t>
  </si>
  <si>
    <t>P-1496</t>
  </si>
  <si>
    <t>C20772</t>
  </si>
  <si>
    <t>P-1179</t>
  </si>
  <si>
    <t>C20773</t>
  </si>
  <si>
    <t>P-1147</t>
  </si>
  <si>
    <t>C20774</t>
  </si>
  <si>
    <t>C20775</t>
  </si>
  <si>
    <t>P-1276</t>
  </si>
  <si>
    <t>C20776</t>
  </si>
  <si>
    <t>C20777</t>
  </si>
  <si>
    <t>C20778</t>
  </si>
  <si>
    <t>P-1399</t>
  </si>
  <si>
    <t>C20779</t>
  </si>
  <si>
    <t>C20780</t>
  </si>
  <si>
    <t>C20781</t>
  </si>
  <si>
    <t>C20782</t>
  </si>
  <si>
    <t>C20783</t>
  </si>
  <si>
    <t>C20784</t>
  </si>
  <si>
    <t>C20785</t>
  </si>
  <si>
    <t>P-1021</t>
  </si>
  <si>
    <t>C20786</t>
  </si>
  <si>
    <t>P-1429</t>
  </si>
  <si>
    <t>C20787</t>
  </si>
  <si>
    <t>C20788</t>
  </si>
  <si>
    <t>C20789</t>
  </si>
  <si>
    <t>rohit b</t>
  </si>
  <si>
    <t>C20790</t>
  </si>
  <si>
    <t>C20791</t>
  </si>
  <si>
    <t>C20792</t>
  </si>
  <si>
    <t>C20793</t>
  </si>
  <si>
    <t>C20794</t>
  </si>
  <si>
    <t>C20795</t>
  </si>
  <si>
    <t>C20796</t>
  </si>
  <si>
    <t>C20797</t>
  </si>
  <si>
    <t>C20798</t>
  </si>
  <si>
    <t>C20799</t>
  </si>
  <si>
    <t>C20800</t>
  </si>
  <si>
    <t>P-1275</t>
  </si>
  <si>
    <t>C20801</t>
  </si>
  <si>
    <t>C20802</t>
  </si>
  <si>
    <t>C20803</t>
  </si>
  <si>
    <t>C20804</t>
  </si>
  <si>
    <t>P-1029</t>
  </si>
  <si>
    <t>C20805</t>
  </si>
  <si>
    <t>C20806</t>
  </si>
  <si>
    <t>C20807</t>
  </si>
  <si>
    <t>C20808</t>
  </si>
  <si>
    <t>C20809</t>
  </si>
  <si>
    <t>P-1102</t>
  </si>
  <si>
    <t>C20810</t>
  </si>
  <si>
    <t>C20811</t>
  </si>
  <si>
    <t>P-1485</t>
  </si>
  <si>
    <t>C20812</t>
  </si>
  <si>
    <t>C20813</t>
  </si>
  <si>
    <t>C20814</t>
  </si>
  <si>
    <t>C20815</t>
  </si>
  <si>
    <t>P-1451</t>
  </si>
  <si>
    <t>C20816</t>
  </si>
  <si>
    <t>C20817</t>
  </si>
  <si>
    <t>C20818</t>
  </si>
  <si>
    <t>C20819</t>
  </si>
  <si>
    <t>C20820</t>
  </si>
  <si>
    <t>C20821</t>
  </si>
  <si>
    <t>P-1495</t>
  </si>
  <si>
    <t>C20822</t>
  </si>
  <si>
    <t>P-1178</t>
  </si>
  <si>
    <t>C20823</t>
  </si>
  <si>
    <t>C20824</t>
  </si>
  <si>
    <t>C20825</t>
  </si>
  <si>
    <t>P-1229</t>
  </si>
  <si>
    <t>C20826</t>
  </si>
  <si>
    <t>C20827</t>
  </si>
  <si>
    <t>P-1176</t>
  </si>
  <si>
    <t>C20828</t>
  </si>
  <si>
    <t>C20829</t>
  </si>
  <si>
    <t>C20830</t>
  </si>
  <si>
    <t>P-1158</t>
  </si>
  <si>
    <t>C20831</t>
  </si>
  <si>
    <t>C20832</t>
  </si>
  <si>
    <t>P-1058</t>
  </si>
  <si>
    <t>C20833</t>
  </si>
  <si>
    <t>C20834</t>
  </si>
  <si>
    <t>P-1166</t>
  </si>
  <si>
    <t>C20835</t>
  </si>
  <si>
    <t>C20836</t>
  </si>
  <si>
    <t>C20837</t>
  </si>
  <si>
    <t>C20838</t>
  </si>
  <si>
    <t>C20839</t>
  </si>
  <si>
    <t>C20840</t>
  </si>
  <si>
    <t>C20841</t>
  </si>
  <si>
    <t>C20842</t>
  </si>
  <si>
    <t>C20843</t>
  </si>
  <si>
    <t>C20844</t>
  </si>
  <si>
    <t>P-1253</t>
  </si>
  <si>
    <t>C20845</t>
  </si>
  <si>
    <t>C20846</t>
  </si>
  <si>
    <t>C20847</t>
  </si>
  <si>
    <t>P-1401</t>
  </si>
  <si>
    <t>C20848</t>
  </si>
  <si>
    <t>P-1181</t>
  </si>
  <si>
    <t>C20849</t>
  </si>
  <si>
    <t>C20850</t>
  </si>
  <si>
    <t>C20851</t>
  </si>
  <si>
    <t>C20852</t>
  </si>
  <si>
    <t>P-1263</t>
  </si>
  <si>
    <t>C20853</t>
  </si>
  <si>
    <t>C20854</t>
  </si>
  <si>
    <t>P-1330</t>
  </si>
  <si>
    <t>C20855</t>
  </si>
  <si>
    <t>C20856</t>
  </si>
  <si>
    <t>C20857</t>
  </si>
  <si>
    <t>C20858</t>
  </si>
  <si>
    <t>P-1467</t>
  </si>
  <si>
    <t>C20859</t>
  </si>
  <si>
    <t>C20860</t>
  </si>
  <si>
    <t>P-1345</t>
  </si>
  <si>
    <t>C20861</t>
  </si>
  <si>
    <t>P-1119</t>
  </si>
  <si>
    <t>C20862</t>
  </si>
  <si>
    <t>C20863</t>
  </si>
  <si>
    <t>C20864</t>
  </si>
  <si>
    <t>C20865</t>
  </si>
  <si>
    <t>P-1165</t>
  </si>
  <si>
    <t>C20866</t>
  </si>
  <si>
    <t>C20867</t>
  </si>
  <si>
    <t>C20868</t>
  </si>
  <si>
    <t>C20869</t>
  </si>
  <si>
    <t>C20870</t>
  </si>
  <si>
    <t>P-1221</t>
  </si>
  <si>
    <t>C20871</t>
  </si>
  <si>
    <t>C20872</t>
  </si>
  <si>
    <t>C20873</t>
  </si>
  <si>
    <t>C20874</t>
  </si>
  <si>
    <t>C20875</t>
  </si>
  <si>
    <t>C20876</t>
  </si>
  <si>
    <t>C20877</t>
  </si>
  <si>
    <t>C20878</t>
  </si>
  <si>
    <t xml:space="preserve"> Kavita D</t>
  </si>
  <si>
    <t>C20879</t>
  </si>
  <si>
    <t>C20880</t>
  </si>
  <si>
    <t>P-1162</t>
  </si>
  <si>
    <t>C20881</t>
  </si>
  <si>
    <t>C20882</t>
  </si>
  <si>
    <t>C20883</t>
  </si>
  <si>
    <t>C20884</t>
  </si>
  <si>
    <t>C20885</t>
  </si>
  <si>
    <t>P-1199</t>
  </si>
  <si>
    <t>C20886</t>
  </si>
  <si>
    <t>C20887</t>
  </si>
  <si>
    <t>C20888</t>
  </si>
  <si>
    <t>C20889</t>
  </si>
  <si>
    <t>C20890</t>
  </si>
  <si>
    <t>C20891</t>
  </si>
  <si>
    <t>C20892</t>
  </si>
  <si>
    <t xml:space="preserve"> Neha G</t>
  </si>
  <si>
    <t>C20893</t>
  </si>
  <si>
    <t>C20894</t>
  </si>
  <si>
    <t>C20895</t>
  </si>
  <si>
    <t>C20896</t>
  </si>
  <si>
    <t>C20897</t>
  </si>
  <si>
    <t xml:space="preserve"> Pooja M</t>
  </si>
  <si>
    <t>C20898</t>
  </si>
  <si>
    <t>C20899</t>
  </si>
  <si>
    <t>C20900</t>
  </si>
  <si>
    <t>C20901</t>
  </si>
  <si>
    <t>P-1428</t>
  </si>
  <si>
    <t>C20902</t>
  </si>
  <si>
    <t>P-1283</t>
  </si>
  <si>
    <t>C20903</t>
  </si>
  <si>
    <t>C20904</t>
  </si>
  <si>
    <t>P-1299</t>
  </si>
  <si>
    <t>C20905</t>
  </si>
  <si>
    <t>C20906</t>
  </si>
  <si>
    <t>C20907</t>
  </si>
  <si>
    <t>C20908</t>
  </si>
  <si>
    <t>P-1106</t>
  </si>
  <si>
    <t>C20909</t>
  </si>
  <si>
    <t>C20910</t>
  </si>
  <si>
    <t>C20911</t>
  </si>
  <si>
    <t>C20912</t>
  </si>
  <si>
    <t>C20913</t>
  </si>
  <si>
    <t>C20914</t>
  </si>
  <si>
    <t>C20915</t>
  </si>
  <si>
    <t>C20916</t>
  </si>
  <si>
    <t>C20917</t>
  </si>
  <si>
    <t>C20918</t>
  </si>
  <si>
    <t>C20919</t>
  </si>
  <si>
    <t>C20920</t>
  </si>
  <si>
    <t>C20921</t>
  </si>
  <si>
    <t>UNITEDHEALTHCARE</t>
  </si>
  <si>
    <t>C20922</t>
  </si>
  <si>
    <t>P-1129</t>
  </si>
  <si>
    <t>C20923</t>
  </si>
  <si>
    <t>C20924</t>
  </si>
  <si>
    <t>C20925</t>
  </si>
  <si>
    <t>C20926</t>
  </si>
  <si>
    <t>C20927</t>
  </si>
  <si>
    <t>C20928</t>
  </si>
  <si>
    <t>C20929</t>
  </si>
  <si>
    <t>C20930</t>
  </si>
  <si>
    <t>C20931</t>
  </si>
  <si>
    <t>C20932</t>
  </si>
  <si>
    <t>C20933</t>
  </si>
  <si>
    <t>C20934</t>
  </si>
  <si>
    <t>C20935</t>
  </si>
  <si>
    <t>P-1235</t>
  </si>
  <si>
    <t>C20936</t>
  </si>
  <si>
    <t>C20937</t>
  </si>
  <si>
    <t>C20938</t>
  </si>
  <si>
    <t>C20939</t>
  </si>
  <si>
    <t>C20940</t>
  </si>
  <si>
    <t>C20941</t>
  </si>
  <si>
    <t>C20942</t>
  </si>
  <si>
    <t>C20943</t>
  </si>
  <si>
    <t>C20944</t>
  </si>
  <si>
    <t>C20945</t>
  </si>
  <si>
    <t>C20946</t>
  </si>
  <si>
    <t>C20947</t>
  </si>
  <si>
    <t>C20948</t>
  </si>
  <si>
    <t>C20949</t>
  </si>
  <si>
    <t>C20950</t>
  </si>
  <si>
    <t>C20951</t>
  </si>
  <si>
    <t>C20952</t>
  </si>
  <si>
    <t>C20953</t>
  </si>
  <si>
    <t>C20954</t>
  </si>
  <si>
    <t>C20955</t>
  </si>
  <si>
    <t>C20956</t>
  </si>
  <si>
    <t>C20957</t>
  </si>
  <si>
    <t>C20958</t>
  </si>
  <si>
    <t>C20959</t>
  </si>
  <si>
    <t>P-1405</t>
  </si>
  <si>
    <t>C20960</t>
  </si>
  <si>
    <t>C20961</t>
  </si>
  <si>
    <t>C20962</t>
  </si>
  <si>
    <t>C20963</t>
  </si>
  <si>
    <t>C20964</t>
  </si>
  <si>
    <t>C20965</t>
  </si>
  <si>
    <t>C20966</t>
  </si>
  <si>
    <t xml:space="preserve"> Aetna </t>
  </si>
  <si>
    <t>C20967</t>
  </si>
  <si>
    <t>C20968</t>
  </si>
  <si>
    <t>C20969</t>
  </si>
  <si>
    <t>C20970</t>
  </si>
  <si>
    <t>C20971</t>
  </si>
  <si>
    <t>C20972</t>
  </si>
  <si>
    <t>P-1089</t>
  </si>
  <si>
    <t>C20973</t>
  </si>
  <si>
    <t>C20974</t>
  </si>
  <si>
    <t>C20975</t>
  </si>
  <si>
    <t>C20976</t>
  </si>
  <si>
    <t>P-1174</t>
  </si>
  <si>
    <t>C20977</t>
  </si>
  <si>
    <t>C20978</t>
  </si>
  <si>
    <t>P-1447</t>
  </si>
  <si>
    <t>C20979</t>
  </si>
  <si>
    <t>C20980</t>
  </si>
  <si>
    <t>C20981</t>
  </si>
  <si>
    <t>P-1052</t>
  </si>
  <si>
    <t>C20982</t>
  </si>
  <si>
    <t>C20983</t>
  </si>
  <si>
    <t>C20984</t>
  </si>
  <si>
    <t>C20985</t>
  </si>
  <si>
    <t>C20986</t>
  </si>
  <si>
    <t>C20987</t>
  </si>
  <si>
    <t>C20988</t>
  </si>
  <si>
    <t>C20989</t>
  </si>
  <si>
    <t>C20990</t>
  </si>
  <si>
    <t>C20991</t>
  </si>
  <si>
    <t>C20992</t>
  </si>
  <si>
    <t>P-1084</t>
  </si>
  <si>
    <t>C20993</t>
  </si>
  <si>
    <t>C20994</t>
  </si>
  <si>
    <t>P-1292</t>
  </si>
  <si>
    <t>C20995</t>
  </si>
  <si>
    <t>C20996</t>
  </si>
  <si>
    <t>C20997</t>
  </si>
  <si>
    <t>C20998</t>
  </si>
  <si>
    <t>C20999</t>
  </si>
  <si>
    <t>C21000</t>
  </si>
  <si>
    <t>Agent</t>
  </si>
  <si>
    <t>Team Lead</t>
  </si>
  <si>
    <t>Daily Target (Accounts)</t>
  </si>
  <si>
    <t>Manish Arora</t>
  </si>
  <si>
    <t>Sunita Rao</t>
  </si>
  <si>
    <t>Deepak Nair</t>
  </si>
  <si>
    <t>Work Date</t>
  </si>
  <si>
    <t>Accounts Worked</t>
  </si>
  <si>
    <t>Hours Logged</t>
  </si>
  <si>
    <t>Quality %</t>
  </si>
  <si>
    <t>Payer_clean</t>
  </si>
  <si>
    <t>Unknown</t>
  </si>
  <si>
    <t>Status_clean</t>
  </si>
  <si>
    <t>Denial Reason_clean</t>
  </si>
  <si>
    <t/>
  </si>
  <si>
    <t>Report_Date</t>
  </si>
  <si>
    <t>Date_Type</t>
  </si>
  <si>
    <t>Age_Days</t>
  </si>
  <si>
    <t>Aging_Bucket</t>
  </si>
  <si>
    <t>Outstanding_Amount</t>
  </si>
  <si>
    <t>Row Labels</t>
  </si>
  <si>
    <t>Grand Total</t>
  </si>
  <si>
    <t>0-30</t>
  </si>
  <si>
    <t>31-60</t>
  </si>
  <si>
    <t>61-90</t>
  </si>
  <si>
    <t>90+</t>
  </si>
  <si>
    <t>Sum of Outstanding_Amount</t>
  </si>
  <si>
    <t>Team_Lead</t>
  </si>
  <si>
    <t>Agent_clean</t>
  </si>
  <si>
    <t>Days worked</t>
  </si>
  <si>
    <t>Daily Target</t>
  </si>
  <si>
    <t>Target Total</t>
  </si>
  <si>
    <t>Productivity %</t>
  </si>
  <si>
    <t>Avg Quality %</t>
  </si>
  <si>
    <t>Total Accounts</t>
  </si>
  <si>
    <t>Key Insights</t>
  </si>
  <si>
    <t>Team productivity is 95.8% against target; no agent has reached 100%.</t>
  </si>
  <si>
    <t>Top performers: Neha G (99.9%), Sandeep Y (99.2%), Anjali T (98.8%).</t>
  </si>
  <si>
    <t>Amit V is the lowest at 91.3%, while quality is similar across the team (92.8 to 94.6), so the gap is in speed, not accuracy.</t>
  </si>
  <si>
    <t>Recommendation: review Amit V’s workload and process with the team lead.</t>
  </si>
  <si>
    <t>Team productivity</t>
  </si>
  <si>
    <t>KPI</t>
  </si>
  <si>
    <t>Value</t>
  </si>
  <si>
    <t>Total Claims</t>
  </si>
  <si>
    <t>Total Billed</t>
  </si>
  <si>
    <t>Total Collected</t>
  </si>
  <si>
    <t>Total Outstanding</t>
  </si>
  <si>
    <t>Denied Claims</t>
  </si>
  <si>
    <t>Denial Rate</t>
  </si>
  <si>
    <t>Collected Rate</t>
  </si>
  <si>
    <t>Outstanding 90+</t>
  </si>
  <si>
    <t>90+ % of Outstanding</t>
  </si>
  <si>
    <t>Denied_Amount</t>
  </si>
  <si>
    <t>Sum of Denied_Amount</t>
  </si>
  <si>
    <t>Sum of Productivity %</t>
  </si>
  <si>
    <t>Healthcare MIS</t>
  </si>
  <si>
    <t>KPI cards</t>
  </si>
  <si>
    <t xml:space="preserve">Collected Rate  </t>
  </si>
  <si>
    <t>Healthcare MIS Dashboard</t>
  </si>
  <si>
    <t>Total Billed (Lakh)</t>
  </si>
  <si>
    <t>Collected (Lakh)</t>
  </si>
  <si>
    <t>Outstanding (Lakh)</t>
  </si>
  <si>
    <t>90+ day claims hold 50.8% of outstanding (12.87 lakh of 25.35 lakh).</t>
  </si>
  <si>
    <t>Medicare holds the largest share of outstanding (5.90 lakh, about 23%).</t>
  </si>
  <si>
    <t>Coding Error and Patient Not Eligible make up 45% of denied amount, and both are preventable before submission.</t>
  </si>
  <si>
    <t>Team productivity is 95.8% of target; Amit V is lowest at 91.3% while quality is similar across agents.</t>
  </si>
  <si>
    <t>Recommendation: work the 90+ bucket first, add pre-submission coding checks, and review Amit V's workload.</t>
  </si>
  <si>
    <t>Dummy data for practice. Report date: 15-Oct-2026.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</si>
</sst>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5" formatCode="dd\-mmm\-yyyy"/>
    <numFmt numFmtId="173" formatCode="0.0%"/>
    <numFmt numFmtId="179" formatCode="0.0"/>
    <numFmt numFmtId="181" formatCode="_ * #,##0_ ;_ * \-#,##0_ ;_ * &quot;-&quot;??_ ;_ @_ "/>
    <numFmt numFmtId="184" formatCode="0.00\ &quot;L&quot;"/>
  </numFmts>
  <fonts count="17" x14ac:knownFonts="1">
    <font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</font>
    <font>
      <b/>
      <sz val="10"/>
      <color rgb="FFFFFFFF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i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rgb="FF0F4C5C"/>
      <name val="Calibri"/>
      <family val="2"/>
      <scheme val="minor"/>
    </font>
    <font>
      <b/>
      <sz val="20"/>
      <color rgb="FFC8553D"/>
      <name val="Calibri"/>
      <family val="2"/>
      <scheme val="minor"/>
    </font>
    <font>
      <b/>
      <sz val="11"/>
      <color rgb="FF0F4C5C"/>
      <name val="Calibri"/>
      <family val="2"/>
      <scheme val="minor"/>
    </font>
    <font>
      <sz val="10"/>
      <color rgb="FF1F3A44"/>
      <name val="Arial Unicode MS"/>
      <family val="2"/>
    </font>
    <font>
      <i/>
      <sz val="9"/>
      <color theme="0" tint="-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00"/>
        <bgColor indexed="64"/>
      </patternFill>
    </fill>
    <fill>
      <patternFill patternType="solid">
        <fgColor rgb="FF0F4C5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3F1F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4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165" fontId="2" fillId="0" borderId="0" xfId="0" applyNumberFormat="1" applyFont="1"/>
    <xf numFmtId="4" fontId="2" fillId="0" borderId="0" xfId="0" applyNumberFormat="1" applyFont="1"/>
    <xf numFmtId="0" fontId="5" fillId="0" borderId="0" xfId="0" applyFont="1"/>
    <xf numFmtId="0" fontId="6" fillId="2" borderId="0" xfId="0" applyFont="1" applyFill="1" applyAlignment="1">
      <alignment horizontal="center"/>
    </xf>
    <xf numFmtId="0" fontId="0" fillId="0" borderId="0" xfId="0" applyNumberFormat="1"/>
    <xf numFmtId="4" fontId="0" fillId="0" borderId="0" xfId="0" applyNumberFormat="1"/>
    <xf numFmtId="15" fontId="0" fillId="0" borderId="0" xfId="0" applyNumberFormat="1"/>
    <xf numFmtId="3" fontId="6" fillId="2" borderId="0" xfId="0" applyNumberFormat="1" applyFont="1" applyFill="1" applyAlignment="1">
      <alignment horizontal="center"/>
    </xf>
    <xf numFmtId="3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73" fontId="0" fillId="0" borderId="0" xfId="2" applyNumberFormat="1" applyFont="1"/>
    <xf numFmtId="179" fontId="0" fillId="0" borderId="0" xfId="0" applyNumberFormat="1"/>
    <xf numFmtId="0" fontId="5" fillId="3" borderId="0" xfId="0" applyFont="1" applyFill="1"/>
    <xf numFmtId="0" fontId="7" fillId="0" borderId="0" xfId="0" applyFont="1" applyAlignment="1">
      <alignment horizontal="left" vertical="top" wrapText="1"/>
    </xf>
    <xf numFmtId="0" fontId="5" fillId="0" borderId="0" xfId="0" applyFont="1" applyFill="1"/>
    <xf numFmtId="43" fontId="0" fillId="0" borderId="0" xfId="1" applyFont="1"/>
    <xf numFmtId="0" fontId="0" fillId="3" borderId="1" xfId="0" applyFill="1" applyBorder="1"/>
    <xf numFmtId="181" fontId="0" fillId="0" borderId="0" xfId="1" applyNumberFormat="1" applyFont="1"/>
    <xf numFmtId="181" fontId="0" fillId="0" borderId="0" xfId="1" applyNumberFormat="1" applyFont="1" applyAlignment="1"/>
    <xf numFmtId="181" fontId="0" fillId="0" borderId="0" xfId="0" applyNumberFormat="1"/>
    <xf numFmtId="173" fontId="0" fillId="0" borderId="0" xfId="0" applyNumberFormat="1"/>
    <xf numFmtId="0" fontId="8" fillId="0" borderId="0" xfId="0" applyFont="1"/>
    <xf numFmtId="0" fontId="9" fillId="0" borderId="0" xfId="0" applyFont="1"/>
    <xf numFmtId="0" fontId="10" fillId="4" borderId="0" xfId="0" applyFont="1" applyFill="1" applyAlignment="1">
      <alignment horizontal="centerContinuous"/>
    </xf>
    <xf numFmtId="0" fontId="0" fillId="4" borderId="0" xfId="0" applyFill="1" applyAlignment="1">
      <alignment horizontal="centerContinuous"/>
    </xf>
    <xf numFmtId="1" fontId="11" fillId="6" borderId="2" xfId="1" applyNumberFormat="1" applyFont="1" applyFill="1" applyBorder="1" applyAlignment="1">
      <alignment horizontal="center" vertical="center"/>
    </xf>
    <xf numFmtId="1" fontId="11" fillId="6" borderId="3" xfId="1" applyNumberFormat="1" applyFont="1" applyFill="1" applyBorder="1" applyAlignment="1">
      <alignment horizontal="center" vertical="center"/>
    </xf>
    <xf numFmtId="1" fontId="12" fillId="6" borderId="4" xfId="1" applyNumberFormat="1" applyFont="1" applyFill="1" applyBorder="1" applyAlignment="1">
      <alignment horizontal="center" vertical="center"/>
    </xf>
    <xf numFmtId="1" fontId="12" fillId="6" borderId="5" xfId="1" applyNumberFormat="1" applyFont="1" applyFill="1" applyBorder="1" applyAlignment="1">
      <alignment horizontal="center" vertical="center"/>
    </xf>
    <xf numFmtId="173" fontId="12" fillId="6" borderId="4" xfId="2" applyNumberFormat="1" applyFont="1" applyFill="1" applyBorder="1" applyAlignment="1">
      <alignment horizontal="center" vertical="center"/>
    </xf>
    <xf numFmtId="173" fontId="12" fillId="6" borderId="5" xfId="2" applyNumberFormat="1" applyFont="1" applyFill="1" applyBorder="1" applyAlignment="1">
      <alignment horizontal="center" vertical="center"/>
    </xf>
    <xf numFmtId="184" fontId="12" fillId="6" borderId="4" xfId="1" applyNumberFormat="1" applyFont="1" applyFill="1" applyBorder="1" applyAlignment="1">
      <alignment horizontal="center" vertical="center"/>
    </xf>
    <xf numFmtId="184" fontId="12" fillId="6" borderId="5" xfId="1" applyNumberFormat="1" applyFont="1" applyFill="1" applyBorder="1" applyAlignment="1">
      <alignment horizontal="center" vertical="center"/>
    </xf>
    <xf numFmtId="184" fontId="13" fillId="6" borderId="4" xfId="1" applyNumberFormat="1" applyFont="1" applyFill="1" applyBorder="1" applyAlignment="1">
      <alignment horizontal="center" vertical="center"/>
    </xf>
    <xf numFmtId="184" fontId="13" fillId="6" borderId="5" xfId="1" applyNumberFormat="1" applyFont="1" applyFill="1" applyBorder="1" applyAlignment="1">
      <alignment horizontal="center" vertical="center"/>
    </xf>
    <xf numFmtId="173" fontId="13" fillId="6" borderId="4" xfId="2" applyNumberFormat="1" applyFont="1" applyFill="1" applyBorder="1" applyAlignment="1">
      <alignment horizontal="center" vertical="center"/>
    </xf>
    <xf numFmtId="173" fontId="13" fillId="6" borderId="5" xfId="2" applyNumberFormat="1" applyFont="1" applyFill="1" applyBorder="1" applyAlignment="1">
      <alignment horizontal="center" vertical="center"/>
    </xf>
    <xf numFmtId="0" fontId="15" fillId="5" borderId="0" xfId="0" applyFont="1" applyFill="1" applyBorder="1" applyAlignment="1">
      <alignment horizontal="left" vertical="center" wrapText="1"/>
    </xf>
    <xf numFmtId="0" fontId="14" fillId="0" borderId="0" xfId="0" applyFont="1" applyBorder="1"/>
    <xf numFmtId="0" fontId="0" fillId="0" borderId="0" xfId="0" applyBorder="1"/>
    <xf numFmtId="0" fontId="16" fillId="0" borderId="0" xfId="0" applyFont="1"/>
  </cellXfs>
  <cellStyles count="3">
    <cellStyle name="Comma" xfId="1" builtinId="3"/>
    <cellStyle name="Normal" xfId="0" builtinId="0"/>
    <cellStyle name="Percent" xfId="2" builtinId="5"/>
  </cellStyles>
  <dxfs count="11">
    <dxf>
      <numFmt numFmtId="3" formatCode="#,##0"/>
    </dxf>
    <dxf>
      <numFmt numFmtId="181" formatCode="_ * #,##0_ ;_ * \-#,##0_ ;_ * &quot;-&quot;??_ ;_ @_ "/>
    </dxf>
    <dxf>
      <numFmt numFmtId="13" formatCode="0%"/>
    </dxf>
    <dxf>
      <numFmt numFmtId="173" formatCode="0.0%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81" formatCode="_ * #,##0_ ;_ * \-#,##0_ ;_ * &quot;-&quot;??_ ;_ @_ "/>
    </dxf>
    <dxf>
      <numFmt numFmtId="13" formatCode="0%"/>
    </dxf>
    <dxf>
      <numFmt numFmtId="173" formatCode="0.0%"/>
    </dxf>
    <dxf>
      <numFmt numFmtId="3" formatCode="#,##0"/>
    </dxf>
  </dxfs>
  <tableStyles count="0" defaultTableStyle="TableStyleMedium9" defaultPivotStyle="PivotStyleLight16"/>
  <colors>
    <mruColors>
      <color rgb="FF1F3A44"/>
      <color rgb="FF0F4C5C"/>
      <color rgb="FFC8553D"/>
      <color rgb="FFE3F1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[Healthcare_MIS_Dashboard.xlsx]Pivots!PivotTable6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Outstanding by Aging Bucket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0000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000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Pivots!$B$9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332-4DB9-BE06-45AF4C2E3D7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Pivots!$A$10:$A$14</c:f>
              <c:strCache>
                <c:ptCount val="4"/>
                <c:pt idx="0">
                  <c:v>0-30</c:v>
                </c:pt>
                <c:pt idx="1">
                  <c:v>31-60</c:v>
                </c:pt>
                <c:pt idx="2">
                  <c:v>61-90</c:v>
                </c:pt>
                <c:pt idx="3">
                  <c:v>90+</c:v>
                </c:pt>
              </c:strCache>
            </c:strRef>
          </c:cat>
          <c:val>
            <c:numRef>
              <c:f>Pivots!$B$10:$B$14</c:f>
              <c:numCache>
                <c:formatCode>#,##0</c:formatCode>
                <c:ptCount val="4"/>
                <c:pt idx="0">
                  <c:v>510950</c:v>
                </c:pt>
                <c:pt idx="1">
                  <c:v>412150</c:v>
                </c:pt>
                <c:pt idx="2">
                  <c:v>324625</c:v>
                </c:pt>
                <c:pt idx="3">
                  <c:v>1287000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332-4DB9-BE06-45AF4C2E3D7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55791600"/>
        <c:axId val="1755792848"/>
      </c:barChart>
      <c:catAx>
        <c:axId val="175579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5792848"/>
        <c:crosses val="autoZero"/>
        <c:auto val="1"/>
        <c:lblAlgn val="ctr"/>
        <c:lblOffset val="100"/>
        <c:noMultiLvlLbl val="0"/>
      </c:catAx>
      <c:valAx>
        <c:axId val="1755792848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5791600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[Healthcare_MIS_Dashboard.xlsx]Pivots!PivotTable7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Outstanding by Payer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0000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0000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Pivots!$B$17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265-4960-B80D-4A9F35E72F4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Pivots!$A$18:$A$27</c:f>
              <c:strCache>
                <c:ptCount val="9"/>
                <c:pt idx="0">
                  <c:v>Unknown</c:v>
                </c:pt>
                <c:pt idx="1">
                  <c:v>Self Pay</c:v>
                </c:pt>
                <c:pt idx="2">
                  <c:v>Humana</c:v>
                </c:pt>
                <c:pt idx="3">
                  <c:v>Cigna</c:v>
                </c:pt>
                <c:pt idx="4">
                  <c:v>Medicaid</c:v>
                </c:pt>
                <c:pt idx="5">
                  <c:v>Aetna</c:v>
                </c:pt>
                <c:pt idx="6">
                  <c:v>UnitedHealthcare</c:v>
                </c:pt>
                <c:pt idx="7">
                  <c:v>Blue Cross</c:v>
                </c:pt>
                <c:pt idx="8">
                  <c:v>Medicare</c:v>
                </c:pt>
              </c:strCache>
            </c:strRef>
          </c:cat>
          <c:val>
            <c:numRef>
              <c:f>Pivots!$B$18:$B$27</c:f>
              <c:numCache>
                <c:formatCode>_ * #,##0_ ;_ * \-#,##0_ ;_ * "-"??_ ;_ @_ </c:formatCode>
                <c:ptCount val="9"/>
                <c:pt idx="0">
                  <c:v>54350</c:v>
                </c:pt>
                <c:pt idx="1">
                  <c:v>76700</c:v>
                </c:pt>
                <c:pt idx="2">
                  <c:v>216125</c:v>
                </c:pt>
                <c:pt idx="3">
                  <c:v>239275</c:v>
                </c:pt>
                <c:pt idx="4">
                  <c:v>295275</c:v>
                </c:pt>
                <c:pt idx="5">
                  <c:v>331875</c:v>
                </c:pt>
                <c:pt idx="6">
                  <c:v>342100</c:v>
                </c:pt>
                <c:pt idx="7">
                  <c:v>389050</c:v>
                </c:pt>
                <c:pt idx="8">
                  <c:v>589975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265-4960-B80D-4A9F35E72F4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977456496"/>
        <c:axId val="1977454416"/>
      </c:barChart>
      <c:catAx>
        <c:axId val="197745649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7454416"/>
        <c:crosses val="autoZero"/>
        <c:auto val="1"/>
        <c:lblAlgn val="ctr"/>
        <c:lblOffset val="100"/>
        <c:noMultiLvlLbl val="0"/>
      </c:catAx>
      <c:valAx>
        <c:axId val="1977454416"/>
        <c:scaling>
          <c:orientation val="minMax"/>
        </c:scaling>
        <c:delete val="0"/>
        <c:axPos val="b"/>
        <c:numFmt formatCode="_ * #,##0_ ;_ * \-#,##0_ ;_ * &quot;-&quot;??_ ;_ 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7456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[Healthcare_MIS_Dashboard.xlsx]Pivots!PivotTable13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400"/>
              <a:t>Denied Amount by Denial Reason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/>
        </c:spPr>
      </c:pivotFmt>
      <c:pivotFmt>
        <c:idx val="2"/>
        <c:spPr>
          <a:solidFill>
            <a:srgbClr val="FF0000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0000"/>
          </a:solidFill>
          <a:ln>
            <a:noFill/>
          </a:ln>
          <a:effectLst/>
        </c:spPr>
      </c:pivotFmt>
      <c:pivotFmt>
        <c:idx val="5"/>
        <c:spPr>
          <a:solidFill>
            <a:srgbClr val="FF0000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FF0000"/>
          </a:solidFill>
          <a:ln>
            <a:noFill/>
          </a:ln>
          <a:effectLst/>
        </c:spPr>
      </c:pivotFmt>
      <c:pivotFmt>
        <c:idx val="8"/>
        <c:spPr>
          <a:solidFill>
            <a:srgbClr val="FF0000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Pivots!$B$31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E8F-4291-B0A0-6A9326D5867E}"/>
              </c:ext>
            </c:extLst>
          </c:dPt>
          <c:dPt>
            <c:idx val="6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E8F-4291-B0A0-6A9326D5867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Pivots!$A$32:$A$39</c:f>
              <c:strCache>
                <c:ptCount val="7"/>
                <c:pt idx="0">
                  <c:v>Duplicate Claim</c:v>
                </c:pt>
                <c:pt idx="1">
                  <c:v>Timely Filing Exceeded</c:v>
                </c:pt>
                <c:pt idx="2">
                  <c:v>Incorrect Patient Info</c:v>
                </c:pt>
                <c:pt idx="3">
                  <c:v>Missing Prior Authorization</c:v>
                </c:pt>
                <c:pt idx="4">
                  <c:v>Medical Necessity Not Met</c:v>
                </c:pt>
                <c:pt idx="5">
                  <c:v>Patient Not Eligible</c:v>
                </c:pt>
                <c:pt idx="6">
                  <c:v>Coding Error</c:v>
                </c:pt>
              </c:strCache>
            </c:strRef>
          </c:cat>
          <c:val>
            <c:numRef>
              <c:f>Pivots!$B$32:$B$39</c:f>
              <c:numCache>
                <c:formatCode>_ * #,##0_ ;_ * \-#,##0_ ;_ * "-"??_ ;_ @_ </c:formatCode>
                <c:ptCount val="7"/>
                <c:pt idx="0">
                  <c:v>68525</c:v>
                </c:pt>
                <c:pt idx="1">
                  <c:v>90175</c:v>
                </c:pt>
                <c:pt idx="2">
                  <c:v>97250</c:v>
                </c:pt>
                <c:pt idx="3">
                  <c:v>105600</c:v>
                </c:pt>
                <c:pt idx="4">
                  <c:v>133525</c:v>
                </c:pt>
                <c:pt idx="5">
                  <c:v>188775</c:v>
                </c:pt>
                <c:pt idx="6">
                  <c:v>216000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E8F-4291-B0A0-6A9326D5867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87021552"/>
        <c:axId val="87024464"/>
      </c:barChart>
      <c:catAx>
        <c:axId val="870215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024464"/>
        <c:crosses val="autoZero"/>
        <c:auto val="1"/>
        <c:lblAlgn val="ctr"/>
        <c:lblOffset val="100"/>
        <c:noMultiLvlLbl val="0"/>
      </c:catAx>
      <c:valAx>
        <c:axId val="87024464"/>
        <c:scaling>
          <c:orientation val="minMax"/>
        </c:scaling>
        <c:delete val="0"/>
        <c:axPos val="b"/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021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[Healthcare_MIS_Dashboard.xlsx]Pivots!PivotTable15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Productivity % by Agent 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/>
        </c:spPr>
      </c:pivotFmt>
      <c:pivotFmt>
        <c:idx val="2"/>
        <c:spPr>
          <a:solidFill>
            <a:srgbClr val="FF0000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0000"/>
          </a:solidFill>
          <a:ln>
            <a:noFill/>
          </a:ln>
          <a:effectLst/>
        </c:spPr>
      </c:pivotFmt>
      <c:pivotFmt>
        <c:idx val="5"/>
        <c:spPr>
          <a:solidFill>
            <a:srgbClr val="FF0000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FF0000"/>
          </a:solidFill>
          <a:ln>
            <a:noFill/>
          </a:ln>
          <a:effectLst/>
        </c:spPr>
      </c:pivotFmt>
      <c:pivotFmt>
        <c:idx val="8"/>
        <c:spPr>
          <a:solidFill>
            <a:srgbClr val="FF0000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Pivots!$B$43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A94-4E6C-ABC5-064DDAF59995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A94-4E6C-ABC5-064DDAF5999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Pivots!$A$44:$A$53</c:f>
              <c:strCache>
                <c:ptCount val="10"/>
                <c:pt idx="0">
                  <c:v>Amit V</c:v>
                </c:pt>
                <c:pt idx="1">
                  <c:v>Priya K</c:v>
                </c:pt>
                <c:pt idx="2">
                  <c:v>Rohit B</c:v>
                </c:pt>
                <c:pt idx="3">
                  <c:v>Kavita D</c:v>
                </c:pt>
                <c:pt idx="4">
                  <c:v>Vikas R</c:v>
                </c:pt>
                <c:pt idx="5">
                  <c:v>Rahul S</c:v>
                </c:pt>
                <c:pt idx="6">
                  <c:v>Pooja M</c:v>
                </c:pt>
                <c:pt idx="7">
                  <c:v>Anjali T</c:v>
                </c:pt>
                <c:pt idx="8">
                  <c:v>Sandeep Y</c:v>
                </c:pt>
                <c:pt idx="9">
                  <c:v>Neha G</c:v>
                </c:pt>
              </c:strCache>
            </c:strRef>
          </c:cat>
          <c:val>
            <c:numRef>
              <c:f>Pivots!$B$44:$B$53</c:f>
              <c:numCache>
                <c:formatCode>0.0%</c:formatCode>
                <c:ptCount val="10"/>
                <c:pt idx="0">
                  <c:v>0.91249999999999998</c:v>
                </c:pt>
                <c:pt idx="1">
                  <c:v>0.92645161290322575</c:v>
                </c:pt>
                <c:pt idx="2">
                  <c:v>0.93906810035842292</c:v>
                </c:pt>
                <c:pt idx="3">
                  <c:v>0.9458333333333333</c:v>
                </c:pt>
                <c:pt idx="4">
                  <c:v>0.94609374999999996</c:v>
                </c:pt>
                <c:pt idx="5">
                  <c:v>0.9541218637992831</c:v>
                </c:pt>
                <c:pt idx="6">
                  <c:v>0.96487455197132621</c:v>
                </c:pt>
                <c:pt idx="7">
                  <c:v>0.98750000000000004</c:v>
                </c:pt>
                <c:pt idx="8">
                  <c:v>0.99151515151515146</c:v>
                </c:pt>
                <c:pt idx="9">
                  <c:v>0.99856630824372761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A94-4E6C-ABC5-064DDAF5999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624450000"/>
        <c:axId val="1624447088"/>
      </c:barChart>
      <c:catAx>
        <c:axId val="162445000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4447088"/>
        <c:crosses val="autoZero"/>
        <c:auto val="1"/>
        <c:lblAlgn val="ctr"/>
        <c:lblOffset val="100"/>
        <c:noMultiLvlLbl val="0"/>
      </c:catAx>
      <c:valAx>
        <c:axId val="1624447088"/>
        <c:scaling>
          <c:orientation val="minMax"/>
        </c:scaling>
        <c:delete val="1"/>
        <c:axPos val="b"/>
        <c:numFmt formatCode="0.0%" sourceLinked="1"/>
        <c:majorTickMark val="out"/>
        <c:minorTickMark val="none"/>
        <c:tickLblPos val="nextTo"/>
        <c:crossAx val="1624450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31750</xdr:colOff>
      <xdr:row>6</xdr:row>
      <xdr:rowOff>0</xdr:rowOff>
    </xdr:from>
    <xdr:to>
      <xdr:col>6</xdr:col>
      <xdr:colOff>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3B0082-6BE9-4CAB-B227-4CC71B4AAF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19048</xdr:colOff>
      <xdr:row>5</xdr:row>
      <xdr:rowOff>190499</xdr:rowOff>
    </xdr:from>
    <xdr:to>
      <xdr:col>11</xdr:col>
      <xdr:colOff>847048</xdr:colOff>
      <xdr:row>19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1B53D8F-260F-4180-9D52-6E23639B36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15875</xdr:colOff>
      <xdr:row>19</xdr:row>
      <xdr:rowOff>190499</xdr:rowOff>
    </xdr:from>
    <xdr:to>
      <xdr:col>6</xdr:col>
      <xdr:colOff>9524</xdr:colOff>
      <xdr:row>33</xdr:row>
      <xdr:rowOff>299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F166A02-8B78-4895-9CB7-0F5D0267AA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28574</xdr:colOff>
      <xdr:row>20</xdr:row>
      <xdr:rowOff>0</xdr:rowOff>
    </xdr:from>
    <xdr:to>
      <xdr:col>11</xdr:col>
      <xdr:colOff>856574</xdr:colOff>
      <xdr:row>33</xdr:row>
      <xdr:rowOff>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5924B01-7628-4EB7-A15B-129C5E1F03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tish Arya" refreshedDate="46320.88147025463" createdVersion="7" refreshedVersion="7" minRefreshableVersion="3" recordCount="10" xr:uid="{9C5ABCC6-1212-4A6A-AF1D-0C441E168974}">
  <cacheSource type="worksheet">
    <worksheetSource ref="A1:G11" sheet="Productivity_Report"/>
  </cacheSource>
  <cacheFields count="7">
    <cacheField name="Agent" numFmtId="0">
      <sharedItems count="10">
        <s v="Rahul S"/>
        <s v="Priya K"/>
        <s v="Amit V"/>
        <s v="Neha G"/>
        <s v="Sandeep Y"/>
        <s v="Pooja M"/>
        <s v="Vikas R"/>
        <s v="Anjali T"/>
        <s v="Rohit B"/>
        <s v="Kavita D"/>
      </sharedItems>
    </cacheField>
    <cacheField name="Days worked" numFmtId="0">
      <sharedItems containsSemiMixedTypes="0" containsString="0" containsNumber="1" containsInteger="1" minValue="30" maxValue="33"/>
    </cacheField>
    <cacheField name="Total Accounts" numFmtId="0">
      <sharedItems containsSemiMixedTypes="0" containsString="0" containsNumber="1" containsInteger="1" minValue="1135" maxValue="1636"/>
    </cacheField>
    <cacheField name="Daily Target" numFmtId="0">
      <sharedItems containsSemiMixedTypes="0" containsString="0" containsNumber="1" containsInteger="1" minValue="40" maxValue="50"/>
    </cacheField>
    <cacheField name="Target Total" numFmtId="0">
      <sharedItems containsSemiMixedTypes="0" containsString="0" containsNumber="1" containsInteger="1" minValue="1200" maxValue="1650"/>
    </cacheField>
    <cacheField name="Productivity %" numFmtId="173">
      <sharedItems containsSemiMixedTypes="0" containsString="0" containsNumber="1" minValue="0.91249999999999998" maxValue="0.99856630824372761"/>
    </cacheField>
    <cacheField name="Avg Quality %" numFmtId="179">
      <sharedItems containsSemiMixedTypes="0" containsString="0" containsNumber="1" minValue="92.790909090909068" maxValue="94.55161290322583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tish Arya" refreshedDate="46320.881470949076" createdVersion="7" refreshedVersion="7" minRefreshableVersion="3" recordCount="1000" xr:uid="{256A9D17-17EF-4C20-B272-036F00B1F62A}">
  <cacheSource type="worksheet">
    <worksheetSource ref="A1:P1001" sheet="Claims_Clean"/>
  </cacheSource>
  <cacheFields count="16">
    <cacheField name="Claim ID" numFmtId="0">
      <sharedItems/>
    </cacheField>
    <cacheField name="Patient ID" numFmtId="0">
      <sharedItems/>
    </cacheField>
    <cacheField name="Facility" numFmtId="0">
      <sharedItems/>
    </cacheField>
    <cacheField name="Payer_clean" numFmtId="0">
      <sharedItems/>
    </cacheField>
    <cacheField name="DOS" numFmtId="165">
      <sharedItems containsSemiMixedTypes="0" containsNonDate="0" containsDate="1" containsString="0" minDate="2025-12-12T00:00:00" maxDate="2026-10-03T00:00:00"/>
    </cacheField>
    <cacheField name="Submission Date" numFmtId="165">
      <sharedItems containsSemiMixedTypes="0" containsNonDate="0" containsDate="1" containsString="0" minDate="2026-01-01T00:00:00" maxDate="2026-10-06T00:00:00"/>
    </cacheField>
    <cacheField name="Billed Amount" numFmtId="4">
      <sharedItems containsSemiMixedTypes="0" containsString="0" containsNumber="1" containsInteger="1" minValue="325" maxValue="14975"/>
    </cacheField>
    <cacheField name="Paid Amount" numFmtId="4">
      <sharedItems containsString="0" containsBlank="1" containsNumber="1" minValue="0" maxValue="14105.37"/>
    </cacheField>
    <cacheField name="Status_clean" numFmtId="0">
      <sharedItems/>
    </cacheField>
    <cacheField name="Denial Reason_clean" numFmtId="0">
      <sharedItems count="8">
        <s v="Duplicate Claim"/>
        <s v=""/>
        <s v="Coding Error"/>
        <s v="Incorrect Patient Info"/>
        <s v="Medical Necessity Not Met"/>
        <s v="Patient Not Eligible"/>
        <s v="Timely Filing Exceeded"/>
        <s v="Missing Prior Authorization"/>
      </sharedItems>
    </cacheField>
    <cacheField name="Agent_clean" numFmtId="0">
      <sharedItems/>
    </cacheField>
    <cacheField name="Age_Days" numFmtId="3">
      <sharedItems containsSemiMixedTypes="0" containsString="0" containsNumber="1" containsInteger="1" minValue="10" maxValue="287"/>
    </cacheField>
    <cacheField name="Aging_Bucket" numFmtId="0">
      <sharedItems/>
    </cacheField>
    <cacheField name="Outstanding_Amount" numFmtId="0">
      <sharedItems containsSemiMixedTypes="0" containsString="0" containsNumber="1" containsInteger="1" minValue="0" maxValue="14950"/>
    </cacheField>
    <cacheField name="Team_Lead" numFmtId="0">
      <sharedItems/>
    </cacheField>
    <cacheField name="Denied_Amount" numFmtId="0">
      <sharedItems containsSemiMixedTypes="0" containsString="0" containsNumber="1" containsInteger="1" minValue="0" maxValue="147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tish Arya" refreshedDate="46320.881471643515" createdVersion="7" refreshedVersion="7" minRefreshableVersion="3" recordCount="1000" xr:uid="{8DF42CB0-46FF-4B7E-9C57-AF915069F791}">
  <cacheSource type="worksheet">
    <worksheetSource ref="A1:O1001" sheet="Claims_Clean"/>
  </cacheSource>
  <cacheFields count="15">
    <cacheField name="Claim ID" numFmtId="0">
      <sharedItems/>
    </cacheField>
    <cacheField name="Patient ID" numFmtId="0">
      <sharedItems/>
    </cacheField>
    <cacheField name="Facility" numFmtId="0">
      <sharedItems/>
    </cacheField>
    <cacheField name="Payer_clean" numFmtId="0">
      <sharedItems count="9">
        <s v="UnitedHealthcare"/>
        <s v="Medicare"/>
        <s v="Cigna"/>
        <s v="Aetna"/>
        <s v="Medicaid"/>
        <s v="Self Pay"/>
        <s v="Blue Cross"/>
        <s v="Humana"/>
        <s v="Unknown"/>
      </sharedItems>
    </cacheField>
    <cacheField name="DOS" numFmtId="165">
      <sharedItems containsSemiMixedTypes="0" containsNonDate="0" containsDate="1" containsString="0" minDate="2025-12-12T00:00:00" maxDate="2026-10-03T00:00:00"/>
    </cacheField>
    <cacheField name="Submission Date" numFmtId="165">
      <sharedItems containsSemiMixedTypes="0" containsNonDate="0" containsDate="1" containsString="0" minDate="2026-01-01T00:00:00" maxDate="2026-10-06T00:00:00"/>
    </cacheField>
    <cacheField name="Billed Amount" numFmtId="4">
      <sharedItems containsSemiMixedTypes="0" containsString="0" containsNumber="1" containsInteger="1" minValue="325" maxValue="14975"/>
    </cacheField>
    <cacheField name="Paid Amount" numFmtId="4">
      <sharedItems containsString="0" containsBlank="1" containsNumber="1" minValue="0" maxValue="14105.37"/>
    </cacheField>
    <cacheField name="Status_clean" numFmtId="0">
      <sharedItems/>
    </cacheField>
    <cacheField name="Denial Reason_clean" numFmtId="0">
      <sharedItems/>
    </cacheField>
    <cacheField name="Agent_clean" numFmtId="0">
      <sharedItems/>
    </cacheField>
    <cacheField name="Age_Days" numFmtId="3">
      <sharedItems containsSemiMixedTypes="0" containsString="0" containsNumber="1" containsInteger="1" minValue="10" maxValue="287"/>
    </cacheField>
    <cacheField name="Aging_Bucket" numFmtId="0">
      <sharedItems count="4">
        <s v="31-60"/>
        <s v="90+"/>
        <s v="61-90"/>
        <s v="0-30"/>
      </sharedItems>
    </cacheField>
    <cacheField name="Outstanding_Amount" numFmtId="0">
      <sharedItems containsSemiMixedTypes="0" containsString="0" containsNumber="1" containsInteger="1" minValue="0" maxValue="14950"/>
    </cacheField>
    <cacheField name="Team_Lea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n v="31"/>
    <n v="1331"/>
    <n v="45"/>
    <n v="1395"/>
    <n v="0.9541218637992831"/>
    <n v="93.57741935483871"/>
  </r>
  <r>
    <x v="1"/>
    <n v="31"/>
    <n v="1436"/>
    <n v="50"/>
    <n v="1550"/>
    <n v="0.92645161290322575"/>
    <n v="92.958064516129028"/>
  </r>
  <r>
    <x v="2"/>
    <n v="32"/>
    <n v="1168"/>
    <n v="40"/>
    <n v="1280"/>
    <n v="0.91249999999999998"/>
    <n v="94.2"/>
  </r>
  <r>
    <x v="3"/>
    <n v="31"/>
    <n v="1393"/>
    <n v="45"/>
    <n v="1395"/>
    <n v="0.99856630824372761"/>
    <n v="94.551612903225831"/>
  </r>
  <r>
    <x v="4"/>
    <n v="33"/>
    <n v="1636"/>
    <n v="50"/>
    <n v="1650"/>
    <n v="0.99151515151515146"/>
    <n v="92.790909090909068"/>
  </r>
  <r>
    <x v="5"/>
    <n v="31"/>
    <n v="1346"/>
    <n v="45"/>
    <n v="1395"/>
    <n v="0.96487455197132621"/>
    <n v="93.445161290322588"/>
  </r>
  <r>
    <x v="6"/>
    <n v="32"/>
    <n v="1211"/>
    <n v="40"/>
    <n v="1280"/>
    <n v="0.94609374999999996"/>
    <n v="94.05"/>
  </r>
  <r>
    <x v="7"/>
    <n v="32"/>
    <n v="1580"/>
    <n v="50"/>
    <n v="1600"/>
    <n v="0.98750000000000004"/>
    <n v="93.7"/>
  </r>
  <r>
    <x v="8"/>
    <n v="31"/>
    <n v="1310"/>
    <n v="45"/>
    <n v="1395"/>
    <n v="0.93906810035842292"/>
    <n v="93.90967741935485"/>
  </r>
  <r>
    <x v="9"/>
    <n v="30"/>
    <n v="1135"/>
    <n v="40"/>
    <n v="1200"/>
    <n v="0.9458333333333333"/>
    <n v="93.44666666666667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C20001"/>
    <s v="P-1411"/>
    <s v="Green Valley Health"/>
    <s v="UnitedHealthcare"/>
    <d v="2026-07-31T00:00:00"/>
    <d v="2026-08-20T00:00:00"/>
    <n v="12200"/>
    <n v="0"/>
    <s v="Denied"/>
    <x v="0"/>
    <s v="Amit V"/>
    <n v="56"/>
    <s v="31-60"/>
    <n v="0"/>
    <s v="Manish Arora"/>
    <n v="12200"/>
  </r>
  <r>
    <s v="C20002"/>
    <s v="P-1324"/>
    <s v="City Care Clinic"/>
    <s v="UnitedHealthcare"/>
    <d v="2026-02-01T00:00:00"/>
    <d v="2026-02-18T00:00:00"/>
    <n v="8050"/>
    <n v="7652.9"/>
    <s v="Paid"/>
    <x v="1"/>
    <s v="Vikas R"/>
    <n v="239"/>
    <s v="90+"/>
    <n v="0"/>
    <s v="Sunita Rao"/>
    <n v="0"/>
  </r>
  <r>
    <s v="C20003"/>
    <s v="P-1032"/>
    <s v="City Care Clinic"/>
    <s v="Medicare"/>
    <d v="2026-08-12T00:00:00"/>
    <d v="2026-08-20T00:00:00"/>
    <n v="675"/>
    <m/>
    <s v="Pending"/>
    <x v="1"/>
    <s v="Neha G"/>
    <n v="56"/>
    <s v="31-60"/>
    <n v="675"/>
    <s v="Manish Arora"/>
    <n v="0"/>
  </r>
  <r>
    <s v="C20004"/>
    <s v="P-1327"/>
    <s v="Apex Ortho Center"/>
    <s v="UnitedHealthcare"/>
    <d v="2025-12-30T00:00:00"/>
    <d v="2026-01-16T00:00:00"/>
    <n v="8650"/>
    <n v="0"/>
    <s v="Denied"/>
    <x v="2"/>
    <s v="Priya K"/>
    <n v="272"/>
    <s v="90+"/>
    <n v="0"/>
    <s v="Manish Arora"/>
    <n v="8650"/>
  </r>
  <r>
    <s v="C20005"/>
    <s v="P-1477"/>
    <s v="City Care Clinic"/>
    <s v="Cigna"/>
    <d v="2026-08-12T00:00:00"/>
    <d v="2026-08-23T00:00:00"/>
    <n v="10700"/>
    <m/>
    <s v="Pending"/>
    <x v="1"/>
    <s v="Pooja M"/>
    <n v="53"/>
    <s v="31-60"/>
    <n v="10700"/>
    <s v="Sunita Rao"/>
    <n v="0"/>
  </r>
  <r>
    <s v="C20006"/>
    <s v="P-1055"/>
    <s v="Apex Ortho Center"/>
    <s v="Aetna"/>
    <d v="2026-04-09T00:00:00"/>
    <d v="2026-04-28T00:00:00"/>
    <n v="7675"/>
    <n v="4594"/>
    <s v="Paid"/>
    <x v="1"/>
    <s v="Rahul S"/>
    <n v="170"/>
    <s v="90+"/>
    <n v="0"/>
    <s v="Manish Arora"/>
    <n v="0"/>
  </r>
  <r>
    <s v="C20007"/>
    <s v="P-1026"/>
    <s v="Green Valley Health"/>
    <s v="Aetna"/>
    <d v="2025-12-23T00:00:00"/>
    <d v="2026-01-01T00:00:00"/>
    <n v="5650"/>
    <m/>
    <s v="Pending"/>
    <x v="1"/>
    <s v="Vikas R"/>
    <n v="287"/>
    <s v="90+"/>
    <n v="5650"/>
    <s v="Sunita Rao"/>
    <n v="0"/>
  </r>
  <r>
    <s v="C20008"/>
    <s v="P-1398"/>
    <s v="Apex Ortho Center"/>
    <s v="Medicaid"/>
    <d v="2026-07-29T00:00:00"/>
    <d v="2026-08-03T00:00:00"/>
    <n v="14775"/>
    <m/>
    <s v="Pending"/>
    <x v="1"/>
    <s v="Sandeep Y"/>
    <n v="73"/>
    <s v="61-90"/>
    <n v="14775"/>
    <s v="Sunita Rao"/>
    <n v="0"/>
  </r>
  <r>
    <s v="C20009"/>
    <s v="P-1051"/>
    <s v="City Care Clinic"/>
    <s v="Medicare"/>
    <d v="2026-06-17T00:00:00"/>
    <d v="2026-06-20T00:00:00"/>
    <n v="10775"/>
    <n v="7120.92"/>
    <s v="Paid"/>
    <x v="1"/>
    <s v="Anjali T"/>
    <n v="117"/>
    <s v="90+"/>
    <n v="0"/>
    <s v="Deepak Nair"/>
    <n v="0"/>
  </r>
  <r>
    <s v="C20010"/>
    <s v="P-1067"/>
    <s v="Green Valley Health"/>
    <s v="Cigna"/>
    <d v="2026-03-12T00:00:00"/>
    <d v="2026-04-01T00:00:00"/>
    <n v="5100"/>
    <n v="4484.7"/>
    <s v="Paid"/>
    <x v="1"/>
    <s v="Priya K"/>
    <n v="197"/>
    <s v="90+"/>
    <n v="0"/>
    <s v="Manish Arora"/>
    <n v="0"/>
  </r>
  <r>
    <s v="C20011"/>
    <s v="P-1303"/>
    <s v="Apex Ortho Center"/>
    <s v="Self Pay"/>
    <d v="2026-07-06T00:00:00"/>
    <d v="2026-07-22T00:00:00"/>
    <n v="5725"/>
    <n v="0"/>
    <s v="Denied"/>
    <x v="3"/>
    <s v="Rahul S"/>
    <n v="85"/>
    <s v="61-90"/>
    <n v="0"/>
    <s v="Manish Arora"/>
    <n v="5725"/>
  </r>
  <r>
    <s v="C20012"/>
    <s v="P-1308"/>
    <s v="City Care Clinic"/>
    <s v="Medicare"/>
    <d v="2026-04-10T00:00:00"/>
    <d v="2026-04-18T00:00:00"/>
    <n v="10375"/>
    <m/>
    <s v="Pending"/>
    <x v="1"/>
    <s v="Amit V"/>
    <n v="180"/>
    <s v="90+"/>
    <n v="10375"/>
    <s v="Manish Arora"/>
    <n v="0"/>
  </r>
  <r>
    <s v="C20013"/>
    <s v="P-1197"/>
    <s v="City Care Clinic"/>
    <s v="Medicare"/>
    <d v="2026-04-03T00:00:00"/>
    <d v="2026-04-20T00:00:00"/>
    <n v="6900"/>
    <n v="6373.05"/>
    <s v="Paid"/>
    <x v="1"/>
    <s v="Neha G"/>
    <n v="178"/>
    <s v="90+"/>
    <n v="0"/>
    <s v="Manish Arora"/>
    <n v="0"/>
  </r>
  <r>
    <s v="C20014"/>
    <s v="P-1247"/>
    <s v="Sunrise Hospital"/>
    <s v="Blue Cross"/>
    <d v="2026-05-02T00:00:00"/>
    <d v="2026-05-05T00:00:00"/>
    <n v="9725"/>
    <n v="9546.16"/>
    <s v="Paid"/>
    <x v="1"/>
    <s v="Amit V"/>
    <n v="163"/>
    <s v="90+"/>
    <n v="0"/>
    <s v="Manish Arora"/>
    <n v="0"/>
  </r>
  <r>
    <s v="C20015"/>
    <s v="P-1127"/>
    <s v="Sunrise Hospital"/>
    <s v="Medicare"/>
    <d v="2026-03-08T00:00:00"/>
    <d v="2026-03-20T00:00:00"/>
    <n v="6125"/>
    <m/>
    <s v="Pending"/>
    <x v="1"/>
    <s v="Rohit B"/>
    <n v="209"/>
    <s v="90+"/>
    <n v="6125"/>
    <s v="Deepak Nair"/>
    <n v="0"/>
  </r>
  <r>
    <s v="C20016"/>
    <s v="P-1019"/>
    <s v="Apex Ortho Center"/>
    <s v="Medicaid"/>
    <d v="2026-03-27T00:00:00"/>
    <d v="2026-04-11T00:00:00"/>
    <n v="12650"/>
    <n v="7548.61"/>
    <s v="Paid"/>
    <x v="1"/>
    <s v="Vikas R"/>
    <n v="187"/>
    <s v="90+"/>
    <n v="0"/>
    <s v="Sunita Rao"/>
    <n v="0"/>
  </r>
  <r>
    <s v="C20017"/>
    <s v="P-1035"/>
    <s v="Sunrise Hospital"/>
    <s v="Medicaid"/>
    <d v="2026-04-26T00:00:00"/>
    <d v="2026-05-12T00:00:00"/>
    <n v="12850"/>
    <n v="11232.94"/>
    <s v="Paid"/>
    <x v="1"/>
    <s v="Rohit B"/>
    <n v="156"/>
    <s v="90+"/>
    <n v="0"/>
    <s v="Deepak Nair"/>
    <n v="0"/>
  </r>
  <r>
    <s v="C20018"/>
    <s v="P-1104"/>
    <s v="City Care Clinic"/>
    <s v="Medicare"/>
    <d v="2026-01-27T00:00:00"/>
    <d v="2026-02-07T00:00:00"/>
    <n v="5725"/>
    <m/>
    <s v="Pending"/>
    <x v="1"/>
    <s v="Vikas R"/>
    <n v="250"/>
    <s v="90+"/>
    <n v="5725"/>
    <s v="Sunita Rao"/>
    <n v="0"/>
  </r>
  <r>
    <s v="C20019"/>
    <s v="P-1498"/>
    <s v="Sunrise Hospital"/>
    <s v="Medicare"/>
    <d v="2026-08-07T00:00:00"/>
    <d v="2026-08-17T00:00:00"/>
    <n v="1825"/>
    <n v="1439.84"/>
    <s v="Paid"/>
    <x v="1"/>
    <s v="Amit V"/>
    <n v="59"/>
    <s v="31-60"/>
    <n v="0"/>
    <s v="Manish Arora"/>
    <n v="0"/>
  </r>
  <r>
    <s v="C20020"/>
    <s v="P-1071"/>
    <s v="City Care Clinic"/>
    <s v="Humana"/>
    <d v="2026-08-06T00:00:00"/>
    <d v="2026-08-19T00:00:00"/>
    <n v="13650"/>
    <m/>
    <s v="Pending"/>
    <x v="1"/>
    <s v="Anjali T"/>
    <n v="57"/>
    <s v="31-60"/>
    <n v="13650"/>
    <s v="Deepak Nair"/>
    <n v="0"/>
  </r>
  <r>
    <s v="C20021"/>
    <s v="P-1374"/>
    <s v="Apex Ortho Center"/>
    <s v="Medicaid"/>
    <d v="2026-06-21T00:00:00"/>
    <d v="2026-07-03T00:00:00"/>
    <n v="1150"/>
    <n v="882.06"/>
    <s v="Paid"/>
    <x v="1"/>
    <s v="Priya K"/>
    <n v="104"/>
    <s v="90+"/>
    <n v="0"/>
    <s v="Manish Arora"/>
    <n v="0"/>
  </r>
  <r>
    <s v="C20022"/>
    <s v="P-1377"/>
    <s v="Sunrise Hospital"/>
    <s v="Blue Cross"/>
    <d v="2026-01-22T00:00:00"/>
    <d v="2026-02-08T00:00:00"/>
    <n v="14275"/>
    <n v="13865.48"/>
    <s v="Paid"/>
    <x v="1"/>
    <s v="Pooja M"/>
    <n v="249"/>
    <s v="90+"/>
    <n v="0"/>
    <s v="Sunita Rao"/>
    <n v="0"/>
  </r>
  <r>
    <s v="C20023"/>
    <s v="P-1446"/>
    <s v="Green Valley Health"/>
    <s v="Humana"/>
    <d v="2026-06-25T00:00:00"/>
    <d v="2026-06-30T00:00:00"/>
    <n v="12400"/>
    <m/>
    <s v="Pending"/>
    <x v="1"/>
    <s v="Rahul S"/>
    <n v="107"/>
    <s v="90+"/>
    <n v="12400"/>
    <s v="Manish Arora"/>
    <n v="0"/>
  </r>
  <r>
    <s v="C20024"/>
    <s v="P-1006"/>
    <s v="City Care Clinic"/>
    <s v="Medicare"/>
    <d v="2026-09-10T00:00:00"/>
    <d v="2026-09-13T00:00:00"/>
    <n v="10075"/>
    <m/>
    <s v="Pending"/>
    <x v="1"/>
    <s v="Priya K"/>
    <n v="32"/>
    <s v="31-60"/>
    <n v="10075"/>
    <s v="Manish Arora"/>
    <n v="0"/>
  </r>
  <r>
    <s v="C20025"/>
    <s v="P-1225"/>
    <s v="Green Valley Health"/>
    <s v="Blue Cross"/>
    <d v="2026-04-26T00:00:00"/>
    <d v="2026-05-12T00:00:00"/>
    <n v="8750"/>
    <n v="7100"/>
    <s v="Paid"/>
    <x v="1"/>
    <s v="Priya K"/>
    <n v="156"/>
    <s v="90+"/>
    <n v="0"/>
    <s v="Manish Arora"/>
    <n v="0"/>
  </r>
  <r>
    <s v="C20026"/>
    <s v="P-1044"/>
    <s v="Green Valley Health"/>
    <s v="Medicare"/>
    <d v="2026-09-04T00:00:00"/>
    <d v="2026-09-23T00:00:00"/>
    <n v="1050"/>
    <m/>
    <s v="Pending"/>
    <x v="1"/>
    <s v="Priya K"/>
    <n v="22"/>
    <s v="0-30"/>
    <n v="1050"/>
    <s v="Manish Arora"/>
    <n v="0"/>
  </r>
  <r>
    <s v="C20027"/>
    <s v="P-1188"/>
    <s v="Apex Ortho Center"/>
    <s v="Medicare"/>
    <d v="2026-08-25T00:00:00"/>
    <d v="2026-09-12T00:00:00"/>
    <n v="6825"/>
    <m/>
    <s v="Pending"/>
    <x v="1"/>
    <s v="Kavita D"/>
    <n v="33"/>
    <s v="31-60"/>
    <n v="6825"/>
    <s v="Deepak Nair"/>
    <n v="0"/>
  </r>
  <r>
    <s v="C20028"/>
    <s v="P-1255"/>
    <s v="Sunrise Hospital"/>
    <s v="Medicaid"/>
    <d v="2026-03-26T00:00:00"/>
    <d v="2026-04-14T00:00:00"/>
    <n v="4625"/>
    <n v="4479.9399999999996"/>
    <s v="Paid"/>
    <x v="1"/>
    <s v="Sandeep Y"/>
    <n v="184"/>
    <s v="90+"/>
    <n v="0"/>
    <s v="Sunita Rao"/>
    <n v="0"/>
  </r>
  <r>
    <s v="C20029"/>
    <s v="P-1196"/>
    <s v="Sunrise Hospital"/>
    <s v="UnitedHealthcare"/>
    <d v="2026-03-27T00:00:00"/>
    <d v="2026-04-12T00:00:00"/>
    <n v="5425"/>
    <m/>
    <s v="Pending"/>
    <x v="1"/>
    <s v="Pooja M"/>
    <n v="186"/>
    <s v="90+"/>
    <n v="5425"/>
    <s v="Sunita Rao"/>
    <n v="0"/>
  </r>
  <r>
    <s v="C20030"/>
    <s v="P-1364"/>
    <s v="City Care Clinic"/>
    <s v="Humana"/>
    <d v="2026-04-11T00:00:00"/>
    <d v="2026-04-18T00:00:00"/>
    <n v="3725"/>
    <n v="0"/>
    <s v="Denied"/>
    <x v="4"/>
    <s v="Sandeep Y"/>
    <n v="180"/>
    <s v="90+"/>
    <n v="0"/>
    <s v="Sunita Rao"/>
    <n v="3725"/>
  </r>
  <r>
    <s v="C20031"/>
    <s v="P-1195"/>
    <s v="Green Valley Health"/>
    <s v="Cigna"/>
    <d v="2026-03-22T00:00:00"/>
    <d v="2026-03-28T00:00:00"/>
    <n v="11825"/>
    <n v="0"/>
    <s v="Denied"/>
    <x v="4"/>
    <s v="Kavita D"/>
    <n v="201"/>
    <s v="90+"/>
    <n v="0"/>
    <s v="Deepak Nair"/>
    <n v="11825"/>
  </r>
  <r>
    <s v="C20032"/>
    <s v="P-1142"/>
    <s v="City Care Clinic"/>
    <s v="Cigna"/>
    <d v="2026-08-07T00:00:00"/>
    <d v="2026-08-20T00:00:00"/>
    <n v="2200"/>
    <m/>
    <s v="Pending"/>
    <x v="1"/>
    <s v="Sandeep Y"/>
    <n v="56"/>
    <s v="31-60"/>
    <n v="2200"/>
    <s v="Sunita Rao"/>
    <n v="0"/>
  </r>
  <r>
    <s v="C20033"/>
    <s v="P-1012"/>
    <s v="Apex Ortho Center"/>
    <s v="Medicaid"/>
    <d v="2026-06-19T00:00:00"/>
    <d v="2026-07-01T00:00:00"/>
    <n v="14725"/>
    <n v="11112.58"/>
    <s v="Paid"/>
    <x v="1"/>
    <s v="Amit V"/>
    <n v="106"/>
    <s v="90+"/>
    <n v="0"/>
    <s v="Manish Arora"/>
    <n v="0"/>
  </r>
  <r>
    <s v="C20034"/>
    <s v="P-1188"/>
    <s v="City Care Clinic"/>
    <s v="Cigna"/>
    <d v="2026-01-19T00:00:00"/>
    <d v="2026-01-25T00:00:00"/>
    <n v="11725"/>
    <n v="9825.11"/>
    <s v="Paid"/>
    <x v="1"/>
    <s v="Neha G"/>
    <n v="263"/>
    <s v="90+"/>
    <n v="0"/>
    <s v="Manish Arora"/>
    <n v="0"/>
  </r>
  <r>
    <s v="C20035"/>
    <s v="P-1386"/>
    <s v="Green Valley Health"/>
    <s v="UnitedHealthcare"/>
    <d v="2026-08-21T00:00:00"/>
    <d v="2026-09-01T00:00:00"/>
    <n v="4850"/>
    <m/>
    <s v="Pending"/>
    <x v="1"/>
    <s v="Rahul S"/>
    <n v="44"/>
    <s v="31-60"/>
    <n v="4850"/>
    <s v="Manish Arora"/>
    <n v="0"/>
  </r>
  <r>
    <s v="C20036"/>
    <s v="P-1256"/>
    <s v="Sunrise Hospital"/>
    <s v="Aetna"/>
    <d v="2026-03-23T00:00:00"/>
    <d v="2026-04-02T00:00:00"/>
    <n v="7250"/>
    <n v="7076.5"/>
    <s v="Paid"/>
    <x v="1"/>
    <s v="Neha G"/>
    <n v="196"/>
    <s v="90+"/>
    <n v="0"/>
    <s v="Manish Arora"/>
    <n v="0"/>
  </r>
  <r>
    <s v="C20037"/>
    <s v="P-1465"/>
    <s v="City Care Clinic"/>
    <s v="Aetna"/>
    <d v="2026-01-29T00:00:00"/>
    <d v="2026-02-14T00:00:00"/>
    <n v="10225"/>
    <n v="8502.0499999999993"/>
    <s v="Paid"/>
    <x v="1"/>
    <s v="Kavita D"/>
    <n v="243"/>
    <s v="90+"/>
    <n v="0"/>
    <s v="Deepak Nair"/>
    <n v="0"/>
  </r>
  <r>
    <s v="C20038"/>
    <s v="P-1104"/>
    <s v="City Care Clinic"/>
    <s v="Cigna"/>
    <d v="2026-09-02T00:00:00"/>
    <d v="2026-09-15T00:00:00"/>
    <n v="12150"/>
    <m/>
    <s v="Pending"/>
    <x v="1"/>
    <s v="Priya K"/>
    <n v="30"/>
    <s v="0-30"/>
    <n v="12150"/>
    <s v="Manish Arora"/>
    <n v="0"/>
  </r>
  <r>
    <s v="C20039"/>
    <s v="P-1500"/>
    <s v="Apex Ortho Center"/>
    <s v="UnitedHealthcare"/>
    <d v="2026-04-10T00:00:00"/>
    <d v="2026-04-20T00:00:00"/>
    <n v="10275"/>
    <m/>
    <s v="Pending"/>
    <x v="1"/>
    <s v="Pooja M"/>
    <n v="178"/>
    <s v="90+"/>
    <n v="10275"/>
    <s v="Sunita Rao"/>
    <n v="0"/>
  </r>
  <r>
    <s v="C20040"/>
    <s v="P-1215"/>
    <s v="Apex Ortho Center"/>
    <s v="UnitedHealthcare"/>
    <d v="2026-05-12T00:00:00"/>
    <d v="2026-05-15T00:00:00"/>
    <n v="9200"/>
    <n v="6476.1"/>
    <s v="Paid"/>
    <x v="1"/>
    <s v="Rahul S"/>
    <n v="153"/>
    <s v="90+"/>
    <n v="0"/>
    <s v="Manish Arora"/>
    <n v="0"/>
  </r>
  <r>
    <s v="C20041"/>
    <s v="P-1403"/>
    <s v="Sunrise Hospital"/>
    <s v="Aetna"/>
    <d v="2026-04-17T00:00:00"/>
    <d v="2026-04-22T00:00:00"/>
    <n v="11275"/>
    <n v="7900.98"/>
    <s v="Paid"/>
    <x v="1"/>
    <s v="Rohit B"/>
    <n v="176"/>
    <s v="90+"/>
    <n v="0"/>
    <s v="Deepak Nair"/>
    <n v="0"/>
  </r>
  <r>
    <s v="C20042"/>
    <s v="P-1352"/>
    <s v="City Care Clinic"/>
    <s v="Blue Cross"/>
    <d v="2026-09-06T00:00:00"/>
    <d v="2026-09-23T00:00:00"/>
    <n v="12900"/>
    <m/>
    <s v="Pending"/>
    <x v="1"/>
    <s v="Anjali T"/>
    <n v="22"/>
    <s v="0-30"/>
    <n v="12900"/>
    <s v="Deepak Nair"/>
    <n v="0"/>
  </r>
  <r>
    <s v="C20043"/>
    <s v="P-1287"/>
    <s v="Sunrise Hospital"/>
    <s v="UnitedHealthcare"/>
    <d v="2026-09-07T00:00:00"/>
    <d v="2026-09-27T00:00:00"/>
    <n v="7725"/>
    <m/>
    <s v="Pending"/>
    <x v="1"/>
    <s v="Rohit B"/>
    <n v="18"/>
    <s v="0-30"/>
    <n v="7725"/>
    <s v="Deepak Nair"/>
    <n v="0"/>
  </r>
  <r>
    <s v="C20044"/>
    <s v="P-1445"/>
    <s v="Sunrise Hospital"/>
    <s v="Medicaid"/>
    <d v="2026-04-30T00:00:00"/>
    <d v="2026-05-12T00:00:00"/>
    <n v="10050"/>
    <m/>
    <s v="Pending"/>
    <x v="1"/>
    <s v="Amit V"/>
    <n v="156"/>
    <s v="90+"/>
    <n v="10050"/>
    <s v="Manish Arora"/>
    <n v="0"/>
  </r>
  <r>
    <s v="C20045"/>
    <s v="P-1210"/>
    <s v="City Care Clinic"/>
    <s v="UnitedHealthcare"/>
    <d v="2026-09-15T00:00:00"/>
    <d v="2026-09-26T00:00:00"/>
    <n v="14950"/>
    <m/>
    <s v="Pending"/>
    <x v="1"/>
    <s v="Kavita D"/>
    <n v="19"/>
    <s v="0-30"/>
    <n v="14950"/>
    <s v="Deepak Nair"/>
    <n v="0"/>
  </r>
  <r>
    <s v="C20046"/>
    <s v="P-1264"/>
    <s v="Green Valley Health"/>
    <s v="UnitedHealthcare"/>
    <d v="2026-07-10T00:00:00"/>
    <d v="2026-07-13T00:00:00"/>
    <n v="14075"/>
    <m/>
    <s v="Pending"/>
    <x v="1"/>
    <s v="Kavita D"/>
    <n v="94"/>
    <s v="90+"/>
    <n v="14075"/>
    <s v="Deepak Nair"/>
    <n v="0"/>
  </r>
  <r>
    <s v="C20047"/>
    <s v="P-1211"/>
    <s v="Green Valley Health"/>
    <s v="Medicaid"/>
    <d v="2026-02-14T00:00:00"/>
    <d v="2026-03-04T00:00:00"/>
    <n v="2675"/>
    <n v="2119.73"/>
    <s v="Paid"/>
    <x v="1"/>
    <s v="Anjali T"/>
    <n v="225"/>
    <s v="90+"/>
    <n v="0"/>
    <s v="Deepak Nair"/>
    <n v="0"/>
  </r>
  <r>
    <s v="C20048"/>
    <s v="P-1417"/>
    <s v="Green Valley Health"/>
    <s v="UnitedHealthcare"/>
    <d v="2026-09-03T00:00:00"/>
    <d v="2026-09-10T00:00:00"/>
    <n v="8975"/>
    <m/>
    <s v="Pending"/>
    <x v="1"/>
    <s v="Priya K"/>
    <n v="35"/>
    <s v="31-60"/>
    <n v="8975"/>
    <s v="Manish Arora"/>
    <n v="0"/>
  </r>
  <r>
    <s v="C20049"/>
    <s v="P-1066"/>
    <s v="City Care Clinic"/>
    <s v="Medicare"/>
    <d v="2026-03-24T00:00:00"/>
    <d v="2026-04-09T00:00:00"/>
    <n v="1050"/>
    <m/>
    <s v="Pending"/>
    <x v="1"/>
    <s v="Amit V"/>
    <n v="189"/>
    <s v="90+"/>
    <n v="1050"/>
    <s v="Manish Arora"/>
    <n v="0"/>
  </r>
  <r>
    <s v="C20050"/>
    <s v="P-1053"/>
    <s v="Green Valley Health"/>
    <s v="Cigna"/>
    <d v="2026-04-24T00:00:00"/>
    <d v="2026-04-27T00:00:00"/>
    <n v="7550"/>
    <n v="6258.16"/>
    <s v="Paid"/>
    <x v="1"/>
    <s v="Priya K"/>
    <n v="171"/>
    <s v="90+"/>
    <n v="0"/>
    <s v="Manish Arora"/>
    <n v="0"/>
  </r>
  <r>
    <s v="C20051"/>
    <s v="P-1449"/>
    <s v="Green Valley Health"/>
    <s v="Medicare"/>
    <d v="2026-09-08T00:00:00"/>
    <d v="2026-09-19T00:00:00"/>
    <n v="5350"/>
    <m/>
    <s v="Pending"/>
    <x v="1"/>
    <s v="Vikas R"/>
    <n v="26"/>
    <s v="0-30"/>
    <n v="5350"/>
    <s v="Sunita Rao"/>
    <n v="0"/>
  </r>
  <r>
    <s v="C20052"/>
    <s v="P-1271"/>
    <s v="Sunrise Hospital"/>
    <s v="Blue Cross"/>
    <d v="2026-09-21T00:00:00"/>
    <d v="2026-09-29T00:00:00"/>
    <n v="14075"/>
    <n v="11785.14"/>
    <s v="Paid"/>
    <x v="1"/>
    <s v="Kavita D"/>
    <n v="16"/>
    <s v="0-30"/>
    <n v="0"/>
    <s v="Deepak Nair"/>
    <n v="0"/>
  </r>
  <r>
    <s v="C20053"/>
    <s v="P-1161"/>
    <s v="Apex Ortho Center"/>
    <s v="Humana"/>
    <d v="2026-03-01T00:00:00"/>
    <d v="2026-03-11T00:00:00"/>
    <n v="9175"/>
    <m/>
    <s v="Pending"/>
    <x v="1"/>
    <s v="Neha G"/>
    <n v="218"/>
    <s v="90+"/>
    <n v="9175"/>
    <s v="Manish Arora"/>
    <n v="0"/>
  </r>
  <r>
    <s v="C20054"/>
    <s v="P-1132"/>
    <s v="Green Valley Health"/>
    <s v="Medicare"/>
    <d v="2026-04-13T00:00:00"/>
    <d v="2026-04-22T00:00:00"/>
    <n v="2775"/>
    <n v="2433.56"/>
    <s v="Paid"/>
    <x v="1"/>
    <s v="Vikas R"/>
    <n v="176"/>
    <s v="90+"/>
    <n v="0"/>
    <s v="Sunita Rao"/>
    <n v="0"/>
  </r>
  <r>
    <s v="C20055"/>
    <s v="P-1291"/>
    <s v="Apex Ortho Center"/>
    <s v="Humana"/>
    <d v="2026-02-25T00:00:00"/>
    <d v="2026-03-06T00:00:00"/>
    <n v="10600"/>
    <n v="6288.19"/>
    <s v="Paid"/>
    <x v="1"/>
    <s v="Pooja M"/>
    <n v="223"/>
    <s v="90+"/>
    <n v="0"/>
    <s v="Sunita Rao"/>
    <n v="0"/>
  </r>
  <r>
    <s v="C20056"/>
    <s v="P-1036"/>
    <s v="Green Valley Health"/>
    <s v="Medicare"/>
    <d v="2026-02-10T00:00:00"/>
    <d v="2026-03-01T00:00:00"/>
    <n v="9075"/>
    <n v="5763.11"/>
    <s v="Paid"/>
    <x v="1"/>
    <s v="Rahul S"/>
    <n v="228"/>
    <s v="90+"/>
    <n v="0"/>
    <s v="Manish Arora"/>
    <n v="0"/>
  </r>
  <r>
    <s v="C20057"/>
    <s v="P-1080"/>
    <s v="Apex Ortho Center"/>
    <s v="Humana"/>
    <d v="2026-09-03T00:00:00"/>
    <d v="2026-09-21T00:00:00"/>
    <n v="4050"/>
    <n v="2541.87"/>
    <s v="Paid"/>
    <x v="1"/>
    <s v="Priya K"/>
    <n v="24"/>
    <s v="0-30"/>
    <n v="0"/>
    <s v="Manish Arora"/>
    <n v="0"/>
  </r>
  <r>
    <s v="C20058"/>
    <s v="P-1218"/>
    <s v="Apex Ortho Center"/>
    <s v="Aetna"/>
    <d v="2026-01-25T00:00:00"/>
    <d v="2026-02-01T00:00:00"/>
    <n v="12125"/>
    <n v="8801.51"/>
    <s v="Paid"/>
    <x v="1"/>
    <s v="Kavita D"/>
    <n v="256"/>
    <s v="90+"/>
    <n v="0"/>
    <s v="Deepak Nair"/>
    <n v="0"/>
  </r>
  <r>
    <s v="C20059"/>
    <s v="P-1092"/>
    <s v="Green Valley Health"/>
    <s v="Aetna"/>
    <d v="2026-07-08T00:00:00"/>
    <d v="2026-07-11T00:00:00"/>
    <n v="1325"/>
    <m/>
    <s v="Pending"/>
    <x v="1"/>
    <s v="Pooja M"/>
    <n v="96"/>
    <s v="90+"/>
    <n v="1325"/>
    <s v="Sunita Rao"/>
    <n v="0"/>
  </r>
  <r>
    <s v="C20060"/>
    <s v="P-1043"/>
    <s v="Green Valley Health"/>
    <s v="UnitedHealthcare"/>
    <d v="2026-07-18T00:00:00"/>
    <d v="2026-07-27T00:00:00"/>
    <n v="4525"/>
    <n v="3147.88"/>
    <s v="Paid"/>
    <x v="1"/>
    <s v="Neha G"/>
    <n v="80"/>
    <s v="61-90"/>
    <n v="0"/>
    <s v="Manish Arora"/>
    <n v="0"/>
  </r>
  <r>
    <s v="C20061"/>
    <s v="P-1059"/>
    <s v="Sunrise Hospital"/>
    <s v="Blue Cross"/>
    <d v="2026-09-03T00:00:00"/>
    <d v="2026-09-16T00:00:00"/>
    <n v="6900"/>
    <m/>
    <s v="Pending"/>
    <x v="1"/>
    <s v="Vikas R"/>
    <n v="29"/>
    <s v="0-30"/>
    <n v="6900"/>
    <s v="Sunita Rao"/>
    <n v="0"/>
  </r>
  <r>
    <s v="C20062"/>
    <s v="P-1207"/>
    <s v="Sunrise Hospital"/>
    <s v="Cigna"/>
    <d v="2026-02-25T00:00:00"/>
    <d v="2026-03-10T00:00:00"/>
    <n v="14075"/>
    <n v="12588.02"/>
    <s v="Paid"/>
    <x v="1"/>
    <s v="Priya K"/>
    <n v="219"/>
    <s v="90+"/>
    <n v="0"/>
    <s v="Manish Arora"/>
    <n v="0"/>
  </r>
  <r>
    <s v="C20063"/>
    <s v="P-1462"/>
    <s v="City Care Clinic"/>
    <s v="Medicaid"/>
    <d v="2026-06-12T00:00:00"/>
    <d v="2026-06-24T00:00:00"/>
    <n v="12300"/>
    <n v="0"/>
    <s v="Denied"/>
    <x v="3"/>
    <s v="Sandeep Y"/>
    <n v="113"/>
    <s v="90+"/>
    <n v="0"/>
    <s v="Sunita Rao"/>
    <n v="12300"/>
  </r>
  <r>
    <s v="C20064"/>
    <s v="P-1254"/>
    <s v="Sunrise Hospital"/>
    <s v="Cigna"/>
    <d v="2026-06-13T00:00:00"/>
    <d v="2026-06-22T00:00:00"/>
    <n v="10675"/>
    <n v="7742.76"/>
    <s v="Paid"/>
    <x v="1"/>
    <s v="Vikas R"/>
    <n v="115"/>
    <s v="90+"/>
    <n v="0"/>
    <s v="Sunita Rao"/>
    <n v="0"/>
  </r>
  <r>
    <s v="C20065"/>
    <s v="P-1025"/>
    <s v="Sunrise Hospital"/>
    <s v="Cigna"/>
    <d v="2026-01-06T00:00:00"/>
    <d v="2026-01-12T00:00:00"/>
    <n v="3050"/>
    <n v="2228.64"/>
    <s v="Paid"/>
    <x v="1"/>
    <s v="Rahul S"/>
    <n v="276"/>
    <s v="90+"/>
    <n v="0"/>
    <s v="Manish Arora"/>
    <n v="0"/>
  </r>
  <r>
    <s v="C20066"/>
    <s v="P-1212"/>
    <s v="City Care Clinic"/>
    <s v="UnitedHealthcare"/>
    <d v="2026-02-09T00:00:00"/>
    <d v="2026-02-20T00:00:00"/>
    <n v="6700"/>
    <n v="5314.57"/>
    <s v="Paid"/>
    <x v="1"/>
    <s v="Priya K"/>
    <n v="237"/>
    <s v="90+"/>
    <n v="0"/>
    <s v="Manish Arora"/>
    <n v="0"/>
  </r>
  <r>
    <s v="C20067"/>
    <s v="P-1277"/>
    <s v="City Care Clinic"/>
    <s v="Aetna"/>
    <d v="2026-01-09T00:00:00"/>
    <d v="2026-01-24T00:00:00"/>
    <n v="4375"/>
    <n v="0"/>
    <s v="Denied"/>
    <x v="4"/>
    <s v="Anjali T"/>
    <n v="264"/>
    <s v="90+"/>
    <n v="0"/>
    <s v="Deepak Nair"/>
    <n v="4375"/>
  </r>
  <r>
    <s v="C20068"/>
    <s v="P-1247"/>
    <s v="Apex Ortho Center"/>
    <s v="UnitedHealthcare"/>
    <d v="2026-07-23T00:00:00"/>
    <d v="2026-08-04T00:00:00"/>
    <n v="13775"/>
    <n v="10864.12"/>
    <s v="Paid"/>
    <x v="1"/>
    <s v="Sandeep Y"/>
    <n v="72"/>
    <s v="61-90"/>
    <n v="0"/>
    <s v="Sunita Rao"/>
    <n v="0"/>
  </r>
  <r>
    <s v="C20069"/>
    <s v="P-1209"/>
    <s v="Green Valley Health"/>
    <s v="Medicare"/>
    <d v="2026-05-29T00:00:00"/>
    <d v="2026-06-01T00:00:00"/>
    <n v="650"/>
    <n v="542.65"/>
    <s v="Paid"/>
    <x v="1"/>
    <s v="Pooja M"/>
    <n v="136"/>
    <s v="90+"/>
    <n v="0"/>
    <s v="Sunita Rao"/>
    <n v="0"/>
  </r>
  <r>
    <s v="C20070"/>
    <s v="P-1244"/>
    <s v="Apex Ortho Center"/>
    <s v="Self Pay"/>
    <d v="2026-07-19T00:00:00"/>
    <d v="2026-07-23T00:00:00"/>
    <n v="8450"/>
    <n v="0"/>
    <s v="Denied"/>
    <x v="2"/>
    <s v="Neha G"/>
    <n v="84"/>
    <s v="61-90"/>
    <n v="0"/>
    <s v="Manish Arora"/>
    <n v="8450"/>
  </r>
  <r>
    <s v="C20071"/>
    <s v="P-1370"/>
    <s v="Green Valley Health"/>
    <s v="Medicare"/>
    <d v="2026-01-05T00:00:00"/>
    <d v="2026-01-24T00:00:00"/>
    <n v="2800"/>
    <m/>
    <s v="Pending"/>
    <x v="1"/>
    <s v="Neha G"/>
    <n v="264"/>
    <s v="90+"/>
    <n v="2800"/>
    <s v="Manish Arora"/>
    <n v="0"/>
  </r>
  <r>
    <s v="C20072"/>
    <s v="P-1270"/>
    <s v="Sunrise Hospital"/>
    <s v="Medicare"/>
    <d v="2026-02-24T00:00:00"/>
    <d v="2026-02-28T00:00:00"/>
    <n v="10975"/>
    <n v="6293.34"/>
    <s v="Paid"/>
    <x v="1"/>
    <s v="Anjali T"/>
    <n v="229"/>
    <s v="90+"/>
    <n v="0"/>
    <s v="Deepak Nair"/>
    <n v="0"/>
  </r>
  <r>
    <s v="C20073"/>
    <s v="P-1186"/>
    <s v="Sunrise Hospital"/>
    <s v="Humana"/>
    <d v="2026-02-25T00:00:00"/>
    <d v="2026-03-13T00:00:00"/>
    <n v="11950"/>
    <n v="10239.99"/>
    <s v="Paid"/>
    <x v="1"/>
    <s v="Amit V"/>
    <n v="216"/>
    <s v="90+"/>
    <n v="0"/>
    <s v="Manish Arora"/>
    <n v="0"/>
  </r>
  <r>
    <s v="C20074"/>
    <s v="P-1433"/>
    <s v="Apex Ortho Center"/>
    <s v="Medicaid"/>
    <d v="2026-04-15T00:00:00"/>
    <d v="2026-05-03T00:00:00"/>
    <n v="3200"/>
    <n v="2490.59"/>
    <s v="Paid"/>
    <x v="1"/>
    <s v="Kavita D"/>
    <n v="165"/>
    <s v="90+"/>
    <n v="0"/>
    <s v="Deepak Nair"/>
    <n v="0"/>
  </r>
  <r>
    <s v="C20075"/>
    <s v="P-1468"/>
    <s v="Sunrise Hospital"/>
    <s v="Blue Cross"/>
    <d v="2026-03-28T00:00:00"/>
    <d v="2026-04-08T00:00:00"/>
    <n v="6425"/>
    <n v="6366.37"/>
    <s v="Paid"/>
    <x v="1"/>
    <s v="Rahul S"/>
    <n v="190"/>
    <s v="90+"/>
    <n v="0"/>
    <s v="Manish Arora"/>
    <n v="0"/>
  </r>
  <r>
    <s v="C20076"/>
    <s v="P-1113"/>
    <s v="Apex Ortho Center"/>
    <s v="Medicare"/>
    <d v="2026-01-29T00:00:00"/>
    <d v="2026-02-01T00:00:00"/>
    <n v="7225"/>
    <n v="4097.4399999999996"/>
    <s v="Paid"/>
    <x v="1"/>
    <s v="Priya K"/>
    <n v="256"/>
    <s v="90+"/>
    <n v="0"/>
    <s v="Manish Arora"/>
    <n v="0"/>
  </r>
  <r>
    <s v="C20077"/>
    <s v="P-1107"/>
    <s v="Apex Ortho Center"/>
    <s v="Medicaid"/>
    <d v="2026-03-04T00:00:00"/>
    <d v="2026-03-24T00:00:00"/>
    <n v="6300"/>
    <n v="4821.7"/>
    <s v="Paid"/>
    <x v="1"/>
    <s v="Amit V"/>
    <n v="205"/>
    <s v="90+"/>
    <n v="0"/>
    <s v="Manish Arora"/>
    <n v="0"/>
  </r>
  <r>
    <s v="C20078"/>
    <s v="P-1319"/>
    <s v="Sunrise Hospital"/>
    <s v="Aetna"/>
    <d v="2026-02-02T00:00:00"/>
    <d v="2026-02-08T00:00:00"/>
    <n v="11750"/>
    <m/>
    <s v="Pending"/>
    <x v="1"/>
    <s v="Sandeep Y"/>
    <n v="249"/>
    <s v="90+"/>
    <n v="11750"/>
    <s v="Sunita Rao"/>
    <n v="0"/>
  </r>
  <r>
    <s v="C20079"/>
    <s v="P-1148"/>
    <s v="Sunrise Hospital"/>
    <s v="Aetna"/>
    <d v="2026-07-12T00:00:00"/>
    <d v="2026-07-19T00:00:00"/>
    <n v="9725"/>
    <n v="0"/>
    <s v="Denied"/>
    <x v="2"/>
    <s v="Pooja M"/>
    <n v="88"/>
    <s v="61-90"/>
    <n v="0"/>
    <s v="Sunita Rao"/>
    <n v="9725"/>
  </r>
  <r>
    <s v="C20080"/>
    <s v="P-1248"/>
    <s v="Green Valley Health"/>
    <s v="Medicaid"/>
    <d v="2026-02-02T00:00:00"/>
    <d v="2026-02-19T00:00:00"/>
    <n v="8575"/>
    <n v="6893.42"/>
    <s v="Paid"/>
    <x v="1"/>
    <s v="Rahul S"/>
    <n v="238"/>
    <s v="90+"/>
    <n v="0"/>
    <s v="Manish Arora"/>
    <n v="0"/>
  </r>
  <r>
    <s v="C20081"/>
    <s v="P-1309"/>
    <s v="City Care Clinic"/>
    <s v="Cigna"/>
    <d v="2026-01-27T00:00:00"/>
    <d v="2026-02-08T00:00:00"/>
    <n v="5750"/>
    <m/>
    <s v="Pending"/>
    <x v="1"/>
    <s v="Anjali T"/>
    <n v="249"/>
    <s v="90+"/>
    <n v="5750"/>
    <s v="Deepak Nair"/>
    <n v="0"/>
  </r>
  <r>
    <s v="C20082"/>
    <s v="P-1464"/>
    <s v="City Care Clinic"/>
    <s v="Medicaid"/>
    <d v="2026-06-05T00:00:00"/>
    <d v="2026-06-17T00:00:00"/>
    <n v="3950"/>
    <n v="2753.86"/>
    <s v="Paid"/>
    <x v="1"/>
    <s v="Anjali T"/>
    <n v="120"/>
    <s v="90+"/>
    <n v="0"/>
    <s v="Deepak Nair"/>
    <n v="0"/>
  </r>
  <r>
    <s v="C20083"/>
    <s v="P-1156"/>
    <s v="Green Valley Health"/>
    <s v="Medicaid"/>
    <d v="2026-05-06T00:00:00"/>
    <d v="2026-05-23T00:00:00"/>
    <n v="13850"/>
    <m/>
    <s v="Pending"/>
    <x v="1"/>
    <s v="Vikas R"/>
    <n v="145"/>
    <s v="90+"/>
    <n v="13850"/>
    <s v="Sunita Rao"/>
    <n v="0"/>
  </r>
  <r>
    <s v="C20084"/>
    <s v="P-1187"/>
    <s v="City Care Clinic"/>
    <s v="Aetna"/>
    <d v="2026-09-12T00:00:00"/>
    <d v="2026-09-22T00:00:00"/>
    <n v="2450"/>
    <m/>
    <s v="Pending"/>
    <x v="1"/>
    <s v="Vikas R"/>
    <n v="23"/>
    <s v="0-30"/>
    <n v="2450"/>
    <s v="Sunita Rao"/>
    <n v="0"/>
  </r>
  <r>
    <s v="C20085"/>
    <s v="P-1302"/>
    <s v="Sunrise Hospital"/>
    <s v="Medicare"/>
    <d v="2026-07-09T00:00:00"/>
    <d v="2026-07-18T00:00:00"/>
    <n v="14725"/>
    <n v="9124.4"/>
    <s v="Paid"/>
    <x v="1"/>
    <s v="Anjali T"/>
    <n v="89"/>
    <s v="61-90"/>
    <n v="0"/>
    <s v="Deepak Nair"/>
    <n v="0"/>
  </r>
  <r>
    <s v="C20086"/>
    <s v="P-1494"/>
    <s v="City Care Clinic"/>
    <s v="Cigna"/>
    <d v="2026-05-22T00:00:00"/>
    <d v="2026-05-25T00:00:00"/>
    <n v="5950"/>
    <n v="4791.88"/>
    <s v="Paid"/>
    <x v="1"/>
    <s v="Vikas R"/>
    <n v="143"/>
    <s v="90+"/>
    <n v="0"/>
    <s v="Sunita Rao"/>
    <n v="0"/>
  </r>
  <r>
    <s v="C20087"/>
    <s v="P-1377"/>
    <s v="City Care Clinic"/>
    <s v="Humana"/>
    <d v="2026-01-13T00:00:00"/>
    <d v="2026-02-02T00:00:00"/>
    <n v="8100"/>
    <n v="4752.7"/>
    <s v="Paid"/>
    <x v="1"/>
    <s v="Priya K"/>
    <n v="255"/>
    <s v="90+"/>
    <n v="0"/>
    <s v="Manish Arora"/>
    <n v="0"/>
  </r>
  <r>
    <s v="C20088"/>
    <s v="P-1112"/>
    <s v="Green Valley Health"/>
    <s v="Blue Cross"/>
    <d v="2026-01-07T00:00:00"/>
    <d v="2026-01-14T00:00:00"/>
    <n v="2775"/>
    <n v="1832.76"/>
    <s v="Paid"/>
    <x v="1"/>
    <s v="Rohit B"/>
    <n v="274"/>
    <s v="90+"/>
    <n v="0"/>
    <s v="Deepak Nair"/>
    <n v="0"/>
  </r>
  <r>
    <s v="C20089"/>
    <s v="P-1069"/>
    <s v="Green Valley Health"/>
    <s v="UnitedHealthcare"/>
    <d v="2026-06-06T00:00:00"/>
    <d v="2026-06-23T00:00:00"/>
    <n v="10375"/>
    <n v="7260.79"/>
    <s v="Paid"/>
    <x v="1"/>
    <s v="Priya K"/>
    <n v="114"/>
    <s v="90+"/>
    <n v="0"/>
    <s v="Manish Arora"/>
    <n v="0"/>
  </r>
  <r>
    <s v="C20090"/>
    <s v="P-1412"/>
    <s v="Green Valley Health"/>
    <s v="Blue Cross"/>
    <d v="2026-01-08T00:00:00"/>
    <d v="2026-01-24T00:00:00"/>
    <n v="9225"/>
    <m/>
    <s v="Pending"/>
    <x v="1"/>
    <s v="Anjali T"/>
    <n v="264"/>
    <s v="90+"/>
    <n v="9225"/>
    <s v="Deepak Nair"/>
    <n v="0"/>
  </r>
  <r>
    <s v="C20091"/>
    <s v="P-1005"/>
    <s v="City Care Clinic"/>
    <s v="Aetna"/>
    <d v="2026-10-02T00:00:00"/>
    <d v="2026-10-05T00:00:00"/>
    <n v="13700"/>
    <m/>
    <s v="Pending"/>
    <x v="1"/>
    <s v="Vikas R"/>
    <n v="10"/>
    <s v="0-30"/>
    <n v="13700"/>
    <s v="Sunita Rao"/>
    <n v="0"/>
  </r>
  <r>
    <s v="C20092"/>
    <s v="P-1192"/>
    <s v="Sunrise Hospital"/>
    <s v="Medicaid"/>
    <d v="2026-03-06T00:00:00"/>
    <d v="2026-03-16T00:00:00"/>
    <n v="4450"/>
    <m/>
    <s v="Pending"/>
    <x v="1"/>
    <s v="Vikas R"/>
    <n v="213"/>
    <s v="90+"/>
    <n v="4450"/>
    <s v="Sunita Rao"/>
    <n v="0"/>
  </r>
  <r>
    <s v="C20093"/>
    <s v="P-1374"/>
    <s v="City Care Clinic"/>
    <s v="Medicaid"/>
    <d v="2026-07-18T00:00:00"/>
    <d v="2026-08-06T00:00:00"/>
    <n v="7775"/>
    <n v="0"/>
    <s v="Denied"/>
    <x v="2"/>
    <s v="Amit V"/>
    <n v="70"/>
    <s v="61-90"/>
    <n v="0"/>
    <s v="Manish Arora"/>
    <n v="7775"/>
  </r>
  <r>
    <s v="C20094"/>
    <s v="P-1160"/>
    <s v="City Care Clinic"/>
    <s v="Medicare"/>
    <d v="2026-03-29T00:00:00"/>
    <d v="2026-04-02T00:00:00"/>
    <n v="12025"/>
    <n v="10944.93"/>
    <s v="Paid"/>
    <x v="1"/>
    <s v="Pooja M"/>
    <n v="196"/>
    <s v="90+"/>
    <n v="0"/>
    <s v="Sunita Rao"/>
    <n v="0"/>
  </r>
  <r>
    <s v="C20095"/>
    <s v="P-1143"/>
    <s v="Green Valley Health"/>
    <s v="Medicare"/>
    <d v="2026-04-12T00:00:00"/>
    <d v="2026-04-22T00:00:00"/>
    <n v="12375"/>
    <n v="7836.4"/>
    <s v="Paid"/>
    <x v="1"/>
    <s v="Sandeep Y"/>
    <n v="176"/>
    <s v="90+"/>
    <n v="0"/>
    <s v="Sunita Rao"/>
    <n v="0"/>
  </r>
  <r>
    <s v="C20096"/>
    <s v="P-1468"/>
    <s v="Apex Ortho Center"/>
    <s v="Cigna"/>
    <d v="2026-08-23T00:00:00"/>
    <d v="2026-09-03T00:00:00"/>
    <n v="12700"/>
    <m/>
    <s v="Pending"/>
    <x v="1"/>
    <s v="Priya K"/>
    <n v="42"/>
    <s v="31-60"/>
    <n v="12700"/>
    <s v="Manish Arora"/>
    <n v="0"/>
  </r>
  <r>
    <s v="C20097"/>
    <s v="P-1197"/>
    <s v="Apex Ortho Center"/>
    <s v="Blue Cross"/>
    <d v="2026-08-26T00:00:00"/>
    <d v="2026-09-05T00:00:00"/>
    <n v="10525"/>
    <n v="0"/>
    <s v="Denied"/>
    <x v="4"/>
    <s v="Rahul S"/>
    <n v="40"/>
    <s v="31-60"/>
    <n v="0"/>
    <s v="Manish Arora"/>
    <n v="10525"/>
  </r>
  <r>
    <s v="C20098"/>
    <s v="P-1230"/>
    <s v="Sunrise Hospital"/>
    <s v="Cigna"/>
    <d v="2026-04-29T00:00:00"/>
    <d v="2026-05-02T00:00:00"/>
    <n v="12375"/>
    <m/>
    <s v="Pending"/>
    <x v="1"/>
    <s v="Kavita D"/>
    <n v="166"/>
    <s v="90+"/>
    <n v="12375"/>
    <s v="Deepak Nair"/>
    <n v="0"/>
  </r>
  <r>
    <s v="C20099"/>
    <s v="P-1414"/>
    <s v="Sunrise Hospital"/>
    <s v="UnitedHealthcare"/>
    <d v="2026-03-06T00:00:00"/>
    <d v="2026-03-22T00:00:00"/>
    <n v="4300"/>
    <n v="4122.18"/>
    <s v="Paid"/>
    <x v="1"/>
    <s v="Kavita D"/>
    <n v="207"/>
    <s v="90+"/>
    <n v="0"/>
    <s v="Deepak Nair"/>
    <n v="0"/>
  </r>
  <r>
    <s v="C20100"/>
    <s v="P-1104"/>
    <s v="Sunrise Hospital"/>
    <s v="Blue Cross"/>
    <d v="2026-04-28T00:00:00"/>
    <d v="2026-05-17T00:00:00"/>
    <n v="13975"/>
    <n v="8807.5300000000007"/>
    <s v="Paid"/>
    <x v="1"/>
    <s v="Priya K"/>
    <n v="151"/>
    <s v="90+"/>
    <n v="0"/>
    <s v="Manish Arora"/>
    <n v="0"/>
  </r>
  <r>
    <s v="C20101"/>
    <s v="P-1489"/>
    <s v="Apex Ortho Center"/>
    <s v="Medicare"/>
    <d v="2026-06-19T00:00:00"/>
    <d v="2026-06-30T00:00:00"/>
    <n v="13800"/>
    <n v="10500.4"/>
    <s v="Paid"/>
    <x v="1"/>
    <s v="Neha G"/>
    <n v="107"/>
    <s v="90+"/>
    <n v="0"/>
    <s v="Manish Arora"/>
    <n v="0"/>
  </r>
  <r>
    <s v="C20102"/>
    <s v="P-1225"/>
    <s v="Sunrise Hospital"/>
    <s v="Medicare"/>
    <d v="2026-07-24T00:00:00"/>
    <d v="2026-08-02T00:00:00"/>
    <n v="2625"/>
    <m/>
    <s v="Pending"/>
    <x v="1"/>
    <s v="Vikas R"/>
    <n v="74"/>
    <s v="61-90"/>
    <n v="2625"/>
    <s v="Sunita Rao"/>
    <n v="0"/>
  </r>
  <r>
    <s v="C20103"/>
    <s v="P-1493"/>
    <s v="Apex Ortho Center"/>
    <s v="Unknown"/>
    <d v="2026-09-09T00:00:00"/>
    <d v="2026-09-27T00:00:00"/>
    <n v="4325"/>
    <m/>
    <s v="Pending"/>
    <x v="1"/>
    <s v="Vikas R"/>
    <n v="18"/>
    <s v="0-30"/>
    <n v="4325"/>
    <s v="Sunita Rao"/>
    <n v="0"/>
  </r>
  <r>
    <s v="C20104"/>
    <s v="P-1341"/>
    <s v="City Care Clinic"/>
    <s v="Medicaid"/>
    <d v="2026-01-19T00:00:00"/>
    <d v="2026-02-08T00:00:00"/>
    <n v="8125"/>
    <m/>
    <s v="Pending"/>
    <x v="1"/>
    <s v="Amit V"/>
    <n v="249"/>
    <s v="90+"/>
    <n v="8125"/>
    <s v="Manish Arora"/>
    <n v="0"/>
  </r>
  <r>
    <s v="C20105"/>
    <s v="P-1227"/>
    <s v="City Care Clinic"/>
    <s v="Blue Cross"/>
    <d v="2026-02-09T00:00:00"/>
    <d v="2026-02-24T00:00:00"/>
    <n v="12100"/>
    <n v="7318.71"/>
    <s v="Paid"/>
    <x v="1"/>
    <s v="Anjali T"/>
    <n v="233"/>
    <s v="90+"/>
    <n v="0"/>
    <s v="Deepak Nair"/>
    <n v="0"/>
  </r>
  <r>
    <s v="C20106"/>
    <s v="P-1432"/>
    <s v="Sunrise Hospital"/>
    <s v="Humana"/>
    <d v="2026-04-20T00:00:00"/>
    <d v="2026-05-02T00:00:00"/>
    <n v="14725"/>
    <n v="13771.26"/>
    <s v="Paid"/>
    <x v="1"/>
    <s v="Amit V"/>
    <n v="166"/>
    <s v="90+"/>
    <n v="0"/>
    <s v="Manish Arora"/>
    <n v="0"/>
  </r>
  <r>
    <s v="C20107"/>
    <s v="P-1284"/>
    <s v="City Care Clinic"/>
    <s v="Medicaid"/>
    <d v="2026-05-14T00:00:00"/>
    <d v="2026-05-29T00:00:00"/>
    <n v="14100"/>
    <n v="0"/>
    <s v="Denied"/>
    <x v="5"/>
    <s v="Neha G"/>
    <n v="139"/>
    <s v="90+"/>
    <n v="0"/>
    <s v="Manish Arora"/>
    <n v="14100"/>
  </r>
  <r>
    <s v="C20108"/>
    <s v="P-1327"/>
    <s v="Apex Ortho Center"/>
    <s v="Aetna"/>
    <d v="2026-07-06T00:00:00"/>
    <d v="2026-07-12T00:00:00"/>
    <n v="8725"/>
    <n v="6643.38"/>
    <s v="Paid"/>
    <x v="1"/>
    <s v="Vikas R"/>
    <n v="95"/>
    <s v="90+"/>
    <n v="0"/>
    <s v="Sunita Rao"/>
    <n v="0"/>
  </r>
  <r>
    <s v="C20109"/>
    <s v="P-1091"/>
    <s v="Sunrise Hospital"/>
    <s v="Medicare"/>
    <d v="2026-02-11T00:00:00"/>
    <d v="2026-02-17T00:00:00"/>
    <n v="3900"/>
    <n v="3251.34"/>
    <s v="Paid"/>
    <x v="1"/>
    <s v="Rahul S"/>
    <n v="240"/>
    <s v="90+"/>
    <n v="0"/>
    <s v="Manish Arora"/>
    <n v="0"/>
  </r>
  <r>
    <s v="C20110"/>
    <s v="P-1208"/>
    <s v="City Care Clinic"/>
    <s v="Medicaid"/>
    <d v="2026-08-21T00:00:00"/>
    <d v="2026-08-26T00:00:00"/>
    <n v="2850"/>
    <n v="1726.67"/>
    <s v="Paid"/>
    <x v="1"/>
    <s v="Vikas R"/>
    <n v="50"/>
    <s v="31-60"/>
    <n v="0"/>
    <s v="Sunita Rao"/>
    <n v="0"/>
  </r>
  <r>
    <s v="C20111"/>
    <s v="P-1420"/>
    <s v="Green Valley Health"/>
    <s v="UnitedHealthcare"/>
    <d v="2026-09-12T00:00:00"/>
    <d v="2026-09-19T00:00:00"/>
    <n v="5550"/>
    <m/>
    <s v="Pending"/>
    <x v="1"/>
    <s v="Vikas R"/>
    <n v="26"/>
    <s v="0-30"/>
    <n v="5550"/>
    <s v="Sunita Rao"/>
    <n v="0"/>
  </r>
  <r>
    <s v="C20112"/>
    <s v="P-1404"/>
    <s v="Sunrise Hospital"/>
    <s v="Cigna"/>
    <d v="2025-12-24T00:00:00"/>
    <d v="2026-01-08T00:00:00"/>
    <n v="8425"/>
    <m/>
    <s v="Pending"/>
    <x v="1"/>
    <s v="Kavita D"/>
    <n v="280"/>
    <s v="90+"/>
    <n v="8425"/>
    <s v="Deepak Nair"/>
    <n v="0"/>
  </r>
  <r>
    <s v="C20113"/>
    <s v="P-1175"/>
    <s v="Apex Ortho Center"/>
    <s v="Cigna"/>
    <d v="2026-09-26T00:00:00"/>
    <d v="2026-09-29T00:00:00"/>
    <n v="6950"/>
    <m/>
    <s v="Pending"/>
    <x v="1"/>
    <s v="Priya K"/>
    <n v="16"/>
    <s v="0-30"/>
    <n v="6950"/>
    <s v="Manish Arora"/>
    <n v="0"/>
  </r>
  <r>
    <s v="C20114"/>
    <s v="P-1365"/>
    <s v="Sunrise Hospital"/>
    <s v="Medicaid"/>
    <d v="2026-07-04T00:00:00"/>
    <d v="2026-07-13T00:00:00"/>
    <n v="13325"/>
    <n v="7944.34"/>
    <s v="Paid"/>
    <x v="1"/>
    <s v="Rohit B"/>
    <n v="94"/>
    <s v="90+"/>
    <n v="0"/>
    <s v="Deepak Nair"/>
    <n v="0"/>
  </r>
  <r>
    <s v="C20115"/>
    <s v="P-1365"/>
    <s v="Sunrise Hospital"/>
    <s v="Self Pay"/>
    <d v="2026-05-13T00:00:00"/>
    <d v="2026-06-02T00:00:00"/>
    <n v="6275"/>
    <n v="3851.53"/>
    <s v="Paid"/>
    <x v="1"/>
    <s v="Rohit B"/>
    <n v="135"/>
    <s v="90+"/>
    <n v="0"/>
    <s v="Deepak Nair"/>
    <n v="0"/>
  </r>
  <r>
    <s v="C20116"/>
    <s v="P-1213"/>
    <s v="Apex Ortho Center"/>
    <s v="Medicaid"/>
    <d v="2026-04-08T00:00:00"/>
    <d v="2026-04-11T00:00:00"/>
    <n v="5350"/>
    <n v="4093.01"/>
    <s v="Paid"/>
    <x v="1"/>
    <s v="Pooja M"/>
    <n v="187"/>
    <s v="90+"/>
    <n v="0"/>
    <s v="Sunita Rao"/>
    <n v="0"/>
  </r>
  <r>
    <s v="C20117"/>
    <s v="P-1291"/>
    <s v="City Care Clinic"/>
    <s v="UnitedHealthcare"/>
    <d v="2026-04-30T00:00:00"/>
    <d v="2026-05-17T00:00:00"/>
    <n v="3475"/>
    <n v="2284.41"/>
    <s v="Paid"/>
    <x v="1"/>
    <s v="Sandeep Y"/>
    <n v="151"/>
    <s v="90+"/>
    <n v="0"/>
    <s v="Sunita Rao"/>
    <n v="0"/>
  </r>
  <r>
    <s v="C20118"/>
    <s v="P-1459"/>
    <s v="Apex Ortho Center"/>
    <s v="Medicaid"/>
    <d v="2026-03-15T00:00:00"/>
    <d v="2026-03-28T00:00:00"/>
    <n v="4025"/>
    <n v="2736.44"/>
    <s v="Paid"/>
    <x v="1"/>
    <s v="Kavita D"/>
    <n v="201"/>
    <s v="90+"/>
    <n v="0"/>
    <s v="Deepak Nair"/>
    <n v="0"/>
  </r>
  <r>
    <s v="C20119"/>
    <s v="P-1206"/>
    <s v="Sunrise Hospital"/>
    <s v="Blue Cross"/>
    <d v="2026-06-27T00:00:00"/>
    <d v="2026-07-05T00:00:00"/>
    <n v="5050"/>
    <n v="3810.01"/>
    <s v="Paid"/>
    <x v="1"/>
    <s v="Amit V"/>
    <n v="102"/>
    <s v="90+"/>
    <n v="0"/>
    <s v="Manish Arora"/>
    <n v="0"/>
  </r>
  <r>
    <s v="C20120"/>
    <s v="P-1270"/>
    <s v="Green Valley Health"/>
    <s v="Medicare"/>
    <d v="2026-05-23T00:00:00"/>
    <d v="2026-06-07T00:00:00"/>
    <n v="700"/>
    <n v="395.41"/>
    <s v="Paid"/>
    <x v="1"/>
    <s v="Vikas R"/>
    <n v="130"/>
    <s v="90+"/>
    <n v="0"/>
    <s v="Sunita Rao"/>
    <n v="0"/>
  </r>
  <r>
    <s v="C20121"/>
    <s v="P-1027"/>
    <s v="City Care Clinic"/>
    <s v="Cigna"/>
    <d v="2026-03-17T00:00:00"/>
    <d v="2026-03-30T00:00:00"/>
    <n v="13600"/>
    <n v="13182.05"/>
    <s v="Paid"/>
    <x v="1"/>
    <s v="Amit V"/>
    <n v="199"/>
    <s v="90+"/>
    <n v="0"/>
    <s v="Manish Arora"/>
    <n v="0"/>
  </r>
  <r>
    <s v="C20122"/>
    <s v="P-1352"/>
    <s v="Green Valley Health"/>
    <s v="Blue Cross"/>
    <d v="2026-07-08T00:00:00"/>
    <d v="2026-07-26T00:00:00"/>
    <n v="2900"/>
    <n v="2409.06"/>
    <s v="Paid"/>
    <x v="1"/>
    <s v="Anjali T"/>
    <n v="81"/>
    <s v="61-90"/>
    <n v="0"/>
    <s v="Deepak Nair"/>
    <n v="0"/>
  </r>
  <r>
    <s v="C20123"/>
    <s v="P-1169"/>
    <s v="Green Valley Health"/>
    <s v="Aetna"/>
    <d v="2026-08-10T00:00:00"/>
    <d v="2026-08-26T00:00:00"/>
    <n v="11400"/>
    <n v="11086.74"/>
    <s v="Paid"/>
    <x v="1"/>
    <s v="Rahul S"/>
    <n v="50"/>
    <s v="31-60"/>
    <n v="0"/>
    <s v="Manish Arora"/>
    <n v="0"/>
  </r>
  <r>
    <s v="C20124"/>
    <s v="P-1305"/>
    <s v="Apex Ortho Center"/>
    <s v="Blue Cross"/>
    <d v="2026-06-10T00:00:00"/>
    <d v="2026-06-14T00:00:00"/>
    <n v="7875"/>
    <n v="0"/>
    <s v="Denied"/>
    <x v="5"/>
    <s v="Sandeep Y"/>
    <n v="123"/>
    <s v="90+"/>
    <n v="0"/>
    <s v="Sunita Rao"/>
    <n v="7875"/>
  </r>
  <r>
    <s v="C20125"/>
    <s v="P-1124"/>
    <s v="Green Valley Health"/>
    <s v="Self Pay"/>
    <d v="2026-01-26T00:00:00"/>
    <d v="2026-02-05T00:00:00"/>
    <n v="3475"/>
    <m/>
    <s v="Pending"/>
    <x v="1"/>
    <s v="Anjali T"/>
    <n v="252"/>
    <s v="90+"/>
    <n v="3475"/>
    <s v="Deepak Nair"/>
    <n v="0"/>
  </r>
  <r>
    <s v="C20126"/>
    <s v="P-1450"/>
    <s v="City Care Clinic"/>
    <s v="Self Pay"/>
    <d v="2026-02-04T00:00:00"/>
    <d v="2026-02-23T00:00:00"/>
    <n v="6400"/>
    <n v="6227.9"/>
    <s v="Paid"/>
    <x v="1"/>
    <s v="Pooja M"/>
    <n v="234"/>
    <s v="90+"/>
    <n v="0"/>
    <s v="Sunita Rao"/>
    <n v="0"/>
  </r>
  <r>
    <s v="C20127"/>
    <s v="P-1215"/>
    <s v="City Care Clinic"/>
    <s v="Humana"/>
    <d v="2026-07-27T00:00:00"/>
    <d v="2026-08-04T00:00:00"/>
    <n v="5975"/>
    <m/>
    <s v="Pending"/>
    <x v="1"/>
    <s v="Priya K"/>
    <n v="72"/>
    <s v="61-90"/>
    <n v="5975"/>
    <s v="Manish Arora"/>
    <n v="0"/>
  </r>
  <r>
    <s v="C20128"/>
    <s v="P-1294"/>
    <s v="Green Valley Health"/>
    <s v="Medicare"/>
    <d v="2026-09-17T00:00:00"/>
    <d v="2026-09-24T00:00:00"/>
    <n v="3450"/>
    <m/>
    <s v="Pending"/>
    <x v="1"/>
    <s v="Neha G"/>
    <n v="21"/>
    <s v="0-30"/>
    <n v="3450"/>
    <s v="Manish Arora"/>
    <n v="0"/>
  </r>
  <r>
    <s v="C20129"/>
    <s v="P-1271"/>
    <s v="Green Valley Health"/>
    <s v="Medicare"/>
    <d v="2026-05-31T00:00:00"/>
    <d v="2026-06-03T00:00:00"/>
    <n v="8600"/>
    <n v="6471.65"/>
    <s v="Paid"/>
    <x v="1"/>
    <s v="Kavita D"/>
    <n v="134"/>
    <s v="90+"/>
    <n v="0"/>
    <s v="Deepak Nair"/>
    <n v="0"/>
  </r>
  <r>
    <s v="C20130"/>
    <s v="P-1255"/>
    <s v="Sunrise Hospital"/>
    <s v="Humana"/>
    <d v="2026-04-25T00:00:00"/>
    <d v="2026-04-29T00:00:00"/>
    <n v="8125"/>
    <n v="0"/>
    <s v="Denied"/>
    <x v="6"/>
    <s v="Anjali T"/>
    <n v="169"/>
    <s v="90+"/>
    <n v="0"/>
    <s v="Deepak Nair"/>
    <n v="8125"/>
  </r>
  <r>
    <s v="C20131"/>
    <s v="P-1354"/>
    <s v="City Care Clinic"/>
    <s v="Medicare"/>
    <d v="2026-04-07T00:00:00"/>
    <d v="2026-04-16T00:00:00"/>
    <n v="7850"/>
    <m/>
    <s v="Pending"/>
    <x v="1"/>
    <s v="Pooja M"/>
    <n v="182"/>
    <s v="90+"/>
    <n v="7850"/>
    <s v="Sunita Rao"/>
    <n v="0"/>
  </r>
  <r>
    <s v="C20132"/>
    <s v="P-1357"/>
    <s v="Sunrise Hospital"/>
    <s v="UnitedHealthcare"/>
    <d v="2026-08-27T00:00:00"/>
    <d v="2026-08-30T00:00:00"/>
    <n v="4700"/>
    <m/>
    <s v="Pending"/>
    <x v="1"/>
    <s v="Neha G"/>
    <n v="46"/>
    <s v="31-60"/>
    <n v="4700"/>
    <s v="Manish Arora"/>
    <n v="0"/>
  </r>
  <r>
    <s v="C20133"/>
    <s v="P-1140"/>
    <s v="Green Valley Health"/>
    <s v="Cigna"/>
    <d v="2026-04-05T00:00:00"/>
    <d v="2026-04-09T00:00:00"/>
    <n v="3000"/>
    <n v="2947.83"/>
    <s v="Paid"/>
    <x v="1"/>
    <s v="Amit V"/>
    <n v="189"/>
    <s v="90+"/>
    <n v="0"/>
    <s v="Manish Arora"/>
    <n v="0"/>
  </r>
  <r>
    <s v="C20134"/>
    <s v="P-1363"/>
    <s v="Sunrise Hospital"/>
    <s v="Medicaid"/>
    <d v="2026-06-04T00:00:00"/>
    <d v="2026-06-21T00:00:00"/>
    <n v="10925"/>
    <n v="7518.84"/>
    <s v="Paid"/>
    <x v="1"/>
    <s v="Neha G"/>
    <n v="116"/>
    <s v="90+"/>
    <n v="0"/>
    <s v="Manish Arora"/>
    <n v="0"/>
  </r>
  <r>
    <s v="C20135"/>
    <s v="P-1338"/>
    <s v="City Care Clinic"/>
    <s v="UnitedHealthcare"/>
    <d v="2026-09-02T00:00:00"/>
    <d v="2026-09-14T00:00:00"/>
    <n v="7275"/>
    <m/>
    <s v="Pending"/>
    <x v="1"/>
    <s v="Neha G"/>
    <n v="31"/>
    <s v="31-60"/>
    <n v="7275"/>
    <s v="Manish Arora"/>
    <n v="0"/>
  </r>
  <r>
    <s v="C20136"/>
    <s v="P-1039"/>
    <s v="Green Valley Health"/>
    <s v="Humana"/>
    <d v="2026-05-27T00:00:00"/>
    <d v="2026-06-04T00:00:00"/>
    <n v="6075"/>
    <n v="3587.24"/>
    <s v="Paid"/>
    <x v="1"/>
    <s v="Priya K"/>
    <n v="133"/>
    <s v="90+"/>
    <n v="0"/>
    <s v="Manish Arora"/>
    <n v="0"/>
  </r>
  <r>
    <s v="C20137"/>
    <s v="P-1145"/>
    <s v="Apex Ortho Center"/>
    <s v="Aetna"/>
    <d v="2026-09-25T00:00:00"/>
    <d v="2026-09-29T00:00:00"/>
    <n v="475"/>
    <m/>
    <s v="Pending"/>
    <x v="1"/>
    <s v="Kavita D"/>
    <n v="16"/>
    <s v="0-30"/>
    <n v="475"/>
    <s v="Deepak Nair"/>
    <n v="0"/>
  </r>
  <r>
    <s v="C20138"/>
    <s v="P-1097"/>
    <s v="Sunrise Hospital"/>
    <s v="Medicare"/>
    <d v="2026-02-06T00:00:00"/>
    <d v="2026-02-14T00:00:00"/>
    <n v="7575"/>
    <m/>
    <s v="Pending"/>
    <x v="1"/>
    <s v="Rohit B"/>
    <n v="243"/>
    <s v="90+"/>
    <n v="7575"/>
    <s v="Deepak Nair"/>
    <n v="0"/>
  </r>
  <r>
    <s v="C20139"/>
    <s v="P-1017"/>
    <s v="Green Valley Health"/>
    <s v="Humana"/>
    <d v="2026-01-07T00:00:00"/>
    <d v="2026-01-15T00:00:00"/>
    <n v="4150"/>
    <m/>
    <s v="Pending"/>
    <x v="1"/>
    <s v="Kavita D"/>
    <n v="273"/>
    <s v="90+"/>
    <n v="4150"/>
    <s v="Deepak Nair"/>
    <n v="0"/>
  </r>
  <r>
    <s v="C20140"/>
    <s v="P-1465"/>
    <s v="Apex Ortho Center"/>
    <s v="Medicaid"/>
    <d v="2026-07-13T00:00:00"/>
    <d v="2026-07-16T00:00:00"/>
    <n v="13075"/>
    <n v="11761.56"/>
    <s v="Paid"/>
    <x v="1"/>
    <s v="Anjali T"/>
    <n v="91"/>
    <s v="90+"/>
    <n v="0"/>
    <s v="Deepak Nair"/>
    <n v="0"/>
  </r>
  <r>
    <s v="C20141"/>
    <s v="P-1266"/>
    <s v="Sunrise Hospital"/>
    <s v="UnitedHealthcare"/>
    <d v="2025-12-29T00:00:00"/>
    <d v="2026-01-17T00:00:00"/>
    <n v="7750"/>
    <n v="0"/>
    <s v="Denied"/>
    <x v="5"/>
    <s v="Amit V"/>
    <n v="271"/>
    <s v="90+"/>
    <n v="0"/>
    <s v="Manish Arora"/>
    <n v="7750"/>
  </r>
  <r>
    <s v="C20142"/>
    <s v="P-1366"/>
    <s v="Sunrise Hospital"/>
    <s v="Medicaid"/>
    <d v="2026-02-11T00:00:00"/>
    <d v="2026-02-27T00:00:00"/>
    <n v="6300"/>
    <n v="4191.2299999999996"/>
    <s v="Paid"/>
    <x v="1"/>
    <s v="Rohit B"/>
    <n v="230"/>
    <s v="90+"/>
    <n v="0"/>
    <s v="Deepak Nair"/>
    <n v="0"/>
  </r>
  <r>
    <s v="C20143"/>
    <s v="P-1293"/>
    <s v="Green Valley Health"/>
    <s v="Blue Cross"/>
    <d v="2026-04-06T00:00:00"/>
    <d v="2026-04-24T00:00:00"/>
    <n v="6975"/>
    <n v="6079.58"/>
    <s v="Paid"/>
    <x v="1"/>
    <s v="Amit V"/>
    <n v="174"/>
    <s v="90+"/>
    <n v="0"/>
    <s v="Manish Arora"/>
    <n v="0"/>
  </r>
  <r>
    <s v="C20144"/>
    <s v="P-1370"/>
    <s v="Apex Ortho Center"/>
    <s v="Blue Cross"/>
    <d v="2026-06-09T00:00:00"/>
    <d v="2026-06-16T00:00:00"/>
    <n v="750"/>
    <n v="582.5"/>
    <s v="Paid"/>
    <x v="1"/>
    <s v="Rahul S"/>
    <n v="121"/>
    <s v="90+"/>
    <n v="0"/>
    <s v="Manish Arora"/>
    <n v="0"/>
  </r>
  <r>
    <s v="C20145"/>
    <s v="P-1121"/>
    <s v="Sunrise Hospital"/>
    <s v="Medicare"/>
    <d v="2026-02-01T00:00:00"/>
    <d v="2026-02-07T00:00:00"/>
    <n v="4850"/>
    <n v="4395.18"/>
    <s v="Paid"/>
    <x v="1"/>
    <s v="Vikas R"/>
    <n v="250"/>
    <s v="90+"/>
    <n v="0"/>
    <s v="Sunita Rao"/>
    <n v="0"/>
  </r>
  <r>
    <s v="C20146"/>
    <s v="P-1332"/>
    <s v="Sunrise Hospital"/>
    <s v="Aetna"/>
    <d v="2026-01-09T00:00:00"/>
    <d v="2026-01-22T00:00:00"/>
    <n v="13750"/>
    <n v="10646.01"/>
    <s v="Paid"/>
    <x v="1"/>
    <s v="Neha G"/>
    <n v="266"/>
    <s v="90+"/>
    <n v="0"/>
    <s v="Manish Arora"/>
    <n v="0"/>
  </r>
  <r>
    <s v="C20147"/>
    <s v="P-1110"/>
    <s v="City Care Clinic"/>
    <s v="Medicare"/>
    <d v="2026-03-05T00:00:00"/>
    <d v="2026-03-23T00:00:00"/>
    <n v="11925"/>
    <n v="8514.32"/>
    <s v="Paid"/>
    <x v="1"/>
    <s v="Kavita D"/>
    <n v="206"/>
    <s v="90+"/>
    <n v="0"/>
    <s v="Deepak Nair"/>
    <n v="0"/>
  </r>
  <r>
    <s v="C20148"/>
    <s v="P-1209"/>
    <s v="Sunrise Hospital"/>
    <s v="Medicare"/>
    <d v="2026-03-03T00:00:00"/>
    <d v="2026-03-10T00:00:00"/>
    <n v="11950"/>
    <n v="0"/>
    <s v="Denied"/>
    <x v="7"/>
    <s v="Rohit B"/>
    <n v="219"/>
    <s v="90+"/>
    <n v="0"/>
    <s v="Deepak Nair"/>
    <n v="11950"/>
  </r>
  <r>
    <s v="C20149"/>
    <s v="P-1497"/>
    <s v="City Care Clinic"/>
    <s v="Cigna"/>
    <d v="2026-05-15T00:00:00"/>
    <d v="2026-06-02T00:00:00"/>
    <n v="11150"/>
    <m/>
    <s v="Pending"/>
    <x v="1"/>
    <s v="Kavita D"/>
    <n v="135"/>
    <s v="90+"/>
    <n v="11150"/>
    <s v="Deepak Nair"/>
    <n v="0"/>
  </r>
  <r>
    <s v="C20150"/>
    <s v="P-1044"/>
    <s v="Sunrise Hospital"/>
    <s v="Aetna"/>
    <d v="2026-04-16T00:00:00"/>
    <d v="2026-04-28T00:00:00"/>
    <n v="6775"/>
    <n v="0"/>
    <s v="Denied"/>
    <x v="6"/>
    <s v="Pooja M"/>
    <n v="170"/>
    <s v="90+"/>
    <n v="0"/>
    <s v="Sunita Rao"/>
    <n v="6775"/>
  </r>
  <r>
    <s v="C20151"/>
    <s v="P-1175"/>
    <s v="Sunrise Hospital"/>
    <s v="Aetna"/>
    <d v="2026-04-18T00:00:00"/>
    <d v="2026-04-22T00:00:00"/>
    <n v="4400"/>
    <n v="2535.87"/>
    <s v="Paid"/>
    <x v="1"/>
    <s v="Vikas R"/>
    <n v="176"/>
    <s v="90+"/>
    <n v="0"/>
    <s v="Sunita Rao"/>
    <n v="0"/>
  </r>
  <r>
    <s v="C20152"/>
    <s v="P-1094"/>
    <s v="Sunrise Hospital"/>
    <s v="UnitedHealthcare"/>
    <d v="2026-04-05T00:00:00"/>
    <d v="2026-04-20T00:00:00"/>
    <n v="9975"/>
    <n v="7045.7"/>
    <s v="Paid"/>
    <x v="1"/>
    <s v="Vikas R"/>
    <n v="178"/>
    <s v="90+"/>
    <n v="0"/>
    <s v="Sunita Rao"/>
    <n v="0"/>
  </r>
  <r>
    <s v="C20153"/>
    <s v="P-1092"/>
    <s v="Green Valley Health"/>
    <s v="Medicare"/>
    <d v="2026-04-03T00:00:00"/>
    <d v="2026-04-20T00:00:00"/>
    <n v="8175"/>
    <n v="6801.55"/>
    <s v="Paid"/>
    <x v="1"/>
    <s v="Vikas R"/>
    <n v="178"/>
    <s v="90+"/>
    <n v="0"/>
    <s v="Sunita Rao"/>
    <n v="0"/>
  </r>
  <r>
    <s v="C20154"/>
    <s v="P-1185"/>
    <s v="Apex Ortho Center"/>
    <s v="UnitedHealthcare"/>
    <d v="2026-07-29T00:00:00"/>
    <d v="2026-08-03T00:00:00"/>
    <n v="1500"/>
    <m/>
    <s v="Pending"/>
    <x v="1"/>
    <s v="Rohit B"/>
    <n v="73"/>
    <s v="61-90"/>
    <n v="1500"/>
    <s v="Deepak Nair"/>
    <n v="0"/>
  </r>
  <r>
    <s v="C20155"/>
    <s v="P-1137"/>
    <s v="City Care Clinic"/>
    <s v="Aetna"/>
    <d v="2026-03-24T00:00:00"/>
    <d v="2026-04-04T00:00:00"/>
    <n v="13400"/>
    <n v="0"/>
    <s v="Denied"/>
    <x v="5"/>
    <s v="Amit V"/>
    <n v="194"/>
    <s v="90+"/>
    <n v="0"/>
    <s v="Manish Arora"/>
    <n v="13400"/>
  </r>
  <r>
    <s v="C20156"/>
    <s v="P-1164"/>
    <s v="Green Valley Health"/>
    <s v="Aetna"/>
    <d v="2026-06-27T00:00:00"/>
    <d v="2026-07-04T00:00:00"/>
    <n v="6450"/>
    <n v="0"/>
    <s v="Denied"/>
    <x v="7"/>
    <s v="Vikas R"/>
    <n v="103"/>
    <s v="90+"/>
    <n v="0"/>
    <s v="Sunita Rao"/>
    <n v="6450"/>
  </r>
  <r>
    <s v="C20157"/>
    <s v="P-1250"/>
    <s v="City Care Clinic"/>
    <s v="Medicare"/>
    <d v="2026-06-05T00:00:00"/>
    <d v="2026-06-16T00:00:00"/>
    <n v="13575"/>
    <n v="11179.86"/>
    <s v="Paid"/>
    <x v="1"/>
    <s v="Rohit B"/>
    <n v="121"/>
    <s v="90+"/>
    <n v="0"/>
    <s v="Deepak Nair"/>
    <n v="0"/>
  </r>
  <r>
    <s v="C20158"/>
    <s v="P-1069"/>
    <s v="Apex Ortho Center"/>
    <s v="Medicaid"/>
    <d v="2026-03-03T00:00:00"/>
    <d v="2026-03-07T00:00:00"/>
    <n v="5625"/>
    <n v="4470.72"/>
    <s v="Paid"/>
    <x v="1"/>
    <s v="Anjali T"/>
    <n v="222"/>
    <s v="90+"/>
    <n v="0"/>
    <s v="Deepak Nair"/>
    <n v="0"/>
  </r>
  <r>
    <s v="C20159"/>
    <s v="P-1273"/>
    <s v="Green Valley Health"/>
    <s v="Unknown"/>
    <d v="2026-07-06T00:00:00"/>
    <d v="2026-07-13T00:00:00"/>
    <n v="5525"/>
    <m/>
    <s v="Pending"/>
    <x v="1"/>
    <s v="Vikas R"/>
    <n v="94"/>
    <s v="90+"/>
    <n v="5525"/>
    <s v="Sunita Rao"/>
    <n v="0"/>
  </r>
  <r>
    <s v="C20160"/>
    <s v="P-1071"/>
    <s v="City Care Clinic"/>
    <s v="Blue Cross"/>
    <d v="2026-09-08T00:00:00"/>
    <d v="2026-09-22T00:00:00"/>
    <n v="6075"/>
    <n v="5012.41"/>
    <s v="Paid"/>
    <x v="1"/>
    <s v="Anjali T"/>
    <n v="23"/>
    <s v="0-30"/>
    <n v="0"/>
    <s v="Deepak Nair"/>
    <n v="0"/>
  </r>
  <r>
    <s v="C20161"/>
    <s v="P-1110"/>
    <s v="Apex Ortho Center"/>
    <s v="Cigna"/>
    <d v="2025-12-25T00:00:00"/>
    <d v="2026-01-06T00:00:00"/>
    <n v="2000"/>
    <m/>
    <s v="Pending"/>
    <x v="1"/>
    <s v="Pooja M"/>
    <n v="282"/>
    <s v="90+"/>
    <n v="2000"/>
    <s v="Sunita Rao"/>
    <n v="0"/>
  </r>
  <r>
    <s v="C20162"/>
    <s v="P-1250"/>
    <s v="Green Valley Health"/>
    <s v="Humana"/>
    <d v="2026-04-20T00:00:00"/>
    <d v="2026-05-01T00:00:00"/>
    <n v="2600"/>
    <n v="2006.71"/>
    <s v="Paid"/>
    <x v="1"/>
    <s v="Sandeep Y"/>
    <n v="167"/>
    <s v="90+"/>
    <n v="0"/>
    <s v="Sunita Rao"/>
    <n v="0"/>
  </r>
  <r>
    <s v="C20163"/>
    <s v="P-1085"/>
    <s v="Apex Ortho Center"/>
    <s v="Unknown"/>
    <d v="2026-09-01T00:00:00"/>
    <d v="2026-09-12T00:00:00"/>
    <n v="5950"/>
    <n v="4544.91"/>
    <s v="Paid"/>
    <x v="1"/>
    <s v="Neha G"/>
    <n v="33"/>
    <s v="31-60"/>
    <n v="0"/>
    <s v="Manish Arora"/>
    <n v="0"/>
  </r>
  <r>
    <s v="C20164"/>
    <s v="P-1411"/>
    <s v="Sunrise Hospital"/>
    <s v="Aetna"/>
    <d v="2026-09-19T00:00:00"/>
    <d v="2026-09-24T00:00:00"/>
    <n v="9050"/>
    <m/>
    <s v="Pending"/>
    <x v="1"/>
    <s v="Sandeep Y"/>
    <n v="21"/>
    <s v="0-30"/>
    <n v="9050"/>
    <s v="Sunita Rao"/>
    <n v="0"/>
  </r>
  <r>
    <s v="C20165"/>
    <s v="P-1139"/>
    <s v="City Care Clinic"/>
    <s v="Aetna"/>
    <d v="2026-06-04T00:00:00"/>
    <d v="2026-06-07T00:00:00"/>
    <n v="10300"/>
    <n v="0"/>
    <s v="Denied"/>
    <x v="4"/>
    <s v="Kavita D"/>
    <n v="130"/>
    <s v="90+"/>
    <n v="0"/>
    <s v="Deepak Nair"/>
    <n v="10300"/>
  </r>
  <r>
    <s v="C20166"/>
    <s v="P-1037"/>
    <s v="City Care Clinic"/>
    <s v="Medicare"/>
    <d v="2026-05-16T00:00:00"/>
    <d v="2026-06-03T00:00:00"/>
    <n v="8625"/>
    <m/>
    <s v="Pending"/>
    <x v="1"/>
    <s v="Pooja M"/>
    <n v="134"/>
    <s v="90+"/>
    <n v="8625"/>
    <s v="Sunita Rao"/>
    <n v="0"/>
  </r>
  <r>
    <s v="C20167"/>
    <s v="P-1454"/>
    <s v="Sunrise Hospital"/>
    <s v="Cigna"/>
    <d v="2026-06-29T00:00:00"/>
    <d v="2026-07-11T00:00:00"/>
    <n v="7000"/>
    <m/>
    <s v="Pending"/>
    <x v="1"/>
    <s v="Vikas R"/>
    <n v="96"/>
    <s v="90+"/>
    <n v="7000"/>
    <s v="Sunita Rao"/>
    <n v="0"/>
  </r>
  <r>
    <s v="C20168"/>
    <s v="P-1321"/>
    <s v="City Care Clinic"/>
    <s v="UnitedHealthcare"/>
    <d v="2026-06-10T00:00:00"/>
    <d v="2026-06-24T00:00:00"/>
    <n v="1075"/>
    <n v="0"/>
    <s v="Denied"/>
    <x v="5"/>
    <s v="Vikas R"/>
    <n v="113"/>
    <s v="90+"/>
    <n v="0"/>
    <s v="Sunita Rao"/>
    <n v="1075"/>
  </r>
  <r>
    <s v="C20169"/>
    <s v="P-1494"/>
    <s v="Green Valley Health"/>
    <s v="Medicare"/>
    <d v="2026-07-27T00:00:00"/>
    <d v="2026-08-01T00:00:00"/>
    <n v="7350"/>
    <n v="5529.44"/>
    <s v="Paid"/>
    <x v="1"/>
    <s v="Amit V"/>
    <n v="75"/>
    <s v="61-90"/>
    <n v="0"/>
    <s v="Manish Arora"/>
    <n v="0"/>
  </r>
  <r>
    <s v="C20170"/>
    <s v="P-1242"/>
    <s v="City Care Clinic"/>
    <s v="Medicare"/>
    <d v="2026-09-06T00:00:00"/>
    <d v="2026-09-17T00:00:00"/>
    <n v="8200"/>
    <m/>
    <s v="Pending"/>
    <x v="1"/>
    <s v="Neha G"/>
    <n v="28"/>
    <s v="0-30"/>
    <n v="8200"/>
    <s v="Manish Arora"/>
    <n v="0"/>
  </r>
  <r>
    <s v="C20171"/>
    <s v="P-1278"/>
    <s v="Green Valley Health"/>
    <s v="Medicare"/>
    <d v="2026-05-09T00:00:00"/>
    <d v="2026-05-19T00:00:00"/>
    <n v="6900"/>
    <n v="3797.89"/>
    <s v="Paid"/>
    <x v="1"/>
    <s v="Rohit B"/>
    <n v="149"/>
    <s v="90+"/>
    <n v="0"/>
    <s v="Deepak Nair"/>
    <n v="0"/>
  </r>
  <r>
    <s v="C20172"/>
    <s v="P-1287"/>
    <s v="Apex Ortho Center"/>
    <s v="Medicaid"/>
    <d v="2026-08-21T00:00:00"/>
    <d v="2026-09-10T00:00:00"/>
    <n v="2300"/>
    <m/>
    <s v="Pending"/>
    <x v="1"/>
    <s v="Priya K"/>
    <n v="35"/>
    <s v="31-60"/>
    <n v="2300"/>
    <s v="Manish Arora"/>
    <n v="0"/>
  </r>
  <r>
    <s v="C20173"/>
    <s v="P-1422"/>
    <s v="Sunrise Hospital"/>
    <s v="Medicare"/>
    <d v="2025-12-28T00:00:00"/>
    <d v="2026-01-10T00:00:00"/>
    <n v="5600"/>
    <n v="5509.06"/>
    <s v="Paid"/>
    <x v="1"/>
    <s v="Kavita D"/>
    <n v="278"/>
    <s v="90+"/>
    <n v="0"/>
    <s v="Deepak Nair"/>
    <n v="0"/>
  </r>
  <r>
    <s v="C20174"/>
    <s v="P-1187"/>
    <s v="Green Valley Health"/>
    <s v="Medicaid"/>
    <d v="2026-08-28T00:00:00"/>
    <d v="2026-09-09T00:00:00"/>
    <n v="9750"/>
    <m/>
    <s v="Pending"/>
    <x v="1"/>
    <s v="Neha G"/>
    <n v="36"/>
    <s v="31-60"/>
    <n v="9750"/>
    <s v="Manish Arora"/>
    <n v="0"/>
  </r>
  <r>
    <s v="C20175"/>
    <s v="P-1377"/>
    <s v="Sunrise Hospital"/>
    <s v="Blue Cross"/>
    <d v="2026-06-22T00:00:00"/>
    <d v="2026-07-05T00:00:00"/>
    <n v="4850"/>
    <m/>
    <s v="Pending"/>
    <x v="1"/>
    <s v="Priya K"/>
    <n v="102"/>
    <s v="90+"/>
    <n v="4850"/>
    <s v="Manish Arora"/>
    <n v="0"/>
  </r>
  <r>
    <s v="C20176"/>
    <s v="P-1262"/>
    <s v="Green Valley Health"/>
    <s v="Medicare"/>
    <d v="2026-02-10T00:00:00"/>
    <d v="2026-02-22T00:00:00"/>
    <n v="3175"/>
    <m/>
    <s v="Pending"/>
    <x v="1"/>
    <s v="Kavita D"/>
    <n v="235"/>
    <s v="90+"/>
    <n v="3175"/>
    <s v="Deepak Nair"/>
    <n v="0"/>
  </r>
  <r>
    <s v="C20177"/>
    <s v="P-1355"/>
    <s v="Green Valley Health"/>
    <s v="Medicaid"/>
    <d v="2026-07-13T00:00:00"/>
    <d v="2026-07-31T00:00:00"/>
    <n v="1650"/>
    <n v="1456.55"/>
    <s v="Paid"/>
    <x v="1"/>
    <s v="Sandeep Y"/>
    <n v="76"/>
    <s v="61-90"/>
    <n v="0"/>
    <s v="Sunita Rao"/>
    <n v="0"/>
  </r>
  <r>
    <s v="C20178"/>
    <s v="P-1424"/>
    <s v="Sunrise Hospital"/>
    <s v="UnitedHealthcare"/>
    <d v="2026-06-25T00:00:00"/>
    <d v="2026-07-08T00:00:00"/>
    <n v="4975"/>
    <n v="4622.87"/>
    <s v="Paid"/>
    <x v="1"/>
    <s v="Vikas R"/>
    <n v="99"/>
    <s v="90+"/>
    <n v="0"/>
    <s v="Sunita Rao"/>
    <n v="0"/>
  </r>
  <r>
    <s v="C20179"/>
    <s v="P-1118"/>
    <s v="Sunrise Hospital"/>
    <s v="Self Pay"/>
    <d v="2026-02-23T00:00:00"/>
    <d v="2026-03-06T00:00:00"/>
    <n v="4400"/>
    <n v="3745.33"/>
    <s v="Paid"/>
    <x v="1"/>
    <s v="Anjali T"/>
    <n v="223"/>
    <s v="90+"/>
    <n v="0"/>
    <s v="Deepak Nair"/>
    <n v="0"/>
  </r>
  <r>
    <s v="C20180"/>
    <s v="P-1477"/>
    <s v="Sunrise Hospital"/>
    <s v="Medicare"/>
    <d v="2026-02-27T00:00:00"/>
    <d v="2026-03-10T00:00:00"/>
    <n v="7225"/>
    <n v="5263.58"/>
    <s v="Paid"/>
    <x v="1"/>
    <s v="Priya K"/>
    <n v="219"/>
    <s v="90+"/>
    <n v="0"/>
    <s v="Manish Arora"/>
    <n v="0"/>
  </r>
  <r>
    <s v="C20181"/>
    <s v="P-1207"/>
    <s v="Apex Ortho Center"/>
    <s v="Humana"/>
    <d v="2026-01-13T00:00:00"/>
    <d v="2026-01-22T00:00:00"/>
    <n v="7600"/>
    <n v="6921.62"/>
    <s v="Paid"/>
    <x v="1"/>
    <s v="Rohit B"/>
    <n v="266"/>
    <s v="90+"/>
    <n v="0"/>
    <s v="Deepak Nair"/>
    <n v="0"/>
  </r>
  <r>
    <s v="C20182"/>
    <s v="P-1332"/>
    <s v="Apex Ortho Center"/>
    <s v="Medicaid"/>
    <d v="2026-08-28T00:00:00"/>
    <d v="2026-09-05T00:00:00"/>
    <n v="9850"/>
    <n v="9272.93"/>
    <s v="Paid"/>
    <x v="1"/>
    <s v="Kavita D"/>
    <n v="40"/>
    <s v="31-60"/>
    <n v="0"/>
    <s v="Deepak Nair"/>
    <n v="0"/>
  </r>
  <r>
    <s v="C20183"/>
    <s v="P-1110"/>
    <s v="Apex Ortho Center"/>
    <s v="Unknown"/>
    <d v="2026-07-21T00:00:00"/>
    <d v="2026-07-28T00:00:00"/>
    <n v="10250"/>
    <m/>
    <s v="Pending"/>
    <x v="1"/>
    <s v="Amit V"/>
    <n v="79"/>
    <s v="61-90"/>
    <n v="10250"/>
    <s v="Manish Arora"/>
    <n v="0"/>
  </r>
  <r>
    <s v="C20184"/>
    <s v="P-1459"/>
    <s v="Apex Ortho Center"/>
    <s v="Humana"/>
    <d v="2026-08-07T00:00:00"/>
    <d v="2026-08-15T00:00:00"/>
    <n v="3025"/>
    <m/>
    <s v="Pending"/>
    <x v="1"/>
    <s v="Vikas R"/>
    <n v="61"/>
    <s v="61-90"/>
    <n v="3025"/>
    <s v="Sunita Rao"/>
    <n v="0"/>
  </r>
  <r>
    <s v="C20185"/>
    <s v="P-1138"/>
    <s v="Sunrise Hospital"/>
    <s v="Medicaid"/>
    <d v="2026-02-24T00:00:00"/>
    <d v="2026-03-03T00:00:00"/>
    <n v="8575"/>
    <m/>
    <s v="Pending"/>
    <x v="1"/>
    <s v="Vikas R"/>
    <n v="226"/>
    <s v="90+"/>
    <n v="8575"/>
    <s v="Sunita Rao"/>
    <n v="0"/>
  </r>
  <r>
    <s v="C20186"/>
    <s v="P-1286"/>
    <s v="City Care Clinic"/>
    <s v="Medicare"/>
    <d v="2026-05-08T00:00:00"/>
    <d v="2026-05-21T00:00:00"/>
    <n v="6125"/>
    <n v="4888.76"/>
    <s v="Paid"/>
    <x v="1"/>
    <s v="Rahul S"/>
    <n v="147"/>
    <s v="90+"/>
    <n v="0"/>
    <s v="Manish Arora"/>
    <n v="0"/>
  </r>
  <r>
    <s v="C20187"/>
    <s v="P-1103"/>
    <s v="Green Valley Health"/>
    <s v="UnitedHealthcare"/>
    <d v="2026-06-03T00:00:00"/>
    <d v="2026-06-08T00:00:00"/>
    <n v="400"/>
    <n v="399.49"/>
    <s v="Paid"/>
    <x v="1"/>
    <s v="Vikas R"/>
    <n v="129"/>
    <s v="90+"/>
    <n v="0"/>
    <s v="Sunita Rao"/>
    <n v="0"/>
  </r>
  <r>
    <s v="C20188"/>
    <s v="P-1423"/>
    <s v="Apex Ortho Center"/>
    <s v="Medicaid"/>
    <d v="2026-06-09T00:00:00"/>
    <d v="2026-06-29T00:00:00"/>
    <n v="10425"/>
    <n v="8626.8799999999992"/>
    <s v="Paid"/>
    <x v="1"/>
    <s v="Sandeep Y"/>
    <n v="108"/>
    <s v="90+"/>
    <n v="0"/>
    <s v="Sunita Rao"/>
    <n v="0"/>
  </r>
  <r>
    <s v="C20189"/>
    <s v="P-1371"/>
    <s v="City Care Clinic"/>
    <s v="Medicare"/>
    <d v="2026-04-21T00:00:00"/>
    <d v="2026-05-08T00:00:00"/>
    <n v="14900"/>
    <m/>
    <s v="Pending"/>
    <x v="1"/>
    <s v="Rahul S"/>
    <n v="160"/>
    <s v="90+"/>
    <n v="14900"/>
    <s v="Manish Arora"/>
    <n v="0"/>
  </r>
  <r>
    <s v="C20190"/>
    <s v="P-1284"/>
    <s v="Apex Ortho Center"/>
    <s v="Medicare"/>
    <d v="2026-03-08T00:00:00"/>
    <d v="2026-03-28T00:00:00"/>
    <n v="3325"/>
    <n v="1864.65"/>
    <s v="Paid"/>
    <x v="1"/>
    <s v="Anjali T"/>
    <n v="201"/>
    <s v="90+"/>
    <n v="0"/>
    <s v="Deepak Nair"/>
    <n v="0"/>
  </r>
  <r>
    <s v="C20191"/>
    <s v="P-1005"/>
    <s v="Apex Ortho Center"/>
    <s v="Blue Cross"/>
    <d v="2025-12-28T00:00:00"/>
    <d v="2026-01-06T00:00:00"/>
    <n v="1925"/>
    <m/>
    <s v="Pending"/>
    <x v="1"/>
    <s v="Anjali T"/>
    <n v="282"/>
    <s v="90+"/>
    <n v="1925"/>
    <s v="Deepak Nair"/>
    <n v="0"/>
  </r>
  <r>
    <s v="C20192"/>
    <s v="P-1393"/>
    <s v="City Care Clinic"/>
    <s v="Humana"/>
    <d v="2026-07-12T00:00:00"/>
    <d v="2026-07-24T00:00:00"/>
    <n v="13900"/>
    <m/>
    <s v="Pending"/>
    <x v="1"/>
    <s v="Anjali T"/>
    <n v="83"/>
    <s v="61-90"/>
    <n v="13900"/>
    <s v="Deepak Nair"/>
    <n v="0"/>
  </r>
  <r>
    <s v="C20193"/>
    <s v="P-1319"/>
    <s v="City Care Clinic"/>
    <s v="Medicare"/>
    <d v="2026-07-09T00:00:00"/>
    <d v="2026-07-25T00:00:00"/>
    <n v="6700"/>
    <m/>
    <s v="Pending"/>
    <x v="1"/>
    <s v="Amit V"/>
    <n v="82"/>
    <s v="61-90"/>
    <n v="6700"/>
    <s v="Manish Arora"/>
    <n v="0"/>
  </r>
  <r>
    <s v="C20194"/>
    <s v="P-1186"/>
    <s v="Green Valley Health"/>
    <s v="Medicaid"/>
    <d v="2026-04-14T00:00:00"/>
    <d v="2026-04-27T00:00:00"/>
    <n v="10225"/>
    <n v="6897.49"/>
    <s v="Paid"/>
    <x v="1"/>
    <s v="Sandeep Y"/>
    <n v="171"/>
    <s v="90+"/>
    <n v="0"/>
    <s v="Sunita Rao"/>
    <n v="0"/>
  </r>
  <r>
    <s v="C20195"/>
    <s v="P-1024"/>
    <s v="Sunrise Hospital"/>
    <s v="UnitedHealthcare"/>
    <d v="2026-01-22T00:00:00"/>
    <d v="2026-02-04T00:00:00"/>
    <n v="2700"/>
    <n v="1703.8"/>
    <s v="Paid"/>
    <x v="1"/>
    <s v="Neha G"/>
    <n v="253"/>
    <s v="90+"/>
    <n v="0"/>
    <s v="Manish Arora"/>
    <n v="0"/>
  </r>
  <r>
    <s v="C20196"/>
    <s v="P-1011"/>
    <s v="City Care Clinic"/>
    <s v="Aetna"/>
    <d v="2026-03-18T00:00:00"/>
    <d v="2026-04-01T00:00:00"/>
    <n v="3000"/>
    <n v="1896.16"/>
    <s v="Paid"/>
    <x v="1"/>
    <s v="Rahul S"/>
    <n v="197"/>
    <s v="90+"/>
    <n v="0"/>
    <s v="Manish Arora"/>
    <n v="0"/>
  </r>
  <r>
    <s v="C20197"/>
    <s v="P-1430"/>
    <s v="Sunrise Hospital"/>
    <s v="Medicare"/>
    <d v="2026-07-20T00:00:00"/>
    <d v="2026-07-26T00:00:00"/>
    <n v="8525"/>
    <m/>
    <s v="Pending"/>
    <x v="1"/>
    <s v="Amit V"/>
    <n v="81"/>
    <s v="61-90"/>
    <n v="8525"/>
    <s v="Manish Arora"/>
    <n v="0"/>
  </r>
  <r>
    <s v="C20198"/>
    <s v="P-1480"/>
    <s v="Sunrise Hospital"/>
    <s v="UnitedHealthcare"/>
    <d v="2026-06-09T00:00:00"/>
    <d v="2026-06-14T00:00:00"/>
    <n v="3050"/>
    <n v="2327.17"/>
    <s v="Paid"/>
    <x v="1"/>
    <s v="Amit V"/>
    <n v="123"/>
    <s v="90+"/>
    <n v="0"/>
    <s v="Manish Arora"/>
    <n v="0"/>
  </r>
  <r>
    <s v="C20199"/>
    <s v="P-1164"/>
    <s v="Sunrise Hospital"/>
    <s v="Blue Cross"/>
    <d v="2026-05-15T00:00:00"/>
    <d v="2026-05-20T00:00:00"/>
    <n v="10275"/>
    <m/>
    <s v="Pending"/>
    <x v="1"/>
    <s v="Rohit B"/>
    <n v="148"/>
    <s v="90+"/>
    <n v="10275"/>
    <s v="Deepak Nair"/>
    <n v="0"/>
  </r>
  <r>
    <s v="C20200"/>
    <s v="P-1028"/>
    <s v="Sunrise Hospital"/>
    <s v="UnitedHealthcare"/>
    <d v="2025-12-30T00:00:00"/>
    <d v="2026-01-06T00:00:00"/>
    <n v="9975"/>
    <m/>
    <s v="Pending"/>
    <x v="1"/>
    <s v="Pooja M"/>
    <n v="282"/>
    <s v="90+"/>
    <n v="9975"/>
    <s v="Sunita Rao"/>
    <n v="0"/>
  </r>
  <r>
    <s v="C20201"/>
    <s v="P-1473"/>
    <s v="City Care Clinic"/>
    <s v="Medicare"/>
    <d v="2026-07-29T00:00:00"/>
    <d v="2026-08-14T00:00:00"/>
    <n v="13200"/>
    <m/>
    <s v="Pending"/>
    <x v="1"/>
    <s v="Anjali T"/>
    <n v="62"/>
    <s v="61-90"/>
    <n v="13200"/>
    <s v="Deepak Nair"/>
    <n v="0"/>
  </r>
  <r>
    <s v="C20202"/>
    <s v="P-1256"/>
    <s v="Sunrise Hospital"/>
    <s v="Aetna"/>
    <d v="2026-07-26T00:00:00"/>
    <d v="2026-08-12T00:00:00"/>
    <n v="11025"/>
    <m/>
    <s v="Pending"/>
    <x v="1"/>
    <s v="Rohit B"/>
    <n v="64"/>
    <s v="61-90"/>
    <n v="11025"/>
    <s v="Deepak Nair"/>
    <n v="0"/>
  </r>
  <r>
    <s v="C20203"/>
    <s v="P-1023"/>
    <s v="City Care Clinic"/>
    <s v="Humana"/>
    <d v="2026-01-03T00:00:00"/>
    <d v="2026-01-22T00:00:00"/>
    <n v="1100"/>
    <n v="745.67"/>
    <s v="Paid"/>
    <x v="1"/>
    <s v="Amit V"/>
    <n v="266"/>
    <s v="90+"/>
    <n v="0"/>
    <s v="Manish Arora"/>
    <n v="0"/>
  </r>
  <r>
    <s v="C20204"/>
    <s v="P-1377"/>
    <s v="Apex Ortho Center"/>
    <s v="Medicare"/>
    <d v="2026-09-15T00:00:00"/>
    <d v="2026-10-02T00:00:00"/>
    <n v="8700"/>
    <m/>
    <s v="Pending"/>
    <x v="1"/>
    <s v="Anjali T"/>
    <n v="13"/>
    <s v="0-30"/>
    <n v="8700"/>
    <s v="Deepak Nair"/>
    <n v="0"/>
  </r>
  <r>
    <s v="C20205"/>
    <s v="P-1459"/>
    <s v="Green Valley Health"/>
    <s v="Medicare"/>
    <d v="2026-07-21T00:00:00"/>
    <d v="2026-07-25T00:00:00"/>
    <n v="3525"/>
    <m/>
    <s v="Pending"/>
    <x v="1"/>
    <s v="Amit V"/>
    <n v="82"/>
    <s v="61-90"/>
    <n v="3525"/>
    <s v="Manish Arora"/>
    <n v="0"/>
  </r>
  <r>
    <s v="C20206"/>
    <s v="P-1445"/>
    <s v="City Care Clinic"/>
    <s v="Cigna"/>
    <d v="2026-03-08T00:00:00"/>
    <d v="2026-03-14T00:00:00"/>
    <n v="2950"/>
    <n v="0"/>
    <s v="Denied"/>
    <x v="7"/>
    <s v="Sandeep Y"/>
    <n v="215"/>
    <s v="90+"/>
    <n v="0"/>
    <s v="Sunita Rao"/>
    <n v="2950"/>
  </r>
  <r>
    <s v="C20207"/>
    <s v="P-1250"/>
    <s v="Apex Ortho Center"/>
    <s v="Self Pay"/>
    <d v="2026-09-09T00:00:00"/>
    <d v="2026-09-23T00:00:00"/>
    <n v="11900"/>
    <n v="8830.7199999999993"/>
    <s v="Paid"/>
    <x v="1"/>
    <s v="Neha G"/>
    <n v="22"/>
    <s v="0-30"/>
    <n v="0"/>
    <s v="Manish Arora"/>
    <n v="0"/>
  </r>
  <r>
    <s v="C20208"/>
    <s v="P-1036"/>
    <s v="Green Valley Health"/>
    <s v="Blue Cross"/>
    <d v="2026-02-01T00:00:00"/>
    <d v="2026-02-07T00:00:00"/>
    <n v="14500"/>
    <n v="13696.07"/>
    <s v="Paid"/>
    <x v="1"/>
    <s v="Rohit B"/>
    <n v="250"/>
    <s v="90+"/>
    <n v="0"/>
    <s v="Deepak Nair"/>
    <n v="0"/>
  </r>
  <r>
    <s v="C20209"/>
    <s v="P-1489"/>
    <s v="Sunrise Hospital"/>
    <s v="Blue Cross"/>
    <d v="2026-01-27T00:00:00"/>
    <d v="2026-02-03T00:00:00"/>
    <n v="9650"/>
    <n v="9341.0499999999993"/>
    <s v="Paid"/>
    <x v="1"/>
    <s v="Priya K"/>
    <n v="254"/>
    <s v="90+"/>
    <n v="0"/>
    <s v="Manish Arora"/>
    <n v="0"/>
  </r>
  <r>
    <s v="C20210"/>
    <s v="P-1250"/>
    <s v="City Care Clinic"/>
    <s v="Medicare"/>
    <d v="2026-07-25T00:00:00"/>
    <d v="2026-08-02T00:00:00"/>
    <n v="10225"/>
    <n v="7766.46"/>
    <s v="Paid"/>
    <x v="1"/>
    <s v="Neha G"/>
    <n v="74"/>
    <s v="61-90"/>
    <n v="0"/>
    <s v="Manish Arora"/>
    <n v="0"/>
  </r>
  <r>
    <s v="C20211"/>
    <s v="P-1220"/>
    <s v="Green Valley Health"/>
    <s v="Medicare"/>
    <d v="2026-09-17T00:00:00"/>
    <d v="2026-09-30T00:00:00"/>
    <n v="5325"/>
    <m/>
    <s v="Pending"/>
    <x v="1"/>
    <s v="Pooja M"/>
    <n v="15"/>
    <s v="0-30"/>
    <n v="5325"/>
    <s v="Sunita Rao"/>
    <n v="0"/>
  </r>
  <r>
    <s v="C20212"/>
    <s v="P-1355"/>
    <s v="Green Valley Health"/>
    <s v="Medicare"/>
    <d v="2026-05-31T00:00:00"/>
    <d v="2026-06-11T00:00:00"/>
    <n v="5625"/>
    <n v="3417.82"/>
    <s v="Paid"/>
    <x v="1"/>
    <s v="Sandeep Y"/>
    <n v="126"/>
    <s v="90+"/>
    <n v="0"/>
    <s v="Sunita Rao"/>
    <n v="0"/>
  </r>
  <r>
    <s v="C20213"/>
    <s v="P-1035"/>
    <s v="Sunrise Hospital"/>
    <s v="Cigna"/>
    <d v="2026-02-18T00:00:00"/>
    <d v="2026-03-01T00:00:00"/>
    <n v="9100"/>
    <n v="5808.26"/>
    <s v="Paid"/>
    <x v="1"/>
    <s v="Pooja M"/>
    <n v="228"/>
    <s v="90+"/>
    <n v="0"/>
    <s v="Sunita Rao"/>
    <n v="0"/>
  </r>
  <r>
    <s v="C20214"/>
    <s v="P-1419"/>
    <s v="Green Valley Health"/>
    <s v="Medicaid"/>
    <d v="2026-05-23T00:00:00"/>
    <d v="2026-06-08T00:00:00"/>
    <n v="5400"/>
    <n v="4002.07"/>
    <s v="Paid"/>
    <x v="1"/>
    <s v="Amit V"/>
    <n v="129"/>
    <s v="90+"/>
    <n v="0"/>
    <s v="Manish Arora"/>
    <n v="0"/>
  </r>
  <r>
    <s v="C20215"/>
    <s v="P-1360"/>
    <s v="Green Valley Health"/>
    <s v="Medicaid"/>
    <d v="2026-09-11T00:00:00"/>
    <d v="2026-09-17T00:00:00"/>
    <n v="2725"/>
    <m/>
    <s v="Pending"/>
    <x v="1"/>
    <s v="Kavita D"/>
    <n v="28"/>
    <s v="0-30"/>
    <n v="2725"/>
    <s v="Deepak Nair"/>
    <n v="0"/>
  </r>
  <r>
    <s v="C20216"/>
    <s v="P-1146"/>
    <s v="City Care Clinic"/>
    <s v="Cigna"/>
    <d v="2026-02-18T00:00:00"/>
    <d v="2026-03-02T00:00:00"/>
    <n v="3450"/>
    <m/>
    <s v="Pending"/>
    <x v="1"/>
    <s v="Anjali T"/>
    <n v="227"/>
    <s v="90+"/>
    <n v="3450"/>
    <s v="Deepak Nair"/>
    <n v="0"/>
  </r>
  <r>
    <s v="C20217"/>
    <s v="P-1327"/>
    <s v="City Care Clinic"/>
    <s v="Aetna"/>
    <d v="2026-04-08T00:00:00"/>
    <d v="2026-04-26T00:00:00"/>
    <n v="10200"/>
    <n v="6621.55"/>
    <s v="Paid"/>
    <x v="1"/>
    <s v="Pooja M"/>
    <n v="172"/>
    <s v="90+"/>
    <n v="0"/>
    <s v="Sunita Rao"/>
    <n v="0"/>
  </r>
  <r>
    <s v="C20218"/>
    <s v="P-1125"/>
    <s v="City Care Clinic"/>
    <s v="Aetna"/>
    <d v="2026-05-08T00:00:00"/>
    <d v="2026-05-25T00:00:00"/>
    <n v="7150"/>
    <n v="6094.86"/>
    <s v="Paid"/>
    <x v="1"/>
    <s v="Amit V"/>
    <n v="143"/>
    <s v="90+"/>
    <n v="0"/>
    <s v="Manish Arora"/>
    <n v="0"/>
  </r>
  <r>
    <s v="C20219"/>
    <s v="P-1393"/>
    <s v="City Care Clinic"/>
    <s v="UnitedHealthcare"/>
    <d v="2026-04-24T00:00:00"/>
    <d v="2026-05-09T00:00:00"/>
    <n v="11050"/>
    <n v="10453.82"/>
    <s v="Paid"/>
    <x v="1"/>
    <s v="Priya K"/>
    <n v="159"/>
    <s v="90+"/>
    <n v="0"/>
    <s v="Manish Arora"/>
    <n v="0"/>
  </r>
  <r>
    <s v="C20220"/>
    <s v="P-1008"/>
    <s v="Apex Ortho Center"/>
    <s v="Medicare"/>
    <d v="2026-08-12T00:00:00"/>
    <d v="2026-08-21T00:00:00"/>
    <n v="2550"/>
    <m/>
    <s v="Pending"/>
    <x v="1"/>
    <s v="Kavita D"/>
    <n v="55"/>
    <s v="31-60"/>
    <n v="2550"/>
    <s v="Deepak Nair"/>
    <n v="0"/>
  </r>
  <r>
    <s v="C20221"/>
    <s v="P-1161"/>
    <s v="Green Valley Health"/>
    <s v="Cigna"/>
    <d v="2026-06-23T00:00:00"/>
    <d v="2026-06-26T00:00:00"/>
    <n v="4275"/>
    <n v="3245.49"/>
    <s v="Paid"/>
    <x v="1"/>
    <s v="Kavita D"/>
    <n v="111"/>
    <s v="90+"/>
    <n v="0"/>
    <s v="Deepak Nair"/>
    <n v="0"/>
  </r>
  <r>
    <s v="C20222"/>
    <s v="P-1202"/>
    <s v="Green Valley Health"/>
    <s v="Blue Cross"/>
    <d v="2026-01-22T00:00:00"/>
    <d v="2026-02-01T00:00:00"/>
    <n v="825"/>
    <m/>
    <s v="Pending"/>
    <x v="1"/>
    <s v="Rohit B"/>
    <n v="256"/>
    <s v="90+"/>
    <n v="825"/>
    <s v="Deepak Nair"/>
    <n v="0"/>
  </r>
  <r>
    <s v="C20223"/>
    <s v="P-1335"/>
    <s v="Green Valley Health"/>
    <s v="Blue Cross"/>
    <d v="2026-02-22T00:00:00"/>
    <d v="2026-02-26T00:00:00"/>
    <n v="2000"/>
    <m/>
    <s v="Pending"/>
    <x v="1"/>
    <s v="Neha G"/>
    <n v="231"/>
    <s v="90+"/>
    <n v="2000"/>
    <s v="Manish Arora"/>
    <n v="0"/>
  </r>
  <r>
    <s v="C20224"/>
    <s v="P-1073"/>
    <s v="Green Valley Health"/>
    <s v="Medicare"/>
    <d v="2026-09-14T00:00:00"/>
    <d v="2026-09-23T00:00:00"/>
    <n v="13025"/>
    <m/>
    <s v="Pending"/>
    <x v="1"/>
    <s v="Priya K"/>
    <n v="22"/>
    <s v="0-30"/>
    <n v="13025"/>
    <s v="Manish Arora"/>
    <n v="0"/>
  </r>
  <r>
    <s v="C20225"/>
    <s v="P-1452"/>
    <s v="City Care Clinic"/>
    <s v="Aetna"/>
    <d v="2025-12-25T00:00:00"/>
    <d v="2026-01-02T00:00:00"/>
    <n v="6775"/>
    <n v="0"/>
    <s v="Denied"/>
    <x v="2"/>
    <s v="Amit V"/>
    <n v="286"/>
    <s v="90+"/>
    <n v="0"/>
    <s v="Manish Arora"/>
    <n v="6775"/>
  </r>
  <r>
    <s v="C20226"/>
    <s v="P-1458"/>
    <s v="City Care Clinic"/>
    <s v="Medicare"/>
    <d v="2025-12-26T00:00:00"/>
    <d v="2026-01-09T00:00:00"/>
    <n v="9650"/>
    <m/>
    <s v="Pending"/>
    <x v="1"/>
    <s v="Vikas R"/>
    <n v="279"/>
    <s v="90+"/>
    <n v="9650"/>
    <s v="Sunita Rao"/>
    <n v="0"/>
  </r>
  <r>
    <s v="C20227"/>
    <s v="P-1397"/>
    <s v="City Care Clinic"/>
    <s v="Medicaid"/>
    <d v="2026-09-12T00:00:00"/>
    <d v="2026-10-02T00:00:00"/>
    <n v="13950"/>
    <m/>
    <s v="Pending"/>
    <x v="1"/>
    <s v="Rohit B"/>
    <n v="13"/>
    <s v="0-30"/>
    <n v="13950"/>
    <s v="Deepak Nair"/>
    <n v="0"/>
  </r>
  <r>
    <s v="C20228"/>
    <s v="P-1157"/>
    <s v="Apex Ortho Center"/>
    <s v="Medicaid"/>
    <d v="2026-02-28T00:00:00"/>
    <d v="2026-03-05T00:00:00"/>
    <n v="14825"/>
    <n v="11554.14"/>
    <s v="Paid"/>
    <x v="1"/>
    <s v="Neha G"/>
    <n v="224"/>
    <s v="90+"/>
    <n v="0"/>
    <s v="Manish Arora"/>
    <n v="0"/>
  </r>
  <r>
    <s v="C20229"/>
    <s v="P-1285"/>
    <s v="City Care Clinic"/>
    <s v="Aetna"/>
    <d v="2026-04-21T00:00:00"/>
    <d v="2026-05-07T00:00:00"/>
    <n v="12225"/>
    <n v="9208.61"/>
    <s v="Paid"/>
    <x v="1"/>
    <s v="Priya K"/>
    <n v="161"/>
    <s v="90+"/>
    <n v="0"/>
    <s v="Manish Arora"/>
    <n v="0"/>
  </r>
  <r>
    <s v="C20230"/>
    <s v="P-1268"/>
    <s v="Sunrise Hospital"/>
    <s v="Aetna"/>
    <d v="2026-09-08T00:00:00"/>
    <d v="2026-09-15T00:00:00"/>
    <n v="3975"/>
    <m/>
    <s v="Pending"/>
    <x v="1"/>
    <s v="Kavita D"/>
    <n v="30"/>
    <s v="0-30"/>
    <n v="3975"/>
    <s v="Deepak Nair"/>
    <n v="0"/>
  </r>
  <r>
    <s v="C20231"/>
    <s v="P-1377"/>
    <s v="Green Valley Health"/>
    <s v="Medicare"/>
    <d v="2026-02-14T00:00:00"/>
    <d v="2026-03-02T00:00:00"/>
    <n v="550"/>
    <n v="329.61"/>
    <s v="Paid"/>
    <x v="1"/>
    <s v="Rohit B"/>
    <n v="227"/>
    <s v="90+"/>
    <n v="0"/>
    <s v="Deepak Nair"/>
    <n v="0"/>
  </r>
  <r>
    <s v="C20232"/>
    <s v="P-1390"/>
    <s v="City Care Clinic"/>
    <s v="Aetna"/>
    <d v="2025-12-31T00:00:00"/>
    <d v="2026-01-15T00:00:00"/>
    <n v="3100"/>
    <n v="0"/>
    <s v="Denied"/>
    <x v="2"/>
    <s v="Sandeep Y"/>
    <n v="273"/>
    <s v="90+"/>
    <n v="0"/>
    <s v="Sunita Rao"/>
    <n v="3100"/>
  </r>
  <r>
    <s v="C20233"/>
    <s v="P-1458"/>
    <s v="Green Valley Health"/>
    <s v="Medicare"/>
    <d v="2026-02-01T00:00:00"/>
    <d v="2026-02-10T00:00:00"/>
    <n v="6975"/>
    <n v="5152.07"/>
    <s v="Paid"/>
    <x v="1"/>
    <s v="Rohit B"/>
    <n v="247"/>
    <s v="90+"/>
    <n v="0"/>
    <s v="Deepak Nair"/>
    <n v="0"/>
  </r>
  <r>
    <s v="C20234"/>
    <s v="P-1132"/>
    <s v="Sunrise Hospital"/>
    <s v="Aetna"/>
    <d v="2026-02-21T00:00:00"/>
    <d v="2026-03-12T00:00:00"/>
    <n v="2775"/>
    <n v="2449.48"/>
    <s v="Paid"/>
    <x v="1"/>
    <s v="Vikas R"/>
    <n v="217"/>
    <s v="90+"/>
    <n v="0"/>
    <s v="Sunita Rao"/>
    <n v="0"/>
  </r>
  <r>
    <s v="C20235"/>
    <s v="P-1170"/>
    <s v="Green Valley Health"/>
    <s v="Medicare"/>
    <d v="2026-08-18T00:00:00"/>
    <d v="2026-09-02T00:00:00"/>
    <n v="9475"/>
    <m/>
    <s v="Pending"/>
    <x v="1"/>
    <s v="Sandeep Y"/>
    <n v="43"/>
    <s v="31-60"/>
    <n v="9475"/>
    <s v="Sunita Rao"/>
    <n v="0"/>
  </r>
  <r>
    <s v="C20236"/>
    <s v="P-1280"/>
    <s v="Apex Ortho Center"/>
    <s v="Aetna"/>
    <d v="2026-09-25T00:00:00"/>
    <d v="2026-09-29T00:00:00"/>
    <n v="4475"/>
    <m/>
    <s v="Pending"/>
    <x v="1"/>
    <s v="Neha G"/>
    <n v="16"/>
    <s v="0-30"/>
    <n v="4475"/>
    <s v="Manish Arora"/>
    <n v="0"/>
  </r>
  <r>
    <s v="C20237"/>
    <s v="P-1383"/>
    <s v="Green Valley Health"/>
    <s v="Cigna"/>
    <d v="2026-02-06T00:00:00"/>
    <d v="2026-02-20T00:00:00"/>
    <n v="1125"/>
    <n v="735.35"/>
    <s v="Paid"/>
    <x v="1"/>
    <s v="Pooja M"/>
    <n v="237"/>
    <s v="90+"/>
    <n v="0"/>
    <s v="Sunita Rao"/>
    <n v="0"/>
  </r>
  <r>
    <s v="C20238"/>
    <s v="P-1182"/>
    <s v="Sunrise Hospital"/>
    <s v="Aetna"/>
    <d v="2026-07-22T00:00:00"/>
    <d v="2026-07-28T00:00:00"/>
    <n v="475"/>
    <m/>
    <s v="Pending"/>
    <x v="1"/>
    <s v="Kavita D"/>
    <n v="79"/>
    <s v="61-90"/>
    <n v="475"/>
    <s v="Deepak Nair"/>
    <n v="0"/>
  </r>
  <r>
    <s v="C20239"/>
    <s v="P-1254"/>
    <s v="City Care Clinic"/>
    <s v="UnitedHealthcare"/>
    <d v="2026-06-26T00:00:00"/>
    <d v="2026-07-08T00:00:00"/>
    <n v="5650"/>
    <n v="3908.72"/>
    <s v="Paid"/>
    <x v="1"/>
    <s v="Pooja M"/>
    <n v="99"/>
    <s v="90+"/>
    <n v="0"/>
    <s v="Sunita Rao"/>
    <n v="0"/>
  </r>
  <r>
    <s v="C20240"/>
    <s v="P-1217"/>
    <s v="Apex Ortho Center"/>
    <s v="Aetna"/>
    <d v="2026-01-23T00:00:00"/>
    <d v="2026-01-28T00:00:00"/>
    <n v="5750"/>
    <n v="5221.24"/>
    <s v="Paid"/>
    <x v="1"/>
    <s v="Sandeep Y"/>
    <n v="260"/>
    <s v="90+"/>
    <n v="0"/>
    <s v="Sunita Rao"/>
    <n v="0"/>
  </r>
  <r>
    <s v="C20241"/>
    <s v="P-1425"/>
    <s v="Apex Ortho Center"/>
    <s v="Medicaid"/>
    <d v="2026-02-14T00:00:00"/>
    <d v="2026-02-19T00:00:00"/>
    <n v="10450"/>
    <m/>
    <s v="Pending"/>
    <x v="1"/>
    <s v="Pooja M"/>
    <n v="238"/>
    <s v="90+"/>
    <n v="10450"/>
    <s v="Sunita Rao"/>
    <n v="0"/>
  </r>
  <r>
    <s v="C20242"/>
    <s v="P-1024"/>
    <s v="Green Valley Health"/>
    <s v="UnitedHealthcare"/>
    <d v="2026-03-11T00:00:00"/>
    <d v="2026-03-18T00:00:00"/>
    <n v="7600"/>
    <n v="6791.45"/>
    <s v="Paid"/>
    <x v="1"/>
    <s v="Rohit B"/>
    <n v="211"/>
    <s v="90+"/>
    <n v="0"/>
    <s v="Deepak Nair"/>
    <n v="0"/>
  </r>
  <r>
    <s v="C20243"/>
    <s v="P-1279"/>
    <s v="City Care Clinic"/>
    <s v="Blue Cross"/>
    <d v="2026-02-27T00:00:00"/>
    <d v="2026-03-12T00:00:00"/>
    <n v="850"/>
    <n v="548.4"/>
    <s v="Paid"/>
    <x v="1"/>
    <s v="Anjali T"/>
    <n v="217"/>
    <s v="90+"/>
    <n v="0"/>
    <s v="Deepak Nair"/>
    <n v="0"/>
  </r>
  <r>
    <s v="C20244"/>
    <s v="P-1071"/>
    <s v="Green Valley Health"/>
    <s v="Blue Cross"/>
    <d v="2026-07-21T00:00:00"/>
    <d v="2026-08-03T00:00:00"/>
    <n v="2200"/>
    <n v="1888.49"/>
    <s v="Paid"/>
    <x v="1"/>
    <s v="Vikas R"/>
    <n v="73"/>
    <s v="61-90"/>
    <n v="0"/>
    <s v="Sunita Rao"/>
    <n v="0"/>
  </r>
  <r>
    <s v="C20245"/>
    <s v="P-1372"/>
    <s v="City Care Clinic"/>
    <s v="Blue Cross"/>
    <d v="2026-02-13T00:00:00"/>
    <d v="2026-03-02T00:00:00"/>
    <n v="8475"/>
    <m/>
    <s v="Pending"/>
    <x v="1"/>
    <s v="Pooja M"/>
    <n v="227"/>
    <s v="90+"/>
    <n v="8475"/>
    <s v="Sunita Rao"/>
    <n v="0"/>
  </r>
  <r>
    <s v="C20246"/>
    <s v="P-1472"/>
    <s v="Sunrise Hospital"/>
    <s v="Medicare"/>
    <d v="2026-02-21T00:00:00"/>
    <d v="2026-02-27T00:00:00"/>
    <n v="10450"/>
    <n v="0"/>
    <s v="Denied"/>
    <x v="2"/>
    <s v="Pooja M"/>
    <n v="230"/>
    <s v="90+"/>
    <n v="0"/>
    <s v="Sunita Rao"/>
    <n v="10450"/>
  </r>
  <r>
    <s v="C20247"/>
    <s v="P-1459"/>
    <s v="Green Valley Health"/>
    <s v="Humana"/>
    <d v="2026-09-25T00:00:00"/>
    <d v="2026-10-02T00:00:00"/>
    <n v="3450"/>
    <n v="2530.3000000000002"/>
    <s v="Paid"/>
    <x v="1"/>
    <s v="Neha G"/>
    <n v="13"/>
    <s v="0-30"/>
    <n v="0"/>
    <s v="Manish Arora"/>
    <n v="0"/>
  </r>
  <r>
    <s v="C20248"/>
    <s v="P-1198"/>
    <s v="Green Valley Health"/>
    <s v="Medicare"/>
    <d v="2026-08-24T00:00:00"/>
    <d v="2026-09-11T00:00:00"/>
    <n v="11475"/>
    <m/>
    <s v="Pending"/>
    <x v="1"/>
    <s v="Amit V"/>
    <n v="34"/>
    <s v="31-60"/>
    <n v="11475"/>
    <s v="Manish Arora"/>
    <n v="0"/>
  </r>
  <r>
    <s v="C20249"/>
    <s v="P-1302"/>
    <s v="Green Valley Health"/>
    <s v="Aetna"/>
    <d v="2026-06-06T00:00:00"/>
    <d v="2026-06-15T00:00:00"/>
    <n v="675"/>
    <n v="477.49"/>
    <s v="Paid"/>
    <x v="1"/>
    <s v="Kavita D"/>
    <n v="122"/>
    <s v="90+"/>
    <n v="0"/>
    <s v="Deepak Nair"/>
    <n v="0"/>
  </r>
  <r>
    <s v="C20250"/>
    <s v="P-1357"/>
    <s v="Green Valley Health"/>
    <s v="Medicaid"/>
    <d v="2026-08-11T00:00:00"/>
    <d v="2026-08-25T00:00:00"/>
    <n v="4075"/>
    <n v="0"/>
    <s v="Denied"/>
    <x v="6"/>
    <s v="Sandeep Y"/>
    <n v="51"/>
    <s v="31-60"/>
    <n v="0"/>
    <s v="Sunita Rao"/>
    <n v="4075"/>
  </r>
  <r>
    <s v="C20251"/>
    <s v="P-1193"/>
    <s v="Sunrise Hospital"/>
    <s v="Cigna"/>
    <d v="2026-06-13T00:00:00"/>
    <d v="2026-06-29T00:00:00"/>
    <n v="1450"/>
    <n v="1335.71"/>
    <s v="Paid"/>
    <x v="1"/>
    <s v="Vikas R"/>
    <n v="108"/>
    <s v="90+"/>
    <n v="0"/>
    <s v="Sunita Rao"/>
    <n v="0"/>
  </r>
  <r>
    <s v="C20252"/>
    <s v="P-1465"/>
    <s v="Green Valley Health"/>
    <s v="Aetna"/>
    <d v="2026-01-14T00:00:00"/>
    <d v="2026-02-03T00:00:00"/>
    <n v="4900"/>
    <m/>
    <s v="Pending"/>
    <x v="1"/>
    <s v="Priya K"/>
    <n v="254"/>
    <s v="90+"/>
    <n v="4900"/>
    <s v="Manish Arora"/>
    <n v="0"/>
  </r>
  <r>
    <s v="C20253"/>
    <s v="P-1357"/>
    <s v="Apex Ortho Center"/>
    <s v="UnitedHealthcare"/>
    <d v="2026-04-21T00:00:00"/>
    <d v="2026-04-29T00:00:00"/>
    <n v="2900"/>
    <n v="1791.1"/>
    <s v="Paid"/>
    <x v="1"/>
    <s v="Rohit B"/>
    <n v="169"/>
    <s v="90+"/>
    <n v="0"/>
    <s v="Deepak Nair"/>
    <n v="0"/>
  </r>
  <r>
    <s v="C20254"/>
    <s v="P-1412"/>
    <s v="Apex Ortho Center"/>
    <s v="Medicare"/>
    <d v="2026-08-26T00:00:00"/>
    <d v="2026-09-08T00:00:00"/>
    <n v="12825"/>
    <n v="0"/>
    <s v="Denied"/>
    <x v="5"/>
    <s v="Amit V"/>
    <n v="37"/>
    <s v="31-60"/>
    <n v="0"/>
    <s v="Manish Arora"/>
    <n v="12825"/>
  </r>
  <r>
    <s v="C20255"/>
    <s v="P-1097"/>
    <s v="Sunrise Hospital"/>
    <s v="Humana"/>
    <d v="2026-04-13T00:00:00"/>
    <d v="2026-04-22T00:00:00"/>
    <n v="13975"/>
    <n v="8711.9699999999993"/>
    <s v="Paid"/>
    <x v="1"/>
    <s v="Pooja M"/>
    <n v="176"/>
    <s v="90+"/>
    <n v="0"/>
    <s v="Sunita Rao"/>
    <n v="0"/>
  </r>
  <r>
    <s v="C20256"/>
    <s v="P-1367"/>
    <s v="Apex Ortho Center"/>
    <s v="UnitedHealthcare"/>
    <d v="2026-06-02T00:00:00"/>
    <d v="2026-06-16T00:00:00"/>
    <n v="3075"/>
    <m/>
    <s v="Pending"/>
    <x v="1"/>
    <s v="Sandeep Y"/>
    <n v="121"/>
    <s v="90+"/>
    <n v="3075"/>
    <s v="Sunita Rao"/>
    <n v="0"/>
  </r>
  <r>
    <s v="C20257"/>
    <s v="P-1150"/>
    <s v="Apex Ortho Center"/>
    <s v="Medicaid"/>
    <d v="2026-02-16T00:00:00"/>
    <d v="2026-02-26T00:00:00"/>
    <n v="9450"/>
    <n v="6275.79"/>
    <s v="Paid"/>
    <x v="1"/>
    <s v="Amit V"/>
    <n v="231"/>
    <s v="90+"/>
    <n v="0"/>
    <s v="Manish Arora"/>
    <n v="0"/>
  </r>
  <r>
    <s v="C20258"/>
    <s v="P-1260"/>
    <s v="Sunrise Hospital"/>
    <s v="Blue Cross"/>
    <d v="2026-04-27T00:00:00"/>
    <d v="2026-05-15T00:00:00"/>
    <n v="2225"/>
    <n v="1501.68"/>
    <s v="Paid"/>
    <x v="1"/>
    <s v="Amit V"/>
    <n v="153"/>
    <s v="90+"/>
    <n v="0"/>
    <s v="Manish Arora"/>
    <n v="0"/>
  </r>
  <r>
    <s v="C20259"/>
    <s v="P-1083"/>
    <s v="Apex Ortho Center"/>
    <s v="Medicaid"/>
    <d v="2026-03-04T00:00:00"/>
    <d v="2026-03-09T00:00:00"/>
    <n v="14200"/>
    <m/>
    <s v="Pending"/>
    <x v="1"/>
    <s v="Vikas R"/>
    <n v="220"/>
    <s v="90+"/>
    <n v="14200"/>
    <s v="Sunita Rao"/>
    <n v="0"/>
  </r>
  <r>
    <s v="C20260"/>
    <s v="P-1110"/>
    <s v="Apex Ortho Center"/>
    <s v="UnitedHealthcare"/>
    <d v="2026-06-15T00:00:00"/>
    <d v="2026-07-05T00:00:00"/>
    <n v="6275"/>
    <n v="4427.25"/>
    <s v="Paid"/>
    <x v="1"/>
    <s v="Pooja M"/>
    <n v="102"/>
    <s v="90+"/>
    <n v="0"/>
    <s v="Sunita Rao"/>
    <n v="0"/>
  </r>
  <r>
    <s v="C20261"/>
    <s v="P-1036"/>
    <s v="Apex Ortho Center"/>
    <s v="Humana"/>
    <d v="2026-04-24T00:00:00"/>
    <d v="2026-04-29T00:00:00"/>
    <n v="14375"/>
    <n v="0"/>
    <s v="Denied"/>
    <x v="5"/>
    <s v="Priya K"/>
    <n v="169"/>
    <s v="90+"/>
    <n v="0"/>
    <s v="Manish Arora"/>
    <n v="14375"/>
  </r>
  <r>
    <s v="C20262"/>
    <s v="P-1341"/>
    <s v="City Care Clinic"/>
    <s v="Medicare"/>
    <d v="2026-02-22T00:00:00"/>
    <d v="2026-03-03T00:00:00"/>
    <n v="9700"/>
    <n v="0"/>
    <s v="Denied"/>
    <x v="7"/>
    <s v="Vikas R"/>
    <n v="226"/>
    <s v="90+"/>
    <n v="0"/>
    <s v="Sunita Rao"/>
    <n v="9700"/>
  </r>
  <r>
    <s v="C20263"/>
    <s v="P-1269"/>
    <s v="Apex Ortho Center"/>
    <s v="UnitedHealthcare"/>
    <d v="2026-02-24T00:00:00"/>
    <d v="2026-03-15T00:00:00"/>
    <n v="14175"/>
    <n v="8973.58"/>
    <s v="Paid"/>
    <x v="1"/>
    <s v="Neha G"/>
    <n v="214"/>
    <s v="90+"/>
    <n v="0"/>
    <s v="Manish Arora"/>
    <n v="0"/>
  </r>
  <r>
    <s v="C20264"/>
    <s v="P-1285"/>
    <s v="City Care Clinic"/>
    <s v="Medicare"/>
    <d v="2026-02-06T00:00:00"/>
    <d v="2026-02-22T00:00:00"/>
    <n v="3850"/>
    <n v="2961.14"/>
    <s v="Paid"/>
    <x v="1"/>
    <s v="Sandeep Y"/>
    <n v="235"/>
    <s v="90+"/>
    <n v="0"/>
    <s v="Sunita Rao"/>
    <n v="0"/>
  </r>
  <r>
    <s v="C20265"/>
    <s v="P-1486"/>
    <s v="Sunrise Hospital"/>
    <s v="Blue Cross"/>
    <d v="2026-04-29T00:00:00"/>
    <d v="2026-05-12T00:00:00"/>
    <n v="5900"/>
    <n v="0"/>
    <s v="Denied"/>
    <x v="3"/>
    <s v="Rahul S"/>
    <n v="156"/>
    <s v="90+"/>
    <n v="0"/>
    <s v="Manish Arora"/>
    <n v="5900"/>
  </r>
  <r>
    <s v="C20266"/>
    <s v="P-1016"/>
    <s v="City Care Clinic"/>
    <s v="Medicare"/>
    <d v="2026-08-26T00:00:00"/>
    <d v="2026-09-08T00:00:00"/>
    <n v="4625"/>
    <n v="4540.66"/>
    <s v="Paid"/>
    <x v="1"/>
    <s v="Sandeep Y"/>
    <n v="37"/>
    <s v="31-60"/>
    <n v="0"/>
    <s v="Sunita Rao"/>
    <n v="0"/>
  </r>
  <r>
    <s v="C20267"/>
    <s v="P-1433"/>
    <s v="City Care Clinic"/>
    <s v="Medicare"/>
    <d v="2025-12-28T00:00:00"/>
    <d v="2026-01-13T00:00:00"/>
    <n v="1100"/>
    <n v="904.33"/>
    <s v="Paid"/>
    <x v="1"/>
    <s v="Priya K"/>
    <n v="275"/>
    <s v="90+"/>
    <n v="0"/>
    <s v="Manish Arora"/>
    <n v="0"/>
  </r>
  <r>
    <s v="C20268"/>
    <s v="P-1007"/>
    <s v="Sunrise Hospital"/>
    <s v="Medicaid"/>
    <d v="2026-04-06T00:00:00"/>
    <d v="2026-04-21T00:00:00"/>
    <n v="6225"/>
    <n v="4395.05"/>
    <s v="Paid"/>
    <x v="1"/>
    <s v="Kavita D"/>
    <n v="177"/>
    <s v="90+"/>
    <n v="0"/>
    <s v="Deepak Nair"/>
    <n v="0"/>
  </r>
  <r>
    <s v="C20269"/>
    <s v="P-1476"/>
    <s v="Green Valley Health"/>
    <s v="Medicare"/>
    <d v="2026-06-20T00:00:00"/>
    <d v="2026-07-09T00:00:00"/>
    <n v="8875"/>
    <n v="7483.45"/>
    <s v="Paid"/>
    <x v="1"/>
    <s v="Amit V"/>
    <n v="98"/>
    <s v="90+"/>
    <n v="0"/>
    <s v="Manish Arora"/>
    <n v="0"/>
  </r>
  <r>
    <s v="C20270"/>
    <s v="P-1121"/>
    <s v="Apex Ortho Center"/>
    <s v="UnitedHealthcare"/>
    <d v="2026-04-08T00:00:00"/>
    <d v="2026-04-19T00:00:00"/>
    <n v="11850"/>
    <n v="8292.6"/>
    <s v="Paid"/>
    <x v="1"/>
    <s v="Kavita D"/>
    <n v="179"/>
    <s v="90+"/>
    <n v="0"/>
    <s v="Deepak Nair"/>
    <n v="0"/>
  </r>
  <r>
    <s v="C20271"/>
    <s v="P-1378"/>
    <s v="Sunrise Hospital"/>
    <s v="Cigna"/>
    <d v="2026-05-08T00:00:00"/>
    <d v="2026-05-11T00:00:00"/>
    <n v="5000"/>
    <n v="3896.85"/>
    <s v="Paid"/>
    <x v="1"/>
    <s v="Neha G"/>
    <n v="157"/>
    <s v="90+"/>
    <n v="0"/>
    <s v="Manish Arora"/>
    <n v="0"/>
  </r>
  <r>
    <s v="C20272"/>
    <s v="P-1257"/>
    <s v="Sunrise Hospital"/>
    <s v="Aetna"/>
    <d v="2026-09-29T00:00:00"/>
    <d v="2026-10-04T00:00:00"/>
    <n v="2300"/>
    <m/>
    <s v="Pending"/>
    <x v="1"/>
    <s v="Rahul S"/>
    <n v="11"/>
    <s v="0-30"/>
    <n v="2300"/>
    <s v="Manish Arora"/>
    <n v="0"/>
  </r>
  <r>
    <s v="C20273"/>
    <s v="P-1427"/>
    <s v="Green Valley Health"/>
    <s v="Self Pay"/>
    <d v="2026-07-12T00:00:00"/>
    <d v="2026-08-01T00:00:00"/>
    <n v="3825"/>
    <n v="3671.82"/>
    <s v="Paid"/>
    <x v="1"/>
    <s v="Vikas R"/>
    <n v="75"/>
    <s v="61-90"/>
    <n v="0"/>
    <s v="Sunita Rao"/>
    <n v="0"/>
  </r>
  <r>
    <s v="C20274"/>
    <s v="P-1379"/>
    <s v="City Care Clinic"/>
    <s v="Aetna"/>
    <d v="2026-04-17T00:00:00"/>
    <d v="2026-04-30T00:00:00"/>
    <n v="5575"/>
    <n v="4554.6899999999996"/>
    <s v="Paid"/>
    <x v="1"/>
    <s v="Rahul S"/>
    <n v="168"/>
    <s v="90+"/>
    <n v="0"/>
    <s v="Manish Arora"/>
    <n v="0"/>
  </r>
  <r>
    <s v="C20275"/>
    <s v="P-1073"/>
    <s v="City Care Clinic"/>
    <s v="Medicare"/>
    <d v="2026-01-09T00:00:00"/>
    <d v="2026-01-27T00:00:00"/>
    <n v="1125"/>
    <n v="1081.73"/>
    <s v="Paid"/>
    <x v="1"/>
    <s v="Anjali T"/>
    <n v="261"/>
    <s v="90+"/>
    <n v="0"/>
    <s v="Deepak Nair"/>
    <n v="0"/>
  </r>
  <r>
    <s v="C20276"/>
    <s v="P-1163"/>
    <s v="City Care Clinic"/>
    <s v="Medicare"/>
    <d v="2026-04-13T00:00:00"/>
    <d v="2026-04-26T00:00:00"/>
    <n v="9050"/>
    <n v="8250.07"/>
    <s v="Paid"/>
    <x v="1"/>
    <s v="Amit V"/>
    <n v="172"/>
    <s v="90+"/>
    <n v="0"/>
    <s v="Manish Arora"/>
    <n v="0"/>
  </r>
  <r>
    <s v="C20277"/>
    <s v="P-1480"/>
    <s v="City Care Clinic"/>
    <s v="Self Pay"/>
    <d v="2026-04-15T00:00:00"/>
    <d v="2026-05-02T00:00:00"/>
    <n v="9700"/>
    <n v="6526.66"/>
    <s v="Paid"/>
    <x v="1"/>
    <s v="Pooja M"/>
    <n v="166"/>
    <s v="90+"/>
    <n v="0"/>
    <s v="Sunita Rao"/>
    <n v="0"/>
  </r>
  <r>
    <s v="C20278"/>
    <s v="P-1267"/>
    <s v="Green Valley Health"/>
    <s v="Blue Cross"/>
    <d v="2026-01-20T00:00:00"/>
    <d v="2026-01-26T00:00:00"/>
    <n v="8150"/>
    <n v="5486.97"/>
    <s v="Paid"/>
    <x v="1"/>
    <s v="Rohit B"/>
    <n v="262"/>
    <s v="90+"/>
    <n v="0"/>
    <s v="Deepak Nair"/>
    <n v="0"/>
  </r>
  <r>
    <s v="C20279"/>
    <s v="P-1499"/>
    <s v="Sunrise Hospital"/>
    <s v="Medicare"/>
    <d v="2026-05-10T00:00:00"/>
    <d v="2026-05-15T00:00:00"/>
    <n v="2375"/>
    <n v="2291.2800000000002"/>
    <s v="Paid"/>
    <x v="1"/>
    <s v="Pooja M"/>
    <n v="153"/>
    <s v="90+"/>
    <n v="0"/>
    <s v="Sunita Rao"/>
    <n v="0"/>
  </r>
  <r>
    <s v="C20280"/>
    <s v="P-1308"/>
    <s v="Green Valley Health"/>
    <s v="Aetna"/>
    <d v="2026-02-11T00:00:00"/>
    <d v="2026-02-23T00:00:00"/>
    <n v="12675"/>
    <n v="0"/>
    <s v="Denied"/>
    <x v="2"/>
    <s v="Neha G"/>
    <n v="234"/>
    <s v="90+"/>
    <n v="0"/>
    <s v="Manish Arora"/>
    <n v="12675"/>
  </r>
  <r>
    <s v="C20281"/>
    <s v="P-1144"/>
    <s v="Sunrise Hospital"/>
    <s v="Medicare"/>
    <d v="2026-02-27T00:00:00"/>
    <d v="2026-03-17T00:00:00"/>
    <n v="925"/>
    <n v="734.92"/>
    <s v="Paid"/>
    <x v="1"/>
    <s v="Vikas R"/>
    <n v="212"/>
    <s v="90+"/>
    <n v="0"/>
    <s v="Sunita Rao"/>
    <n v="0"/>
  </r>
  <r>
    <s v="C20282"/>
    <s v="P-1334"/>
    <s v="City Care Clinic"/>
    <s v="Aetna"/>
    <d v="2026-04-16T00:00:00"/>
    <d v="2026-04-19T00:00:00"/>
    <n v="900"/>
    <n v="697.17"/>
    <s v="Paid"/>
    <x v="1"/>
    <s v="Amit V"/>
    <n v="179"/>
    <s v="90+"/>
    <n v="0"/>
    <s v="Manish Arora"/>
    <n v="0"/>
  </r>
  <r>
    <s v="C20283"/>
    <s v="P-1316"/>
    <s v="Apex Ortho Center"/>
    <s v="Cigna"/>
    <d v="2026-06-22T00:00:00"/>
    <d v="2026-06-25T00:00:00"/>
    <n v="4550"/>
    <n v="3036.04"/>
    <s v="Paid"/>
    <x v="1"/>
    <s v="Sandeep Y"/>
    <n v="112"/>
    <s v="90+"/>
    <n v="0"/>
    <s v="Sunita Rao"/>
    <n v="0"/>
  </r>
  <r>
    <s v="C20284"/>
    <s v="P-1219"/>
    <s v="Green Valley Health"/>
    <s v="Medicaid"/>
    <d v="2026-06-04T00:00:00"/>
    <d v="2026-06-12T00:00:00"/>
    <n v="9425"/>
    <n v="7780.95"/>
    <s v="Paid"/>
    <x v="1"/>
    <s v="Anjali T"/>
    <n v="125"/>
    <s v="90+"/>
    <n v="0"/>
    <s v="Deepak Nair"/>
    <n v="0"/>
  </r>
  <r>
    <s v="C20285"/>
    <s v="P-1087"/>
    <s v="Apex Ortho Center"/>
    <s v="Medicaid"/>
    <d v="2026-04-22T00:00:00"/>
    <d v="2026-04-30T00:00:00"/>
    <n v="12275"/>
    <n v="0"/>
    <s v="Denied"/>
    <x v="6"/>
    <s v="Kavita D"/>
    <n v="168"/>
    <s v="90+"/>
    <n v="0"/>
    <s v="Deepak Nair"/>
    <n v="12275"/>
  </r>
  <r>
    <s v="C20286"/>
    <s v="P-1177"/>
    <s v="Green Valley Health"/>
    <s v="UnitedHealthcare"/>
    <d v="2026-07-18T00:00:00"/>
    <d v="2026-07-26T00:00:00"/>
    <n v="8975"/>
    <n v="7712.1"/>
    <s v="Paid"/>
    <x v="1"/>
    <s v="Anjali T"/>
    <n v="81"/>
    <s v="61-90"/>
    <n v="0"/>
    <s v="Deepak Nair"/>
    <n v="0"/>
  </r>
  <r>
    <s v="C20287"/>
    <s v="P-1205"/>
    <s v="Apex Ortho Center"/>
    <s v="UnitedHealthcare"/>
    <d v="2026-09-06T00:00:00"/>
    <d v="2026-09-21T00:00:00"/>
    <n v="325"/>
    <m/>
    <s v="Pending"/>
    <x v="1"/>
    <s v="Kavita D"/>
    <n v="24"/>
    <s v="0-30"/>
    <n v="325"/>
    <s v="Deepak Nair"/>
    <n v="0"/>
  </r>
  <r>
    <s v="C20288"/>
    <s v="P-1073"/>
    <s v="City Care Clinic"/>
    <s v="Medicaid"/>
    <d v="2026-08-21T00:00:00"/>
    <d v="2026-08-25T00:00:00"/>
    <n v="2600"/>
    <n v="1502.24"/>
    <s v="Paid"/>
    <x v="1"/>
    <s v="Anjali T"/>
    <n v="51"/>
    <s v="31-60"/>
    <n v="0"/>
    <s v="Deepak Nair"/>
    <n v="0"/>
  </r>
  <r>
    <s v="C20289"/>
    <s v="P-1408"/>
    <s v="City Care Clinic"/>
    <s v="Medicaid"/>
    <d v="2026-01-21T00:00:00"/>
    <d v="2026-01-26T00:00:00"/>
    <n v="7450"/>
    <n v="6876.93"/>
    <s v="Paid"/>
    <x v="1"/>
    <s v="Rohit B"/>
    <n v="262"/>
    <s v="90+"/>
    <n v="0"/>
    <s v="Deepak Nair"/>
    <n v="0"/>
  </r>
  <r>
    <s v="C20290"/>
    <s v="P-1246"/>
    <s v="Sunrise Hospital"/>
    <s v="Medicaid"/>
    <d v="2026-02-06T00:00:00"/>
    <d v="2026-02-22T00:00:00"/>
    <n v="9325"/>
    <n v="0"/>
    <s v="Denied"/>
    <x v="2"/>
    <s v="Rohit B"/>
    <n v="235"/>
    <s v="90+"/>
    <n v="0"/>
    <s v="Deepak Nair"/>
    <n v="9325"/>
  </r>
  <r>
    <s v="C20291"/>
    <s v="P-1353"/>
    <s v="Green Valley Health"/>
    <s v="Blue Cross"/>
    <d v="2026-09-02T00:00:00"/>
    <d v="2026-09-15T00:00:00"/>
    <n v="5325"/>
    <m/>
    <s v="Pending"/>
    <x v="1"/>
    <s v="Amit V"/>
    <n v="30"/>
    <s v="0-30"/>
    <n v="5325"/>
    <s v="Manish Arora"/>
    <n v="0"/>
  </r>
  <r>
    <s v="C20292"/>
    <s v="P-1090"/>
    <s v="City Care Clinic"/>
    <s v="Blue Cross"/>
    <d v="2026-04-26T00:00:00"/>
    <d v="2026-05-07T00:00:00"/>
    <n v="7900"/>
    <m/>
    <s v="Pending"/>
    <x v="1"/>
    <s v="Sandeep Y"/>
    <n v="161"/>
    <s v="90+"/>
    <n v="7900"/>
    <s v="Sunita Rao"/>
    <n v="0"/>
  </r>
  <r>
    <s v="C20293"/>
    <s v="P-1336"/>
    <s v="Apex Ortho Center"/>
    <s v="Aetna"/>
    <d v="2026-05-01T00:00:00"/>
    <d v="2026-05-05T00:00:00"/>
    <n v="875"/>
    <m/>
    <s v="Pending"/>
    <x v="1"/>
    <s v="Kavita D"/>
    <n v="163"/>
    <s v="90+"/>
    <n v="875"/>
    <s v="Deepak Nair"/>
    <n v="0"/>
  </r>
  <r>
    <s v="C20294"/>
    <s v="P-1159"/>
    <s v="Apex Ortho Center"/>
    <s v="Medicare"/>
    <d v="2026-07-19T00:00:00"/>
    <d v="2026-07-24T00:00:00"/>
    <n v="4375"/>
    <n v="0"/>
    <s v="Denied"/>
    <x v="4"/>
    <s v="Sandeep Y"/>
    <n v="83"/>
    <s v="61-90"/>
    <n v="0"/>
    <s v="Sunita Rao"/>
    <n v="4375"/>
  </r>
  <r>
    <s v="C20295"/>
    <s v="P-1393"/>
    <s v="Green Valley Health"/>
    <s v="Blue Cross"/>
    <d v="2026-03-02T00:00:00"/>
    <d v="2026-03-06T00:00:00"/>
    <n v="11450"/>
    <m/>
    <s v="Pending"/>
    <x v="1"/>
    <s v="Rahul S"/>
    <n v="223"/>
    <s v="90+"/>
    <n v="11450"/>
    <s v="Manish Arora"/>
    <n v="0"/>
  </r>
  <r>
    <s v="C20296"/>
    <s v="P-1452"/>
    <s v="Sunrise Hospital"/>
    <s v="UnitedHealthcare"/>
    <d v="2026-04-28T00:00:00"/>
    <d v="2026-05-16T00:00:00"/>
    <n v="12875"/>
    <n v="7307.6"/>
    <s v="Paid"/>
    <x v="1"/>
    <s v="Neha G"/>
    <n v="152"/>
    <s v="90+"/>
    <n v="0"/>
    <s v="Manish Arora"/>
    <n v="0"/>
  </r>
  <r>
    <s v="C20297"/>
    <s v="P-1095"/>
    <s v="City Care Clinic"/>
    <s v="Cigna"/>
    <d v="2026-04-23T00:00:00"/>
    <d v="2026-04-29T00:00:00"/>
    <n v="4200"/>
    <n v="2825.74"/>
    <s v="Paid"/>
    <x v="1"/>
    <s v="Priya K"/>
    <n v="169"/>
    <s v="90+"/>
    <n v="0"/>
    <s v="Manish Arora"/>
    <n v="0"/>
  </r>
  <r>
    <s v="C20298"/>
    <s v="P-1148"/>
    <s v="Apex Ortho Center"/>
    <s v="Self Pay"/>
    <d v="2026-06-06T00:00:00"/>
    <d v="2026-06-19T00:00:00"/>
    <n v="1675"/>
    <m/>
    <s v="Pending"/>
    <x v="1"/>
    <s v="Rahul S"/>
    <n v="118"/>
    <s v="90+"/>
    <n v="1675"/>
    <s v="Manish Arora"/>
    <n v="0"/>
  </r>
  <r>
    <s v="C20299"/>
    <s v="P-1049"/>
    <s v="City Care Clinic"/>
    <s v="Aetna"/>
    <d v="2026-06-14T00:00:00"/>
    <d v="2026-06-20T00:00:00"/>
    <n v="7450"/>
    <n v="0"/>
    <s v="Denied"/>
    <x v="7"/>
    <s v="Rohit B"/>
    <n v="117"/>
    <s v="90+"/>
    <n v="0"/>
    <s v="Deepak Nair"/>
    <n v="7450"/>
  </r>
  <r>
    <s v="C20300"/>
    <s v="P-1186"/>
    <s v="Sunrise Hospital"/>
    <s v="Aetna"/>
    <d v="2026-04-26T00:00:00"/>
    <d v="2026-05-08T00:00:00"/>
    <n v="5400"/>
    <m/>
    <s v="Pending"/>
    <x v="1"/>
    <s v="Vikas R"/>
    <n v="160"/>
    <s v="90+"/>
    <n v="5400"/>
    <s v="Sunita Rao"/>
    <n v="0"/>
  </r>
  <r>
    <s v="C20301"/>
    <s v="P-1151"/>
    <s v="Green Valley Health"/>
    <s v="Medicare"/>
    <d v="2026-01-23T00:00:00"/>
    <d v="2026-02-05T00:00:00"/>
    <n v="1625"/>
    <m/>
    <s v="Pending"/>
    <x v="1"/>
    <s v="Neha G"/>
    <n v="252"/>
    <s v="90+"/>
    <n v="1625"/>
    <s v="Manish Arora"/>
    <n v="0"/>
  </r>
  <r>
    <s v="C20302"/>
    <s v="P-1243"/>
    <s v="Green Valley Health"/>
    <s v="Blue Cross"/>
    <d v="2026-08-26T00:00:00"/>
    <d v="2026-08-31T00:00:00"/>
    <n v="3400"/>
    <m/>
    <s v="Pending"/>
    <x v="1"/>
    <s v="Rohit B"/>
    <n v="45"/>
    <s v="31-60"/>
    <n v="3400"/>
    <s v="Deepak Nair"/>
    <n v="0"/>
  </r>
  <r>
    <s v="C20303"/>
    <s v="P-1006"/>
    <s v="City Care Clinic"/>
    <s v="Medicare"/>
    <d v="2026-09-03T00:00:00"/>
    <d v="2026-09-14T00:00:00"/>
    <n v="14150"/>
    <m/>
    <s v="Pending"/>
    <x v="1"/>
    <s v="Rahul S"/>
    <n v="31"/>
    <s v="31-60"/>
    <n v="14150"/>
    <s v="Manish Arora"/>
    <n v="0"/>
  </r>
  <r>
    <s v="C20304"/>
    <s v="P-1403"/>
    <s v="Apex Ortho Center"/>
    <s v="Medicaid"/>
    <d v="2026-03-10T00:00:00"/>
    <d v="2026-03-18T00:00:00"/>
    <n v="14400"/>
    <m/>
    <s v="Pending"/>
    <x v="1"/>
    <s v="Rahul S"/>
    <n v="211"/>
    <s v="90+"/>
    <n v="14400"/>
    <s v="Manish Arora"/>
    <n v="0"/>
  </r>
  <r>
    <s v="C20305"/>
    <s v="P-1488"/>
    <s v="Apex Ortho Center"/>
    <s v="Humana"/>
    <d v="2026-01-13T00:00:00"/>
    <d v="2026-01-30T00:00:00"/>
    <n v="1850"/>
    <n v="1412.81"/>
    <s v="Paid"/>
    <x v="1"/>
    <s v="Rahul S"/>
    <n v="258"/>
    <s v="90+"/>
    <n v="0"/>
    <s v="Manish Arora"/>
    <n v="0"/>
  </r>
  <r>
    <s v="C20306"/>
    <s v="P-1217"/>
    <s v="Green Valley Health"/>
    <s v="UnitedHealthcare"/>
    <d v="2026-02-03T00:00:00"/>
    <d v="2026-02-06T00:00:00"/>
    <n v="7175"/>
    <n v="6750.18"/>
    <s v="Paid"/>
    <x v="1"/>
    <s v="Neha G"/>
    <n v="251"/>
    <s v="90+"/>
    <n v="0"/>
    <s v="Manish Arora"/>
    <n v="0"/>
  </r>
  <r>
    <s v="C20307"/>
    <s v="P-1028"/>
    <s v="Green Valley Health"/>
    <s v="Aetna"/>
    <d v="2026-07-16T00:00:00"/>
    <d v="2026-07-26T00:00:00"/>
    <n v="10750"/>
    <n v="6534.46"/>
    <s v="Paid"/>
    <x v="1"/>
    <s v="Vikas R"/>
    <n v="81"/>
    <s v="61-90"/>
    <n v="0"/>
    <s v="Sunita Rao"/>
    <n v="0"/>
  </r>
  <r>
    <s v="C20308"/>
    <s v="P-1379"/>
    <s v="Green Valley Health"/>
    <s v="Self Pay"/>
    <d v="2026-01-23T00:00:00"/>
    <d v="2026-02-07T00:00:00"/>
    <n v="12275"/>
    <n v="8105.64"/>
    <s v="Paid"/>
    <x v="1"/>
    <s v="Pooja M"/>
    <n v="250"/>
    <s v="90+"/>
    <n v="0"/>
    <s v="Sunita Rao"/>
    <n v="0"/>
  </r>
  <r>
    <s v="C20309"/>
    <s v="P-1295"/>
    <s v="Green Valley Health"/>
    <s v="Cigna"/>
    <d v="2026-02-18T00:00:00"/>
    <d v="2026-03-03T00:00:00"/>
    <n v="8075"/>
    <n v="0"/>
    <s v="Denied"/>
    <x v="5"/>
    <s v="Neha G"/>
    <n v="226"/>
    <s v="90+"/>
    <n v="0"/>
    <s v="Manish Arora"/>
    <n v="8075"/>
  </r>
  <r>
    <s v="C20310"/>
    <s v="P-1223"/>
    <s v="Sunrise Hospital"/>
    <s v="Aetna"/>
    <d v="2026-05-08T00:00:00"/>
    <d v="2026-05-12T00:00:00"/>
    <n v="2650"/>
    <n v="1893.71"/>
    <s v="Paid"/>
    <x v="1"/>
    <s v="Pooja M"/>
    <n v="156"/>
    <s v="90+"/>
    <n v="0"/>
    <s v="Sunita Rao"/>
    <n v="0"/>
  </r>
  <r>
    <s v="C20311"/>
    <s v="P-1318"/>
    <s v="City Care Clinic"/>
    <s v="Aetna"/>
    <d v="2026-04-16T00:00:00"/>
    <d v="2026-04-19T00:00:00"/>
    <n v="10825"/>
    <m/>
    <s v="Pending"/>
    <x v="1"/>
    <s v="Anjali T"/>
    <n v="179"/>
    <s v="90+"/>
    <n v="10825"/>
    <s v="Deepak Nair"/>
    <n v="0"/>
  </r>
  <r>
    <s v="C20312"/>
    <s v="P-1402"/>
    <s v="Green Valley Health"/>
    <s v="Humana"/>
    <d v="2026-08-06T00:00:00"/>
    <d v="2026-08-21T00:00:00"/>
    <n v="13200"/>
    <m/>
    <s v="Pending"/>
    <x v="1"/>
    <s v="Priya K"/>
    <n v="55"/>
    <s v="31-60"/>
    <n v="13200"/>
    <s v="Manish Arora"/>
    <n v="0"/>
  </r>
  <r>
    <s v="C20313"/>
    <s v="P-1342"/>
    <s v="Green Valley Health"/>
    <s v="Aetna"/>
    <d v="2026-04-15T00:00:00"/>
    <d v="2026-04-27T00:00:00"/>
    <n v="6150"/>
    <n v="0"/>
    <s v="Denied"/>
    <x v="5"/>
    <s v="Sandeep Y"/>
    <n v="171"/>
    <s v="90+"/>
    <n v="0"/>
    <s v="Sunita Rao"/>
    <n v="6150"/>
  </r>
  <r>
    <s v="C20314"/>
    <s v="P-1200"/>
    <s v="City Care Clinic"/>
    <s v="Blue Cross"/>
    <d v="2026-04-21T00:00:00"/>
    <d v="2026-04-26T00:00:00"/>
    <n v="14100"/>
    <n v="11328.98"/>
    <s v="Paid"/>
    <x v="1"/>
    <s v="Pooja M"/>
    <n v="172"/>
    <s v="90+"/>
    <n v="0"/>
    <s v="Sunita Rao"/>
    <n v="0"/>
  </r>
  <r>
    <s v="C20315"/>
    <s v="P-1113"/>
    <s v="Green Valley Health"/>
    <s v="Medicaid"/>
    <d v="2026-07-27T00:00:00"/>
    <d v="2026-08-07T00:00:00"/>
    <n v="2600"/>
    <m/>
    <s v="Pending"/>
    <x v="1"/>
    <s v="Neha G"/>
    <n v="69"/>
    <s v="61-90"/>
    <n v="2600"/>
    <s v="Manish Arora"/>
    <n v="0"/>
  </r>
  <r>
    <s v="C20316"/>
    <s v="P-1420"/>
    <s v="Sunrise Hospital"/>
    <s v="Blue Cross"/>
    <d v="2026-08-07T00:00:00"/>
    <d v="2026-08-11T00:00:00"/>
    <n v="13050"/>
    <m/>
    <s v="Pending"/>
    <x v="1"/>
    <s v="Vikas R"/>
    <n v="65"/>
    <s v="61-90"/>
    <n v="13050"/>
    <s v="Sunita Rao"/>
    <n v="0"/>
  </r>
  <r>
    <s v="C20317"/>
    <s v="P-1287"/>
    <s v="Green Valley Health"/>
    <s v="UnitedHealthcare"/>
    <d v="2026-01-22T00:00:00"/>
    <d v="2026-02-04T00:00:00"/>
    <n v="9625"/>
    <n v="8348.2199999999993"/>
    <s v="Paid"/>
    <x v="1"/>
    <s v="Rahul S"/>
    <n v="253"/>
    <s v="90+"/>
    <n v="0"/>
    <s v="Manish Arora"/>
    <n v="0"/>
  </r>
  <r>
    <s v="C20318"/>
    <s v="P-1140"/>
    <s v="Apex Ortho Center"/>
    <s v="UnitedHealthcare"/>
    <d v="2026-02-26T00:00:00"/>
    <d v="2026-03-11T00:00:00"/>
    <n v="13325"/>
    <m/>
    <s v="Pending"/>
    <x v="1"/>
    <s v="Anjali T"/>
    <n v="218"/>
    <s v="90+"/>
    <n v="13325"/>
    <s v="Deepak Nair"/>
    <n v="0"/>
  </r>
  <r>
    <s v="C20319"/>
    <s v="P-1215"/>
    <s v="Sunrise Hospital"/>
    <s v="Medicare"/>
    <d v="2026-06-09T00:00:00"/>
    <d v="2026-06-17T00:00:00"/>
    <n v="12950"/>
    <n v="11819.63"/>
    <s v="Paid"/>
    <x v="1"/>
    <s v="Rahul S"/>
    <n v="120"/>
    <s v="90+"/>
    <n v="0"/>
    <s v="Manish Arora"/>
    <n v="0"/>
  </r>
  <r>
    <s v="C20320"/>
    <s v="P-1225"/>
    <s v="City Care Clinic"/>
    <s v="Humana"/>
    <d v="2026-08-07T00:00:00"/>
    <d v="2026-08-24T00:00:00"/>
    <n v="13850"/>
    <m/>
    <s v="Pending"/>
    <x v="1"/>
    <s v="Pooja M"/>
    <n v="52"/>
    <s v="31-60"/>
    <n v="13850"/>
    <s v="Sunita Rao"/>
    <n v="0"/>
  </r>
  <r>
    <s v="C20321"/>
    <s v="P-1186"/>
    <s v="Sunrise Hospital"/>
    <s v="Aetna"/>
    <d v="2026-08-06T00:00:00"/>
    <d v="2026-08-10T00:00:00"/>
    <n v="2225"/>
    <n v="1392.15"/>
    <s v="Paid"/>
    <x v="1"/>
    <s v="Sandeep Y"/>
    <n v="66"/>
    <s v="61-90"/>
    <n v="0"/>
    <s v="Sunita Rao"/>
    <n v="0"/>
  </r>
  <r>
    <s v="C20322"/>
    <s v="P-1207"/>
    <s v="Sunrise Hospital"/>
    <s v="Blue Cross"/>
    <d v="2026-03-02T00:00:00"/>
    <d v="2026-03-16T00:00:00"/>
    <n v="14050"/>
    <n v="10242.68"/>
    <s v="Paid"/>
    <x v="1"/>
    <s v="Kavita D"/>
    <n v="213"/>
    <s v="90+"/>
    <n v="0"/>
    <s v="Deepak Nair"/>
    <n v="0"/>
  </r>
  <r>
    <s v="C20323"/>
    <s v="P-1013"/>
    <s v="Sunrise Hospital"/>
    <s v="Medicaid"/>
    <d v="2026-04-29T00:00:00"/>
    <d v="2026-05-08T00:00:00"/>
    <n v="4850"/>
    <n v="0"/>
    <s v="Denied"/>
    <x v="2"/>
    <s v="Anjali T"/>
    <n v="160"/>
    <s v="90+"/>
    <n v="0"/>
    <s v="Deepak Nair"/>
    <n v="4850"/>
  </r>
  <r>
    <s v="C20324"/>
    <s v="P-1108"/>
    <s v="Apex Ortho Center"/>
    <s v="Cigna"/>
    <d v="2026-01-27T00:00:00"/>
    <d v="2026-01-30T00:00:00"/>
    <n v="7750"/>
    <m/>
    <s v="Pending"/>
    <x v="1"/>
    <s v="Pooja M"/>
    <n v="258"/>
    <s v="90+"/>
    <n v="7750"/>
    <s v="Sunita Rao"/>
    <n v="0"/>
  </r>
  <r>
    <s v="C20325"/>
    <s v="P-1144"/>
    <s v="Apex Ortho Center"/>
    <s v="Medicaid"/>
    <d v="2026-04-04T00:00:00"/>
    <d v="2026-04-22T00:00:00"/>
    <n v="8325"/>
    <n v="0"/>
    <s v="Denied"/>
    <x v="5"/>
    <s v="Neha G"/>
    <n v="176"/>
    <s v="90+"/>
    <n v="0"/>
    <s v="Manish Arora"/>
    <n v="8325"/>
  </r>
  <r>
    <s v="C20326"/>
    <s v="P-1093"/>
    <s v="Sunrise Hospital"/>
    <s v="Aetna"/>
    <d v="2026-06-06T00:00:00"/>
    <d v="2026-06-13T00:00:00"/>
    <n v="9025"/>
    <n v="0"/>
    <s v="Denied"/>
    <x v="7"/>
    <s v="Kavita D"/>
    <n v="124"/>
    <s v="90+"/>
    <n v="0"/>
    <s v="Deepak Nair"/>
    <n v="9025"/>
  </r>
  <r>
    <s v="C20327"/>
    <s v="P-1115"/>
    <s v="Green Valley Health"/>
    <s v="Aetna"/>
    <d v="2026-06-19T00:00:00"/>
    <d v="2026-06-28T00:00:00"/>
    <n v="8450"/>
    <m/>
    <s v="Pending"/>
    <x v="1"/>
    <s v="Neha G"/>
    <n v="109"/>
    <s v="90+"/>
    <n v="8450"/>
    <s v="Manish Arora"/>
    <n v="0"/>
  </r>
  <r>
    <s v="C20328"/>
    <s v="P-1348"/>
    <s v="City Care Clinic"/>
    <s v="Medicare"/>
    <d v="2026-09-06T00:00:00"/>
    <d v="2026-09-10T00:00:00"/>
    <n v="1900"/>
    <m/>
    <s v="Pending"/>
    <x v="1"/>
    <s v="Rahul S"/>
    <n v="35"/>
    <s v="31-60"/>
    <n v="1900"/>
    <s v="Manish Arora"/>
    <n v="0"/>
  </r>
  <r>
    <s v="C20329"/>
    <s v="P-1032"/>
    <s v="City Care Clinic"/>
    <s v="Aetna"/>
    <d v="2026-06-12T00:00:00"/>
    <d v="2026-06-30T00:00:00"/>
    <n v="13950"/>
    <m/>
    <s v="Pending"/>
    <x v="1"/>
    <s v="Kavita D"/>
    <n v="107"/>
    <s v="90+"/>
    <n v="13950"/>
    <s v="Deepak Nair"/>
    <n v="0"/>
  </r>
  <r>
    <s v="C20330"/>
    <s v="P-1027"/>
    <s v="Green Valley Health"/>
    <s v="Blue Cross"/>
    <d v="2026-03-12T00:00:00"/>
    <d v="2026-04-01T00:00:00"/>
    <n v="7275"/>
    <n v="6222.99"/>
    <s v="Paid"/>
    <x v="1"/>
    <s v="Neha G"/>
    <n v="197"/>
    <s v="90+"/>
    <n v="0"/>
    <s v="Manish Arora"/>
    <n v="0"/>
  </r>
  <r>
    <s v="C20331"/>
    <s v="P-1133"/>
    <s v="City Care Clinic"/>
    <s v="Medicare"/>
    <d v="2025-12-28T00:00:00"/>
    <d v="2026-01-11T00:00:00"/>
    <n v="6675"/>
    <n v="4548.84"/>
    <s v="Paid"/>
    <x v="1"/>
    <s v="Sandeep Y"/>
    <n v="277"/>
    <s v="90+"/>
    <n v="0"/>
    <s v="Sunita Rao"/>
    <n v="0"/>
  </r>
  <r>
    <s v="C20332"/>
    <s v="P-1346"/>
    <s v="Sunrise Hospital"/>
    <s v="Medicaid"/>
    <d v="2026-07-25T00:00:00"/>
    <d v="2026-08-02T00:00:00"/>
    <n v="7175"/>
    <n v="4256.97"/>
    <s v="Paid"/>
    <x v="1"/>
    <s v="Kavita D"/>
    <n v="74"/>
    <s v="61-90"/>
    <n v="0"/>
    <s v="Deepak Nair"/>
    <n v="0"/>
  </r>
  <r>
    <s v="C20333"/>
    <s v="P-1239"/>
    <s v="Green Valley Health"/>
    <s v="UnitedHealthcare"/>
    <d v="2026-07-28T00:00:00"/>
    <d v="2026-08-16T00:00:00"/>
    <n v="6550"/>
    <n v="5088.4399999999996"/>
    <s v="Paid"/>
    <x v="1"/>
    <s v="Rohit B"/>
    <n v="60"/>
    <s v="31-60"/>
    <n v="0"/>
    <s v="Deepak Nair"/>
    <n v="0"/>
  </r>
  <r>
    <s v="C20334"/>
    <s v="P-1020"/>
    <s v="Green Valley Health"/>
    <s v="Medicaid"/>
    <d v="2026-04-13T00:00:00"/>
    <d v="2026-04-25T00:00:00"/>
    <n v="850"/>
    <n v="715.33"/>
    <s v="Paid"/>
    <x v="1"/>
    <s v="Neha G"/>
    <n v="173"/>
    <s v="90+"/>
    <n v="0"/>
    <s v="Manish Arora"/>
    <n v="0"/>
  </r>
  <r>
    <s v="C20335"/>
    <s v="P-1203"/>
    <s v="Sunrise Hospital"/>
    <s v="Humana"/>
    <d v="2026-06-18T00:00:00"/>
    <d v="2026-07-08T00:00:00"/>
    <n v="12125"/>
    <n v="9149.31"/>
    <s v="Paid"/>
    <x v="1"/>
    <s v="Neha G"/>
    <n v="99"/>
    <s v="90+"/>
    <n v="0"/>
    <s v="Manish Arora"/>
    <n v="0"/>
  </r>
  <r>
    <s v="C20336"/>
    <s v="P-1284"/>
    <s v="Apex Ortho Center"/>
    <s v="Medicare"/>
    <d v="2026-02-02T00:00:00"/>
    <d v="2026-02-08T00:00:00"/>
    <n v="6600"/>
    <n v="4897.03"/>
    <s v="Paid"/>
    <x v="1"/>
    <s v="Sandeep Y"/>
    <n v="249"/>
    <s v="90+"/>
    <n v="0"/>
    <s v="Sunita Rao"/>
    <n v="0"/>
  </r>
  <r>
    <s v="C20337"/>
    <s v="P-1057"/>
    <s v="City Care Clinic"/>
    <s v="Blue Cross"/>
    <d v="2026-09-08T00:00:00"/>
    <d v="2026-09-22T00:00:00"/>
    <n v="2225"/>
    <m/>
    <s v="Pending"/>
    <x v="1"/>
    <s v="Vikas R"/>
    <n v="23"/>
    <s v="0-30"/>
    <n v="2225"/>
    <s v="Sunita Rao"/>
    <n v="0"/>
  </r>
  <r>
    <s v="C20338"/>
    <s v="P-1458"/>
    <s v="Green Valley Health"/>
    <s v="UnitedHealthcare"/>
    <d v="2026-02-09T00:00:00"/>
    <d v="2026-02-26T00:00:00"/>
    <n v="14675"/>
    <m/>
    <s v="Pending"/>
    <x v="1"/>
    <s v="Rohit B"/>
    <n v="231"/>
    <s v="90+"/>
    <n v="14675"/>
    <s v="Deepak Nair"/>
    <n v="0"/>
  </r>
  <r>
    <s v="C20339"/>
    <s v="P-1110"/>
    <s v="Green Valley Health"/>
    <s v="Cigna"/>
    <d v="2026-01-21T00:00:00"/>
    <d v="2026-01-29T00:00:00"/>
    <n v="2050"/>
    <n v="0"/>
    <s v="Denied"/>
    <x v="5"/>
    <s v="Pooja M"/>
    <n v="259"/>
    <s v="90+"/>
    <n v="0"/>
    <s v="Sunita Rao"/>
    <n v="2050"/>
  </r>
  <r>
    <s v="C20340"/>
    <s v="P-1124"/>
    <s v="Apex Ortho Center"/>
    <s v="Medicaid"/>
    <d v="2026-01-07T00:00:00"/>
    <d v="2026-01-10T00:00:00"/>
    <n v="5925"/>
    <n v="0"/>
    <s v="Denied"/>
    <x v="2"/>
    <s v="Rohit B"/>
    <n v="278"/>
    <s v="90+"/>
    <n v="0"/>
    <s v="Deepak Nair"/>
    <n v="5925"/>
  </r>
  <r>
    <s v="C20341"/>
    <s v="P-1416"/>
    <s v="Sunrise Hospital"/>
    <s v="Blue Cross"/>
    <d v="2026-09-19T00:00:00"/>
    <d v="2026-09-25T00:00:00"/>
    <n v="5000"/>
    <m/>
    <s v="Pending"/>
    <x v="1"/>
    <s v="Rahul S"/>
    <n v="20"/>
    <s v="0-30"/>
    <n v="5000"/>
    <s v="Manish Arora"/>
    <n v="0"/>
  </r>
  <r>
    <s v="C20342"/>
    <s v="P-1453"/>
    <s v="Green Valley Health"/>
    <s v="Cigna"/>
    <d v="2026-06-22T00:00:00"/>
    <d v="2026-06-26T00:00:00"/>
    <n v="3875"/>
    <n v="3422"/>
    <s v="Paid"/>
    <x v="1"/>
    <s v="Pooja M"/>
    <n v="111"/>
    <s v="90+"/>
    <n v="0"/>
    <s v="Sunita Rao"/>
    <n v="0"/>
  </r>
  <r>
    <s v="C20343"/>
    <s v="P-1022"/>
    <s v="Apex Ortho Center"/>
    <s v="Aetna"/>
    <d v="2026-05-05T00:00:00"/>
    <d v="2026-05-13T00:00:00"/>
    <n v="8475"/>
    <n v="8228.35"/>
    <s v="Paid"/>
    <x v="1"/>
    <s v="Sandeep Y"/>
    <n v="155"/>
    <s v="90+"/>
    <n v="0"/>
    <s v="Sunita Rao"/>
    <n v="0"/>
  </r>
  <r>
    <s v="C20344"/>
    <s v="P-1142"/>
    <s v="Apex Ortho Center"/>
    <s v="Humana"/>
    <d v="2026-07-10T00:00:00"/>
    <d v="2026-07-18T00:00:00"/>
    <n v="10925"/>
    <n v="0"/>
    <s v="Denied"/>
    <x v="0"/>
    <s v="Priya K"/>
    <n v="89"/>
    <s v="61-90"/>
    <n v="0"/>
    <s v="Manish Arora"/>
    <n v="10925"/>
  </r>
  <r>
    <s v="C20345"/>
    <s v="P-1340"/>
    <s v="City Care Clinic"/>
    <s v="Self Pay"/>
    <d v="2026-01-23T00:00:00"/>
    <d v="2026-02-03T00:00:00"/>
    <n v="5050"/>
    <n v="4904.1000000000004"/>
    <s v="Paid"/>
    <x v="1"/>
    <s v="Vikas R"/>
    <n v="254"/>
    <s v="90+"/>
    <n v="0"/>
    <s v="Sunita Rao"/>
    <n v="0"/>
  </r>
  <r>
    <s v="C20346"/>
    <s v="P-1271"/>
    <s v="Apex Ortho Center"/>
    <s v="Medicare"/>
    <d v="2026-05-26T00:00:00"/>
    <d v="2026-06-13T00:00:00"/>
    <n v="475"/>
    <n v="343.34"/>
    <s v="Paid"/>
    <x v="1"/>
    <s v="Rahul S"/>
    <n v="124"/>
    <s v="90+"/>
    <n v="0"/>
    <s v="Manish Arora"/>
    <n v="0"/>
  </r>
  <r>
    <s v="C20347"/>
    <s v="P-1468"/>
    <s v="Sunrise Hospital"/>
    <s v="Medicare"/>
    <d v="2026-06-20T00:00:00"/>
    <d v="2026-07-04T00:00:00"/>
    <n v="14550"/>
    <n v="11881.87"/>
    <s v="Paid"/>
    <x v="1"/>
    <s v="Rahul S"/>
    <n v="103"/>
    <s v="90+"/>
    <n v="0"/>
    <s v="Manish Arora"/>
    <n v="0"/>
  </r>
  <r>
    <s v="C20348"/>
    <s v="P-1442"/>
    <s v="City Care Clinic"/>
    <s v="Medicare"/>
    <d v="2026-09-03T00:00:00"/>
    <d v="2026-09-13T00:00:00"/>
    <n v="11775"/>
    <n v="6890.19"/>
    <s v="Paid"/>
    <x v="1"/>
    <s v="Vikas R"/>
    <n v="32"/>
    <s v="31-60"/>
    <n v="0"/>
    <s v="Sunita Rao"/>
    <n v="0"/>
  </r>
  <r>
    <s v="C20349"/>
    <s v="P-1381"/>
    <s v="Sunrise Hospital"/>
    <s v="Blue Cross"/>
    <d v="2026-08-18T00:00:00"/>
    <d v="2026-08-28T00:00:00"/>
    <n v="11450"/>
    <m/>
    <s v="Pending"/>
    <x v="1"/>
    <s v="Rahul S"/>
    <n v="48"/>
    <s v="31-60"/>
    <n v="11450"/>
    <s v="Manish Arora"/>
    <n v="0"/>
  </r>
  <r>
    <s v="C20350"/>
    <s v="P-1123"/>
    <s v="Green Valley Health"/>
    <s v="Medicare"/>
    <d v="2026-06-24T00:00:00"/>
    <d v="2026-06-29T00:00:00"/>
    <n v="4075"/>
    <n v="3884.73"/>
    <s v="Paid"/>
    <x v="1"/>
    <s v="Rahul S"/>
    <n v="108"/>
    <s v="90+"/>
    <n v="0"/>
    <s v="Manish Arora"/>
    <n v="0"/>
  </r>
  <r>
    <s v="C20351"/>
    <s v="P-1230"/>
    <s v="City Care Clinic"/>
    <s v="Aetna"/>
    <d v="2026-02-28T00:00:00"/>
    <d v="2026-03-13T00:00:00"/>
    <n v="1250"/>
    <n v="788.72"/>
    <s v="Paid"/>
    <x v="1"/>
    <s v="Priya K"/>
    <n v="216"/>
    <s v="90+"/>
    <n v="0"/>
    <s v="Manish Arora"/>
    <n v="0"/>
  </r>
  <r>
    <s v="C20352"/>
    <s v="P-1076"/>
    <s v="Green Valley Health"/>
    <s v="UnitedHealthcare"/>
    <d v="2026-09-17T00:00:00"/>
    <d v="2026-09-25T00:00:00"/>
    <n v="2100"/>
    <n v="1509.85"/>
    <s v="Paid"/>
    <x v="1"/>
    <s v="Rohit B"/>
    <n v="20"/>
    <s v="0-30"/>
    <n v="0"/>
    <s v="Deepak Nair"/>
    <n v="0"/>
  </r>
  <r>
    <s v="C20353"/>
    <s v="P-1099"/>
    <s v="Apex Ortho Center"/>
    <s v="Humana"/>
    <d v="2026-02-04T00:00:00"/>
    <d v="2026-02-19T00:00:00"/>
    <n v="425"/>
    <n v="351.38"/>
    <s v="Paid"/>
    <x v="1"/>
    <s v="Vikas R"/>
    <n v="238"/>
    <s v="90+"/>
    <n v="0"/>
    <s v="Sunita Rao"/>
    <n v="0"/>
  </r>
  <r>
    <s v="C20354"/>
    <s v="P-1409"/>
    <s v="Apex Ortho Center"/>
    <s v="Humana"/>
    <d v="2026-07-08T00:00:00"/>
    <d v="2026-07-20T00:00:00"/>
    <n v="14150"/>
    <n v="8804.1299999999992"/>
    <s v="Paid"/>
    <x v="1"/>
    <s v="Priya K"/>
    <n v="87"/>
    <s v="61-90"/>
    <n v="0"/>
    <s v="Manish Arora"/>
    <n v="0"/>
  </r>
  <r>
    <s v="C20355"/>
    <s v="P-1050"/>
    <s v="Sunrise Hospital"/>
    <s v="UnitedHealthcare"/>
    <d v="2026-01-10T00:00:00"/>
    <d v="2026-01-21T00:00:00"/>
    <n v="7575"/>
    <n v="7564.41"/>
    <s v="Paid"/>
    <x v="1"/>
    <s v="Pooja M"/>
    <n v="267"/>
    <s v="90+"/>
    <n v="0"/>
    <s v="Sunita Rao"/>
    <n v="0"/>
  </r>
  <r>
    <s v="C20356"/>
    <s v="P-1379"/>
    <s v="Green Valley Health"/>
    <s v="Blue Cross"/>
    <d v="2026-05-03T00:00:00"/>
    <d v="2026-05-09T00:00:00"/>
    <n v="14550"/>
    <m/>
    <s v="Pending"/>
    <x v="1"/>
    <s v="Pooja M"/>
    <n v="159"/>
    <s v="90+"/>
    <n v="14550"/>
    <s v="Sunita Rao"/>
    <n v="0"/>
  </r>
  <r>
    <s v="C20357"/>
    <s v="P-1206"/>
    <s v="Green Valley Health"/>
    <s v="UnitedHealthcare"/>
    <d v="2026-05-13T00:00:00"/>
    <d v="2026-05-23T00:00:00"/>
    <n v="12650"/>
    <n v="0"/>
    <s v="Denied"/>
    <x v="7"/>
    <s v="Amit V"/>
    <n v="145"/>
    <s v="90+"/>
    <n v="0"/>
    <s v="Manish Arora"/>
    <n v="12650"/>
  </r>
  <r>
    <s v="C20358"/>
    <s v="P-1137"/>
    <s v="Green Valley Health"/>
    <s v="Cigna"/>
    <d v="2026-01-16T00:00:00"/>
    <d v="2026-02-01T00:00:00"/>
    <n v="7450"/>
    <n v="0"/>
    <s v="Denied"/>
    <x v="6"/>
    <s v="Rahul S"/>
    <n v="256"/>
    <s v="90+"/>
    <n v="0"/>
    <s v="Manish Arora"/>
    <n v="7450"/>
  </r>
  <r>
    <s v="C20359"/>
    <s v="P-1134"/>
    <s v="Sunrise Hospital"/>
    <s v="Aetna"/>
    <d v="2026-05-07T00:00:00"/>
    <d v="2026-05-15T00:00:00"/>
    <n v="9650"/>
    <n v="7662.31"/>
    <s v="Paid"/>
    <x v="1"/>
    <s v="Kavita D"/>
    <n v="153"/>
    <s v="90+"/>
    <n v="0"/>
    <s v="Deepak Nair"/>
    <n v="0"/>
  </r>
  <r>
    <s v="C20360"/>
    <s v="P-1140"/>
    <s v="Green Valley Health"/>
    <s v="Self Pay"/>
    <d v="2026-06-20T00:00:00"/>
    <d v="2026-06-23T00:00:00"/>
    <n v="3225"/>
    <n v="2250.08"/>
    <s v="Paid"/>
    <x v="1"/>
    <s v="Rahul S"/>
    <n v="114"/>
    <s v="90+"/>
    <n v="0"/>
    <s v="Manish Arora"/>
    <n v="0"/>
  </r>
  <r>
    <s v="C20361"/>
    <s v="P-1091"/>
    <s v="Green Valley Health"/>
    <s v="Blue Cross"/>
    <d v="2026-01-18T00:00:00"/>
    <d v="2026-02-03T00:00:00"/>
    <n v="6250"/>
    <m/>
    <s v="Pending"/>
    <x v="1"/>
    <s v="Vikas R"/>
    <n v="254"/>
    <s v="90+"/>
    <n v="6250"/>
    <s v="Sunita Rao"/>
    <n v="0"/>
  </r>
  <r>
    <s v="C20362"/>
    <s v="P-1237"/>
    <s v="Sunrise Hospital"/>
    <s v="Humana"/>
    <d v="2026-05-05T00:00:00"/>
    <d v="2026-05-18T00:00:00"/>
    <n v="14675"/>
    <n v="12968.95"/>
    <s v="Paid"/>
    <x v="1"/>
    <s v="Neha G"/>
    <n v="150"/>
    <s v="90+"/>
    <n v="0"/>
    <s v="Manish Arora"/>
    <n v="0"/>
  </r>
  <r>
    <s v="C20363"/>
    <s v="P-1099"/>
    <s v="Apex Ortho Center"/>
    <s v="Self Pay"/>
    <d v="2026-02-26T00:00:00"/>
    <d v="2026-03-06T00:00:00"/>
    <n v="1200"/>
    <n v="0"/>
    <s v="Denied"/>
    <x v="2"/>
    <s v="Rahul S"/>
    <n v="223"/>
    <s v="90+"/>
    <n v="0"/>
    <s v="Manish Arora"/>
    <n v="1200"/>
  </r>
  <r>
    <s v="C20364"/>
    <s v="P-1130"/>
    <s v="Green Valley Health"/>
    <s v="Blue Cross"/>
    <d v="2026-07-03T00:00:00"/>
    <d v="2026-07-09T00:00:00"/>
    <n v="1200"/>
    <n v="798.33"/>
    <s v="Paid"/>
    <x v="1"/>
    <s v="Pooja M"/>
    <n v="98"/>
    <s v="90+"/>
    <n v="0"/>
    <s v="Sunita Rao"/>
    <n v="0"/>
  </r>
  <r>
    <s v="C20365"/>
    <s v="P-1436"/>
    <s v="City Care Clinic"/>
    <s v="Medicare"/>
    <d v="2026-02-23T00:00:00"/>
    <d v="2026-02-27T00:00:00"/>
    <n v="950"/>
    <n v="773.13"/>
    <s v="Paid"/>
    <x v="1"/>
    <s v="Pooja M"/>
    <n v="230"/>
    <s v="90+"/>
    <n v="0"/>
    <s v="Sunita Rao"/>
    <n v="0"/>
  </r>
  <r>
    <s v="C20366"/>
    <s v="P-1190"/>
    <s v="Apex Ortho Center"/>
    <s v="Humana"/>
    <d v="2026-03-02T00:00:00"/>
    <d v="2026-03-07T00:00:00"/>
    <n v="9100"/>
    <m/>
    <s v="Pending"/>
    <x v="1"/>
    <s v="Rohit B"/>
    <n v="222"/>
    <s v="90+"/>
    <n v="9100"/>
    <s v="Deepak Nair"/>
    <n v="0"/>
  </r>
  <r>
    <s v="C20367"/>
    <s v="P-1146"/>
    <s v="Green Valley Health"/>
    <s v="Blue Cross"/>
    <d v="2026-04-30T00:00:00"/>
    <d v="2026-05-04T00:00:00"/>
    <n v="14100"/>
    <m/>
    <s v="Pending"/>
    <x v="1"/>
    <s v="Vikas R"/>
    <n v="164"/>
    <s v="90+"/>
    <n v="14100"/>
    <s v="Sunita Rao"/>
    <n v="0"/>
  </r>
  <r>
    <s v="C20368"/>
    <s v="P-1465"/>
    <s v="Sunrise Hospital"/>
    <s v="UnitedHealthcare"/>
    <d v="2026-08-19T00:00:00"/>
    <d v="2026-08-28T00:00:00"/>
    <n v="575"/>
    <n v="0"/>
    <s v="Denied"/>
    <x v="2"/>
    <s v="Rahul S"/>
    <n v="48"/>
    <s v="31-60"/>
    <n v="0"/>
    <s v="Manish Arora"/>
    <n v="575"/>
  </r>
  <r>
    <s v="C20369"/>
    <s v="P-1349"/>
    <s v="City Care Clinic"/>
    <s v="Self Pay"/>
    <d v="2026-09-26T00:00:00"/>
    <d v="2026-10-03T00:00:00"/>
    <n v="9500"/>
    <m/>
    <s v="Pending"/>
    <x v="1"/>
    <s v="Sandeep Y"/>
    <n v="12"/>
    <s v="0-30"/>
    <n v="9500"/>
    <s v="Sunita Rao"/>
    <n v="0"/>
  </r>
  <r>
    <s v="C20370"/>
    <s v="P-1350"/>
    <s v="Green Valley Health"/>
    <s v="Humana"/>
    <d v="2026-01-21T00:00:00"/>
    <d v="2026-02-07T00:00:00"/>
    <n v="13225"/>
    <n v="12991.87"/>
    <s v="Paid"/>
    <x v="1"/>
    <s v="Anjali T"/>
    <n v="250"/>
    <s v="90+"/>
    <n v="0"/>
    <s v="Deepak Nair"/>
    <n v="0"/>
  </r>
  <r>
    <s v="C20371"/>
    <s v="P-1347"/>
    <s v="Sunrise Hospital"/>
    <s v="Aetna"/>
    <d v="2026-06-27T00:00:00"/>
    <d v="2026-07-02T00:00:00"/>
    <n v="3300"/>
    <n v="1932.96"/>
    <s v="Paid"/>
    <x v="1"/>
    <s v="Kavita D"/>
    <n v="105"/>
    <s v="90+"/>
    <n v="0"/>
    <s v="Deepak Nair"/>
    <n v="0"/>
  </r>
  <r>
    <s v="C20372"/>
    <s v="P-1227"/>
    <s v="Apex Ortho Center"/>
    <s v="Medicaid"/>
    <d v="2026-07-30T00:00:00"/>
    <d v="2026-08-05T00:00:00"/>
    <n v="6175"/>
    <m/>
    <s v="Pending"/>
    <x v="1"/>
    <s v="Vikas R"/>
    <n v="71"/>
    <s v="61-90"/>
    <n v="6175"/>
    <s v="Sunita Rao"/>
    <n v="0"/>
  </r>
  <r>
    <s v="C20373"/>
    <s v="P-1247"/>
    <s v="Sunrise Hospital"/>
    <s v="Medicare"/>
    <d v="2026-04-17T00:00:00"/>
    <d v="2026-04-20T00:00:00"/>
    <n v="375"/>
    <m/>
    <s v="Pending"/>
    <x v="1"/>
    <s v="Amit V"/>
    <n v="178"/>
    <s v="90+"/>
    <n v="375"/>
    <s v="Manish Arora"/>
    <n v="0"/>
  </r>
  <r>
    <s v="C20374"/>
    <s v="P-1309"/>
    <s v="City Care Clinic"/>
    <s v="Medicaid"/>
    <d v="2026-02-23T00:00:00"/>
    <d v="2026-02-28T00:00:00"/>
    <n v="14800"/>
    <n v="11109.69"/>
    <s v="Paid"/>
    <x v="1"/>
    <s v="Rahul S"/>
    <n v="229"/>
    <s v="90+"/>
    <n v="0"/>
    <s v="Manish Arora"/>
    <n v="0"/>
  </r>
  <r>
    <s v="C20375"/>
    <s v="P-1333"/>
    <s v="Apex Ortho Center"/>
    <s v="Aetna"/>
    <d v="2026-06-14T00:00:00"/>
    <d v="2026-06-21T00:00:00"/>
    <n v="11150"/>
    <n v="6319.04"/>
    <s v="Paid"/>
    <x v="1"/>
    <s v="Neha G"/>
    <n v="116"/>
    <s v="90+"/>
    <n v="0"/>
    <s v="Manish Arora"/>
    <n v="0"/>
  </r>
  <r>
    <s v="C20376"/>
    <s v="P-1396"/>
    <s v="City Care Clinic"/>
    <s v="Aetna"/>
    <d v="2026-01-16T00:00:00"/>
    <d v="2026-01-24T00:00:00"/>
    <n v="12325"/>
    <n v="9096.5400000000009"/>
    <s v="Paid"/>
    <x v="1"/>
    <s v="Amit V"/>
    <n v="264"/>
    <s v="90+"/>
    <n v="0"/>
    <s v="Manish Arora"/>
    <n v="0"/>
  </r>
  <r>
    <s v="C20377"/>
    <s v="P-1498"/>
    <s v="City Care Clinic"/>
    <s v="Blue Cross"/>
    <d v="2026-08-15T00:00:00"/>
    <d v="2026-08-23T00:00:00"/>
    <n v="8500"/>
    <n v="8234.17"/>
    <s v="Paid"/>
    <x v="1"/>
    <s v="Neha G"/>
    <n v="53"/>
    <s v="31-60"/>
    <n v="0"/>
    <s v="Manish Arora"/>
    <n v="0"/>
  </r>
  <r>
    <s v="C20378"/>
    <s v="P-1442"/>
    <s v="Apex Ortho Center"/>
    <s v="Medicaid"/>
    <d v="2026-02-21T00:00:00"/>
    <d v="2026-03-13T00:00:00"/>
    <n v="13475"/>
    <m/>
    <s v="Pending"/>
    <x v="1"/>
    <s v="Rohit B"/>
    <n v="216"/>
    <s v="90+"/>
    <n v="13475"/>
    <s v="Deepak Nair"/>
    <n v="0"/>
  </r>
  <r>
    <s v="C20379"/>
    <s v="P-1134"/>
    <s v="Sunrise Hospital"/>
    <s v="Medicaid"/>
    <d v="2026-09-09T00:00:00"/>
    <d v="2026-09-22T00:00:00"/>
    <n v="4600"/>
    <m/>
    <s v="Pending"/>
    <x v="1"/>
    <s v="Vikas R"/>
    <n v="23"/>
    <s v="0-30"/>
    <n v="4600"/>
    <s v="Sunita Rao"/>
    <n v="0"/>
  </r>
  <r>
    <s v="C20380"/>
    <s v="P-1423"/>
    <s v="Green Valley Health"/>
    <s v="UnitedHealthcare"/>
    <d v="2026-04-08T00:00:00"/>
    <d v="2026-04-25T00:00:00"/>
    <n v="1900"/>
    <n v="1189.97"/>
    <s v="Paid"/>
    <x v="1"/>
    <s v="Anjali T"/>
    <n v="173"/>
    <s v="90+"/>
    <n v="0"/>
    <s v="Deepak Nair"/>
    <n v="0"/>
  </r>
  <r>
    <s v="C20381"/>
    <s v="P-1126"/>
    <s v="Sunrise Hospital"/>
    <s v="Medicare"/>
    <d v="2026-06-27T00:00:00"/>
    <d v="2026-07-06T00:00:00"/>
    <n v="9725"/>
    <n v="8003.21"/>
    <s v="Paid"/>
    <x v="1"/>
    <s v="Rohit B"/>
    <n v="101"/>
    <s v="90+"/>
    <n v="0"/>
    <s v="Deepak Nair"/>
    <n v="0"/>
  </r>
  <r>
    <s v="C20382"/>
    <s v="P-1400"/>
    <s v="Apex Ortho Center"/>
    <s v="Medicare"/>
    <d v="2026-09-07T00:00:00"/>
    <d v="2026-09-23T00:00:00"/>
    <n v="10700"/>
    <n v="0"/>
    <s v="Denied"/>
    <x v="4"/>
    <s v="Sandeep Y"/>
    <n v="22"/>
    <s v="0-30"/>
    <n v="0"/>
    <s v="Sunita Rao"/>
    <n v="10700"/>
  </r>
  <r>
    <s v="C20383"/>
    <s v="P-1078"/>
    <s v="Apex Ortho Center"/>
    <s v="Aetna"/>
    <d v="2026-06-13T00:00:00"/>
    <d v="2026-06-30T00:00:00"/>
    <n v="9300"/>
    <n v="7995.8"/>
    <s v="Paid"/>
    <x v="1"/>
    <s v="Rahul S"/>
    <n v="107"/>
    <s v="90+"/>
    <n v="0"/>
    <s v="Manish Arora"/>
    <n v="0"/>
  </r>
  <r>
    <s v="C20384"/>
    <s v="P-1466"/>
    <s v="Apex Ortho Center"/>
    <s v="UnitedHealthcare"/>
    <d v="2026-04-24T00:00:00"/>
    <d v="2026-05-09T00:00:00"/>
    <n v="8350"/>
    <n v="0"/>
    <s v="Denied"/>
    <x v="7"/>
    <s v="Priya K"/>
    <n v="159"/>
    <s v="90+"/>
    <n v="0"/>
    <s v="Manish Arora"/>
    <n v="8350"/>
  </r>
  <r>
    <s v="C20385"/>
    <s v="P-1048"/>
    <s v="City Care Clinic"/>
    <s v="Unknown"/>
    <d v="2026-02-23T00:00:00"/>
    <d v="2026-03-14T00:00:00"/>
    <n v="2425"/>
    <n v="1868.06"/>
    <s v="Paid"/>
    <x v="1"/>
    <s v="Anjali T"/>
    <n v="215"/>
    <s v="90+"/>
    <n v="0"/>
    <s v="Deepak Nair"/>
    <n v="0"/>
  </r>
  <r>
    <s v="C20386"/>
    <s v="P-1156"/>
    <s v="Green Valley Health"/>
    <s v="Medicare"/>
    <d v="2026-04-02T00:00:00"/>
    <d v="2026-04-14T00:00:00"/>
    <n v="11150"/>
    <m/>
    <s v="Pending"/>
    <x v="1"/>
    <s v="Kavita D"/>
    <n v="184"/>
    <s v="90+"/>
    <n v="11150"/>
    <s v="Deepak Nair"/>
    <n v="0"/>
  </r>
  <r>
    <s v="C20387"/>
    <s v="P-1383"/>
    <s v="City Care Clinic"/>
    <s v="Medicaid"/>
    <d v="2026-05-29T00:00:00"/>
    <d v="2026-06-16T00:00:00"/>
    <n v="5200"/>
    <n v="3053.63"/>
    <s v="Paid"/>
    <x v="1"/>
    <s v="Anjali T"/>
    <n v="121"/>
    <s v="90+"/>
    <n v="0"/>
    <s v="Deepak Nair"/>
    <n v="0"/>
  </r>
  <r>
    <s v="C20388"/>
    <s v="P-1497"/>
    <s v="Sunrise Hospital"/>
    <s v="Medicaid"/>
    <d v="2026-08-25T00:00:00"/>
    <d v="2026-09-07T00:00:00"/>
    <n v="8450"/>
    <n v="5992.01"/>
    <s v="Paid"/>
    <x v="1"/>
    <s v="Kavita D"/>
    <n v="38"/>
    <s v="31-60"/>
    <n v="0"/>
    <s v="Deepak Nair"/>
    <n v="0"/>
  </r>
  <r>
    <s v="C20389"/>
    <s v="P-1046"/>
    <s v="Sunrise Hospital"/>
    <s v="UnitedHealthcare"/>
    <d v="2026-02-26T00:00:00"/>
    <d v="2026-03-05T00:00:00"/>
    <n v="9025"/>
    <m/>
    <s v="Pending"/>
    <x v="1"/>
    <s v="Priya K"/>
    <n v="224"/>
    <s v="90+"/>
    <n v="9025"/>
    <s v="Manish Arora"/>
    <n v="0"/>
  </r>
  <r>
    <s v="C20390"/>
    <s v="P-1080"/>
    <s v="Apex Ortho Center"/>
    <s v="Self Pay"/>
    <d v="2026-09-10T00:00:00"/>
    <d v="2026-09-15T00:00:00"/>
    <n v="4875"/>
    <m/>
    <s v="Pending"/>
    <x v="1"/>
    <s v="Kavita D"/>
    <n v="30"/>
    <s v="0-30"/>
    <n v="4875"/>
    <s v="Deepak Nair"/>
    <n v="0"/>
  </r>
  <r>
    <s v="C20391"/>
    <s v="P-1398"/>
    <s v="Apex Ortho Center"/>
    <s v="Unknown"/>
    <d v="2026-05-20T00:00:00"/>
    <d v="2026-06-01T00:00:00"/>
    <n v="2300"/>
    <n v="1754.54"/>
    <s v="Paid"/>
    <x v="1"/>
    <s v="Amit V"/>
    <n v="136"/>
    <s v="90+"/>
    <n v="0"/>
    <s v="Manish Arora"/>
    <n v="0"/>
  </r>
  <r>
    <s v="C20392"/>
    <s v="P-1381"/>
    <s v="Green Valley Health"/>
    <s v="Medicare"/>
    <d v="2026-09-04T00:00:00"/>
    <d v="2026-09-23T00:00:00"/>
    <n v="10875"/>
    <m/>
    <s v="Pending"/>
    <x v="1"/>
    <s v="Amit V"/>
    <n v="22"/>
    <s v="0-30"/>
    <n v="10875"/>
    <s v="Manish Arora"/>
    <n v="0"/>
  </r>
  <r>
    <s v="C20393"/>
    <s v="P-1293"/>
    <s v="Apex Ortho Center"/>
    <s v="UnitedHealthcare"/>
    <d v="2026-01-17T00:00:00"/>
    <d v="2026-01-25T00:00:00"/>
    <n v="8200"/>
    <n v="5133.3500000000004"/>
    <s v="Paid"/>
    <x v="1"/>
    <s v="Kavita D"/>
    <n v="263"/>
    <s v="90+"/>
    <n v="0"/>
    <s v="Deepak Nair"/>
    <n v="0"/>
  </r>
  <r>
    <s v="C20394"/>
    <s v="P-1000"/>
    <s v="Green Valley Health"/>
    <s v="UnitedHealthcare"/>
    <d v="2026-06-13T00:00:00"/>
    <d v="2026-06-19T00:00:00"/>
    <n v="8850"/>
    <m/>
    <s v="Pending"/>
    <x v="1"/>
    <s v="Priya K"/>
    <n v="118"/>
    <s v="90+"/>
    <n v="8850"/>
    <s v="Manish Arora"/>
    <n v="0"/>
  </r>
  <r>
    <s v="C20395"/>
    <s v="P-1341"/>
    <s v="Sunrise Hospital"/>
    <s v="Aetna"/>
    <d v="2026-04-14T00:00:00"/>
    <d v="2026-04-19T00:00:00"/>
    <n v="9200"/>
    <n v="7506.16"/>
    <s v="Paid"/>
    <x v="1"/>
    <s v="Rohit B"/>
    <n v="179"/>
    <s v="90+"/>
    <n v="0"/>
    <s v="Deepak Nair"/>
    <n v="0"/>
  </r>
  <r>
    <s v="C20396"/>
    <s v="P-1280"/>
    <s v="Sunrise Hospital"/>
    <s v="UnitedHealthcare"/>
    <d v="2026-03-30T00:00:00"/>
    <d v="2026-04-15T00:00:00"/>
    <n v="12125"/>
    <n v="9210.34"/>
    <s v="Paid"/>
    <x v="1"/>
    <s v="Kavita D"/>
    <n v="183"/>
    <s v="90+"/>
    <n v="0"/>
    <s v="Deepak Nair"/>
    <n v="0"/>
  </r>
  <r>
    <s v="C20397"/>
    <s v="P-1194"/>
    <s v="Sunrise Hospital"/>
    <s v="Aetna"/>
    <d v="2026-09-10T00:00:00"/>
    <d v="2026-09-30T00:00:00"/>
    <n v="12825"/>
    <n v="0"/>
    <s v="Denied"/>
    <x v="4"/>
    <s v="Anjali T"/>
    <n v="15"/>
    <s v="0-30"/>
    <n v="0"/>
    <s v="Deepak Nair"/>
    <n v="12825"/>
  </r>
  <r>
    <s v="C20398"/>
    <s v="P-1466"/>
    <s v="City Care Clinic"/>
    <s v="Humana"/>
    <d v="2026-03-15T00:00:00"/>
    <d v="2026-04-02T00:00:00"/>
    <n v="5625"/>
    <n v="4176"/>
    <s v="Paid"/>
    <x v="1"/>
    <s v="Anjali T"/>
    <n v="196"/>
    <s v="90+"/>
    <n v="0"/>
    <s v="Deepak Nair"/>
    <n v="0"/>
  </r>
  <r>
    <s v="C20399"/>
    <s v="P-1397"/>
    <s v="Apex Ortho Center"/>
    <s v="Aetna"/>
    <d v="2026-02-21T00:00:00"/>
    <d v="2026-03-07T00:00:00"/>
    <n v="2600"/>
    <n v="2272.4"/>
    <s v="Paid"/>
    <x v="1"/>
    <s v="Anjali T"/>
    <n v="222"/>
    <s v="90+"/>
    <n v="0"/>
    <s v="Deepak Nair"/>
    <n v="0"/>
  </r>
  <r>
    <s v="C20400"/>
    <s v="P-1448"/>
    <s v="Apex Ortho Center"/>
    <s v="Self Pay"/>
    <d v="2025-12-28T00:00:00"/>
    <d v="2026-01-14T00:00:00"/>
    <n v="9775"/>
    <n v="9560.84"/>
    <s v="Paid"/>
    <x v="1"/>
    <s v="Amit V"/>
    <n v="274"/>
    <s v="90+"/>
    <n v="0"/>
    <s v="Manish Arora"/>
    <n v="0"/>
  </r>
  <r>
    <s v="C20401"/>
    <s v="P-1040"/>
    <s v="Green Valley Health"/>
    <s v="Cigna"/>
    <d v="2026-03-16T00:00:00"/>
    <d v="2026-03-20T00:00:00"/>
    <n v="13750"/>
    <n v="7763.62"/>
    <s v="Paid"/>
    <x v="1"/>
    <s v="Neha G"/>
    <n v="209"/>
    <s v="90+"/>
    <n v="0"/>
    <s v="Manish Arora"/>
    <n v="0"/>
  </r>
  <r>
    <s v="C20402"/>
    <s v="P-1070"/>
    <s v="City Care Clinic"/>
    <s v="UnitedHealthcare"/>
    <d v="2026-06-26T00:00:00"/>
    <d v="2026-06-29T00:00:00"/>
    <n v="2375"/>
    <n v="1638.77"/>
    <s v="Paid"/>
    <x v="1"/>
    <s v="Kavita D"/>
    <n v="108"/>
    <s v="90+"/>
    <n v="0"/>
    <s v="Deepak Nair"/>
    <n v="0"/>
  </r>
  <r>
    <s v="C20403"/>
    <s v="P-1392"/>
    <s v="Sunrise Hospital"/>
    <s v="Medicare"/>
    <d v="2026-07-02T00:00:00"/>
    <d v="2026-07-15T00:00:00"/>
    <n v="4800"/>
    <n v="3599.2"/>
    <s v="Paid"/>
    <x v="1"/>
    <s v="Priya K"/>
    <n v="92"/>
    <s v="90+"/>
    <n v="0"/>
    <s v="Manish Arora"/>
    <n v="0"/>
  </r>
  <r>
    <s v="C20404"/>
    <s v="P-1155"/>
    <s v="City Care Clinic"/>
    <s v="Aetna"/>
    <d v="2026-04-04T00:00:00"/>
    <d v="2026-04-13T00:00:00"/>
    <n v="9975"/>
    <n v="8793.73"/>
    <s v="Paid"/>
    <x v="1"/>
    <s v="Pooja M"/>
    <n v="185"/>
    <s v="90+"/>
    <n v="0"/>
    <s v="Sunita Rao"/>
    <n v="0"/>
  </r>
  <r>
    <s v="C20405"/>
    <s v="P-1471"/>
    <s v="Apex Ortho Center"/>
    <s v="UnitedHealthcare"/>
    <d v="2026-01-28T00:00:00"/>
    <d v="2026-02-15T00:00:00"/>
    <n v="2850"/>
    <n v="2606.9499999999998"/>
    <s v="Paid"/>
    <x v="1"/>
    <s v="Rohit B"/>
    <n v="242"/>
    <s v="90+"/>
    <n v="0"/>
    <s v="Deepak Nair"/>
    <n v="0"/>
  </r>
  <r>
    <s v="C20406"/>
    <s v="P-1154"/>
    <s v="Green Valley Health"/>
    <s v="Medicare"/>
    <d v="2026-02-10T00:00:00"/>
    <d v="2026-02-18T00:00:00"/>
    <n v="8700"/>
    <n v="5259.61"/>
    <s v="Paid"/>
    <x v="1"/>
    <s v="Kavita D"/>
    <n v="239"/>
    <s v="90+"/>
    <n v="0"/>
    <s v="Deepak Nair"/>
    <n v="0"/>
  </r>
  <r>
    <s v="C20407"/>
    <s v="P-1443"/>
    <s v="City Care Clinic"/>
    <s v="Medicare"/>
    <d v="2026-06-04T00:00:00"/>
    <d v="2026-06-13T00:00:00"/>
    <n v="2525"/>
    <m/>
    <s v="Pending"/>
    <x v="1"/>
    <s v="Sandeep Y"/>
    <n v="124"/>
    <s v="90+"/>
    <n v="2525"/>
    <s v="Sunita Rao"/>
    <n v="0"/>
  </r>
  <r>
    <s v="C20408"/>
    <s v="P-1304"/>
    <s v="Green Valley Health"/>
    <s v="Unknown"/>
    <d v="2026-05-14T00:00:00"/>
    <d v="2026-05-30T00:00:00"/>
    <n v="10500"/>
    <m/>
    <s v="Pending"/>
    <x v="1"/>
    <s v="Neha G"/>
    <n v="138"/>
    <s v="90+"/>
    <n v="10500"/>
    <s v="Manish Arora"/>
    <n v="0"/>
  </r>
  <r>
    <s v="C20409"/>
    <s v="P-1211"/>
    <s v="Apex Ortho Center"/>
    <s v="UnitedHealthcare"/>
    <d v="2026-07-13T00:00:00"/>
    <d v="2026-07-26T00:00:00"/>
    <n v="11500"/>
    <n v="6588.19"/>
    <s v="Paid"/>
    <x v="1"/>
    <s v="Vikas R"/>
    <n v="81"/>
    <s v="61-90"/>
    <n v="0"/>
    <s v="Sunita Rao"/>
    <n v="0"/>
  </r>
  <r>
    <s v="C20410"/>
    <s v="P-1251"/>
    <s v="Green Valley Health"/>
    <s v="Medicare"/>
    <d v="2026-09-21T00:00:00"/>
    <d v="2026-10-03T00:00:00"/>
    <n v="9725"/>
    <n v="6817.89"/>
    <s v="Paid"/>
    <x v="1"/>
    <s v="Kavita D"/>
    <n v="12"/>
    <s v="0-30"/>
    <n v="0"/>
    <s v="Deepak Nair"/>
    <n v="0"/>
  </r>
  <r>
    <s v="C20411"/>
    <s v="P-1411"/>
    <s v="Green Valley Health"/>
    <s v="UnitedHealthcare"/>
    <d v="2026-01-24T00:00:00"/>
    <d v="2026-01-27T00:00:00"/>
    <n v="7875"/>
    <n v="5173.34"/>
    <s v="Paid"/>
    <x v="1"/>
    <s v="Rahul S"/>
    <n v="261"/>
    <s v="90+"/>
    <n v="0"/>
    <s v="Manish Arora"/>
    <n v="0"/>
  </r>
  <r>
    <s v="C20412"/>
    <s v="P-1205"/>
    <s v="Green Valley Health"/>
    <s v="Medicare"/>
    <d v="2026-07-01T00:00:00"/>
    <d v="2026-07-04T00:00:00"/>
    <n v="11650"/>
    <n v="8604.9599999999991"/>
    <s v="Paid"/>
    <x v="1"/>
    <s v="Vikas R"/>
    <n v="103"/>
    <s v="90+"/>
    <n v="0"/>
    <s v="Sunita Rao"/>
    <n v="0"/>
  </r>
  <r>
    <s v="C20413"/>
    <s v="P-1371"/>
    <s v="Sunrise Hospital"/>
    <s v="Cigna"/>
    <d v="2026-04-30T00:00:00"/>
    <d v="2026-05-19T00:00:00"/>
    <n v="10275"/>
    <n v="0"/>
    <s v="Denied"/>
    <x v="4"/>
    <s v="Anjali T"/>
    <n v="149"/>
    <s v="90+"/>
    <n v="0"/>
    <s v="Deepak Nair"/>
    <n v="10275"/>
  </r>
  <r>
    <s v="C20414"/>
    <s v="P-1439"/>
    <s v="City Care Clinic"/>
    <s v="Blue Cross"/>
    <d v="2026-09-12T00:00:00"/>
    <d v="2026-10-01T00:00:00"/>
    <n v="13500"/>
    <m/>
    <s v="Pending"/>
    <x v="1"/>
    <s v="Kavita D"/>
    <n v="14"/>
    <s v="0-30"/>
    <n v="13500"/>
    <s v="Deepak Nair"/>
    <n v="0"/>
  </r>
  <r>
    <s v="C20415"/>
    <s v="P-1067"/>
    <s v="Green Valley Health"/>
    <s v="Medicare"/>
    <d v="2026-09-12T00:00:00"/>
    <d v="2026-10-02T00:00:00"/>
    <n v="1550"/>
    <m/>
    <s v="Pending"/>
    <x v="1"/>
    <s v="Kavita D"/>
    <n v="13"/>
    <s v="0-30"/>
    <n v="1550"/>
    <s v="Deepak Nair"/>
    <n v="0"/>
  </r>
  <r>
    <s v="C20416"/>
    <s v="P-1389"/>
    <s v="Green Valley Health"/>
    <s v="Medicare"/>
    <d v="2026-03-15T00:00:00"/>
    <d v="2026-03-26T00:00:00"/>
    <n v="3975"/>
    <m/>
    <s v="Pending"/>
    <x v="1"/>
    <s v="Sandeep Y"/>
    <n v="203"/>
    <s v="90+"/>
    <n v="3975"/>
    <s v="Sunita Rao"/>
    <n v="0"/>
  </r>
  <r>
    <s v="C20417"/>
    <s v="P-1397"/>
    <s v="Apex Ortho Center"/>
    <s v="Self Pay"/>
    <d v="2026-08-06T00:00:00"/>
    <d v="2026-08-09T00:00:00"/>
    <n v="8700"/>
    <n v="8225.83"/>
    <s v="Paid"/>
    <x v="1"/>
    <s v="Vikas R"/>
    <n v="67"/>
    <s v="61-90"/>
    <n v="0"/>
    <s v="Sunita Rao"/>
    <n v="0"/>
  </r>
  <r>
    <s v="C20418"/>
    <s v="P-1087"/>
    <s v="City Care Clinic"/>
    <s v="UnitedHealthcare"/>
    <d v="2026-08-21T00:00:00"/>
    <d v="2026-08-25T00:00:00"/>
    <n v="13800"/>
    <n v="9134.32"/>
    <s v="Paid"/>
    <x v="1"/>
    <s v="Vikas R"/>
    <n v="51"/>
    <s v="31-60"/>
    <n v="0"/>
    <s v="Sunita Rao"/>
    <n v="0"/>
  </r>
  <r>
    <s v="C20419"/>
    <s v="P-1093"/>
    <s v="Apex Ortho Center"/>
    <s v="Aetna"/>
    <d v="2026-08-19T00:00:00"/>
    <d v="2026-08-25T00:00:00"/>
    <n v="11700"/>
    <n v="9074.2900000000009"/>
    <s v="Paid"/>
    <x v="1"/>
    <s v="Rohit B"/>
    <n v="51"/>
    <s v="31-60"/>
    <n v="0"/>
    <s v="Deepak Nair"/>
    <n v="0"/>
  </r>
  <r>
    <s v="C20420"/>
    <s v="P-1376"/>
    <s v="Sunrise Hospital"/>
    <s v="Cigna"/>
    <d v="2026-08-12T00:00:00"/>
    <d v="2026-08-31T00:00:00"/>
    <n v="11425"/>
    <n v="6381.49"/>
    <s v="Paid"/>
    <x v="1"/>
    <s v="Neha G"/>
    <n v="45"/>
    <s v="31-60"/>
    <n v="0"/>
    <s v="Manish Arora"/>
    <n v="0"/>
  </r>
  <r>
    <s v="C20421"/>
    <s v="P-1150"/>
    <s v="Apex Ortho Center"/>
    <s v="Cigna"/>
    <d v="2026-08-06T00:00:00"/>
    <d v="2026-08-24T00:00:00"/>
    <n v="9225"/>
    <m/>
    <s v="Pending"/>
    <x v="1"/>
    <s v="Amit V"/>
    <n v="52"/>
    <s v="31-60"/>
    <n v="9225"/>
    <s v="Manish Arora"/>
    <n v="0"/>
  </r>
  <r>
    <s v="C20422"/>
    <s v="P-1041"/>
    <s v="Apex Ortho Center"/>
    <s v="UnitedHealthcare"/>
    <d v="2026-02-07T00:00:00"/>
    <d v="2026-02-16T00:00:00"/>
    <n v="1350"/>
    <n v="814.4"/>
    <s v="Paid"/>
    <x v="1"/>
    <s v="Anjali T"/>
    <n v="241"/>
    <s v="90+"/>
    <n v="0"/>
    <s v="Deepak Nair"/>
    <n v="0"/>
  </r>
  <r>
    <s v="C20423"/>
    <s v="P-1138"/>
    <s v="Apex Ortho Center"/>
    <s v="Blue Cross"/>
    <d v="2026-05-05T00:00:00"/>
    <d v="2026-05-23T00:00:00"/>
    <n v="3575"/>
    <n v="2785.65"/>
    <s v="Paid"/>
    <x v="1"/>
    <s v="Amit V"/>
    <n v="145"/>
    <s v="90+"/>
    <n v="0"/>
    <s v="Manish Arora"/>
    <n v="0"/>
  </r>
  <r>
    <s v="C20424"/>
    <s v="P-1019"/>
    <s v="Green Valley Health"/>
    <s v="Blue Cross"/>
    <d v="2026-03-06T00:00:00"/>
    <d v="2026-03-17T00:00:00"/>
    <n v="5700"/>
    <n v="3431.85"/>
    <s v="Paid"/>
    <x v="1"/>
    <s v="Pooja M"/>
    <n v="212"/>
    <s v="90+"/>
    <n v="0"/>
    <s v="Sunita Rao"/>
    <n v="0"/>
  </r>
  <r>
    <s v="C20425"/>
    <s v="P-1024"/>
    <s v="Green Valley Health"/>
    <s v="Blue Cross"/>
    <d v="2026-02-04T00:00:00"/>
    <d v="2026-02-08T00:00:00"/>
    <n v="1400"/>
    <n v="1243.4100000000001"/>
    <s v="Paid"/>
    <x v="1"/>
    <s v="Neha G"/>
    <n v="249"/>
    <s v="90+"/>
    <n v="0"/>
    <s v="Manish Arora"/>
    <n v="0"/>
  </r>
  <r>
    <s v="C20426"/>
    <s v="P-1193"/>
    <s v="Green Valley Health"/>
    <s v="Aetna"/>
    <d v="2026-05-27T00:00:00"/>
    <d v="2026-06-12T00:00:00"/>
    <n v="9700"/>
    <n v="0"/>
    <s v="Denied"/>
    <x v="5"/>
    <s v="Neha G"/>
    <n v="125"/>
    <s v="90+"/>
    <n v="0"/>
    <s v="Manish Arora"/>
    <n v="9700"/>
  </r>
  <r>
    <s v="C20427"/>
    <s v="P-1001"/>
    <s v="Green Valley Health"/>
    <s v="Humana"/>
    <d v="2026-03-01T00:00:00"/>
    <d v="2026-03-18T00:00:00"/>
    <n v="11600"/>
    <n v="6947.16"/>
    <s v="Paid"/>
    <x v="1"/>
    <s v="Neha G"/>
    <n v="211"/>
    <s v="90+"/>
    <n v="0"/>
    <s v="Manish Arora"/>
    <n v="0"/>
  </r>
  <r>
    <s v="C20428"/>
    <s v="P-1302"/>
    <s v="Sunrise Hospital"/>
    <s v="Cigna"/>
    <d v="2026-03-02T00:00:00"/>
    <d v="2026-03-12T00:00:00"/>
    <n v="10925"/>
    <m/>
    <s v="Pending"/>
    <x v="1"/>
    <s v="Rahul S"/>
    <n v="217"/>
    <s v="90+"/>
    <n v="10925"/>
    <s v="Manish Arora"/>
    <n v="0"/>
  </r>
  <r>
    <s v="C20429"/>
    <s v="P-1339"/>
    <s v="City Care Clinic"/>
    <s v="Blue Cross"/>
    <d v="2026-03-18T00:00:00"/>
    <d v="2026-03-30T00:00:00"/>
    <n v="4775"/>
    <n v="2779.59"/>
    <s v="Paid"/>
    <x v="1"/>
    <s v="Rohit B"/>
    <n v="199"/>
    <s v="90+"/>
    <n v="0"/>
    <s v="Deepak Nair"/>
    <n v="0"/>
  </r>
  <r>
    <s v="C20430"/>
    <s v="P-1491"/>
    <s v="Green Valley Health"/>
    <s v="Aetna"/>
    <d v="2026-01-10T00:00:00"/>
    <d v="2026-01-27T00:00:00"/>
    <n v="12700"/>
    <m/>
    <s v="Pending"/>
    <x v="1"/>
    <s v="Rahul S"/>
    <n v="261"/>
    <s v="90+"/>
    <n v="12700"/>
    <s v="Manish Arora"/>
    <n v="0"/>
  </r>
  <r>
    <s v="C20431"/>
    <s v="P-1251"/>
    <s v="Green Valley Health"/>
    <s v="UnitedHealthcare"/>
    <d v="2026-03-15T00:00:00"/>
    <d v="2026-03-29T00:00:00"/>
    <n v="9600"/>
    <n v="6678.37"/>
    <s v="Paid"/>
    <x v="1"/>
    <s v="Rahul S"/>
    <n v="200"/>
    <s v="90+"/>
    <n v="0"/>
    <s v="Manish Arora"/>
    <n v="0"/>
  </r>
  <r>
    <s v="C20432"/>
    <s v="P-1031"/>
    <s v="Green Valley Health"/>
    <s v="Medicaid"/>
    <d v="2026-04-01T00:00:00"/>
    <d v="2026-04-18T00:00:00"/>
    <n v="10450"/>
    <n v="10061.969999999999"/>
    <s v="Paid"/>
    <x v="1"/>
    <s v="Priya K"/>
    <n v="180"/>
    <s v="90+"/>
    <n v="0"/>
    <s v="Manish Arora"/>
    <n v="0"/>
  </r>
  <r>
    <s v="C20433"/>
    <s v="P-1182"/>
    <s v="City Care Clinic"/>
    <s v="Medicaid"/>
    <d v="2026-02-07T00:00:00"/>
    <d v="2026-02-19T00:00:00"/>
    <n v="10400"/>
    <n v="8105.9"/>
    <s v="Paid"/>
    <x v="1"/>
    <s v="Neha G"/>
    <n v="238"/>
    <s v="90+"/>
    <n v="0"/>
    <s v="Manish Arora"/>
    <n v="0"/>
  </r>
  <r>
    <s v="C20434"/>
    <s v="P-1268"/>
    <s v="Apex Ortho Center"/>
    <s v="Aetna"/>
    <d v="2026-09-17T00:00:00"/>
    <d v="2026-09-29T00:00:00"/>
    <n v="6075"/>
    <m/>
    <s v="Pending"/>
    <x v="1"/>
    <s v="Sandeep Y"/>
    <n v="16"/>
    <s v="0-30"/>
    <n v="6075"/>
    <s v="Sunita Rao"/>
    <n v="0"/>
  </r>
  <r>
    <s v="C20435"/>
    <s v="P-1208"/>
    <s v="Apex Ortho Center"/>
    <s v="Humana"/>
    <d v="2026-06-05T00:00:00"/>
    <d v="2026-06-23T00:00:00"/>
    <n v="13700"/>
    <n v="9740.89"/>
    <s v="Paid"/>
    <x v="1"/>
    <s v="Kavita D"/>
    <n v="114"/>
    <s v="90+"/>
    <n v="0"/>
    <s v="Deepak Nair"/>
    <n v="0"/>
  </r>
  <r>
    <s v="C20436"/>
    <s v="P-1430"/>
    <s v="Sunrise Hospital"/>
    <s v="Blue Cross"/>
    <d v="2026-02-26T00:00:00"/>
    <d v="2026-03-10T00:00:00"/>
    <n v="9950"/>
    <n v="8821.17"/>
    <s v="Paid"/>
    <x v="1"/>
    <s v="Priya K"/>
    <n v="219"/>
    <s v="90+"/>
    <n v="0"/>
    <s v="Manish Arora"/>
    <n v="0"/>
  </r>
  <r>
    <s v="C20437"/>
    <s v="P-1030"/>
    <s v="Green Valley Health"/>
    <s v="Aetna"/>
    <d v="2026-07-27T00:00:00"/>
    <d v="2026-08-13T00:00:00"/>
    <n v="3725"/>
    <n v="3665.46"/>
    <s v="Paid"/>
    <x v="1"/>
    <s v="Priya K"/>
    <n v="63"/>
    <s v="61-90"/>
    <n v="0"/>
    <s v="Manish Arora"/>
    <n v="0"/>
  </r>
  <r>
    <s v="C20438"/>
    <s v="P-1163"/>
    <s v="Sunrise Hospital"/>
    <s v="Humana"/>
    <d v="2026-01-01T00:00:00"/>
    <d v="2026-01-12T00:00:00"/>
    <n v="2725"/>
    <n v="2243.23"/>
    <s v="Paid"/>
    <x v="1"/>
    <s v="Sandeep Y"/>
    <n v="276"/>
    <s v="90+"/>
    <n v="0"/>
    <s v="Sunita Rao"/>
    <n v="0"/>
  </r>
  <r>
    <s v="C20439"/>
    <s v="P-1114"/>
    <s v="City Care Clinic"/>
    <s v="Blue Cross"/>
    <d v="2026-06-28T00:00:00"/>
    <d v="2026-07-03T00:00:00"/>
    <n v="2225"/>
    <n v="1913.11"/>
    <s v="Paid"/>
    <x v="1"/>
    <s v="Amit V"/>
    <n v="104"/>
    <s v="90+"/>
    <n v="0"/>
    <s v="Manish Arora"/>
    <n v="0"/>
  </r>
  <r>
    <s v="C20440"/>
    <s v="P-1332"/>
    <s v="City Care Clinic"/>
    <s v="Humana"/>
    <d v="2026-01-14T00:00:00"/>
    <d v="2026-02-01T00:00:00"/>
    <n v="11725"/>
    <n v="7866.86"/>
    <s v="Paid"/>
    <x v="1"/>
    <s v="Priya K"/>
    <n v="256"/>
    <s v="90+"/>
    <n v="0"/>
    <s v="Manish Arora"/>
    <n v="0"/>
  </r>
  <r>
    <s v="C20441"/>
    <s v="P-1211"/>
    <s v="Apex Ortho Center"/>
    <s v="Blue Cross"/>
    <d v="2026-06-10T00:00:00"/>
    <d v="2026-06-18T00:00:00"/>
    <n v="10900"/>
    <n v="8833.85"/>
    <s v="Paid"/>
    <x v="1"/>
    <s v="Sandeep Y"/>
    <n v="119"/>
    <s v="90+"/>
    <n v="0"/>
    <s v="Sunita Rao"/>
    <n v="0"/>
  </r>
  <r>
    <s v="C20442"/>
    <s v="P-1493"/>
    <s v="City Care Clinic"/>
    <s v="Blue Cross"/>
    <d v="2026-06-23T00:00:00"/>
    <d v="2026-06-28T00:00:00"/>
    <n v="10425"/>
    <n v="5740.32"/>
    <s v="Paid"/>
    <x v="1"/>
    <s v="Kavita D"/>
    <n v="109"/>
    <s v="90+"/>
    <n v="0"/>
    <s v="Deepak Nair"/>
    <n v="0"/>
  </r>
  <r>
    <s v="C20443"/>
    <s v="P-1318"/>
    <s v="Green Valley Health"/>
    <s v="Humana"/>
    <d v="2026-09-03T00:00:00"/>
    <d v="2026-09-07T00:00:00"/>
    <n v="12375"/>
    <n v="10215.870000000001"/>
    <s v="Paid"/>
    <x v="1"/>
    <s v="Sandeep Y"/>
    <n v="38"/>
    <s v="31-60"/>
    <n v="0"/>
    <s v="Sunita Rao"/>
    <n v="0"/>
  </r>
  <r>
    <s v="C20444"/>
    <s v="P-1252"/>
    <s v="Green Valley Health"/>
    <s v="Aetna"/>
    <d v="2026-05-10T00:00:00"/>
    <d v="2026-05-20T00:00:00"/>
    <n v="2450"/>
    <n v="1379"/>
    <s v="Paid"/>
    <x v="1"/>
    <s v="Rohit B"/>
    <n v="148"/>
    <s v="90+"/>
    <n v="0"/>
    <s v="Deepak Nair"/>
    <n v="0"/>
  </r>
  <r>
    <s v="C20445"/>
    <s v="P-1311"/>
    <s v="City Care Clinic"/>
    <s v="Medicaid"/>
    <d v="2026-05-29T00:00:00"/>
    <d v="2026-06-10T00:00:00"/>
    <n v="5125"/>
    <n v="2887.01"/>
    <s v="Paid"/>
    <x v="1"/>
    <s v="Amit V"/>
    <n v="127"/>
    <s v="90+"/>
    <n v="0"/>
    <s v="Manish Arora"/>
    <n v="0"/>
  </r>
  <r>
    <s v="C20446"/>
    <s v="P-1468"/>
    <s v="City Care Clinic"/>
    <s v="Humana"/>
    <d v="2026-04-17T00:00:00"/>
    <d v="2026-04-30T00:00:00"/>
    <n v="5475"/>
    <n v="5394.07"/>
    <s v="Paid"/>
    <x v="1"/>
    <s v="Rohit B"/>
    <n v="168"/>
    <s v="90+"/>
    <n v="0"/>
    <s v="Deepak Nair"/>
    <n v="0"/>
  </r>
  <r>
    <s v="C20447"/>
    <s v="P-1110"/>
    <s v="City Care Clinic"/>
    <s v="Medicare"/>
    <d v="2026-09-06T00:00:00"/>
    <d v="2026-09-10T00:00:00"/>
    <n v="9725"/>
    <m/>
    <s v="Pending"/>
    <x v="1"/>
    <s v="Rahul S"/>
    <n v="35"/>
    <s v="31-60"/>
    <n v="9725"/>
    <s v="Manish Arora"/>
    <n v="0"/>
  </r>
  <r>
    <s v="C20448"/>
    <s v="P-1023"/>
    <s v="Sunrise Hospital"/>
    <s v="Humana"/>
    <d v="2025-12-19T00:00:00"/>
    <d v="2026-01-02T00:00:00"/>
    <n v="2400"/>
    <m/>
    <s v="Pending"/>
    <x v="1"/>
    <s v="Neha G"/>
    <n v="286"/>
    <s v="90+"/>
    <n v="2400"/>
    <s v="Manish Arora"/>
    <n v="0"/>
  </r>
  <r>
    <s v="C20449"/>
    <s v="P-1413"/>
    <s v="Apex Ortho Center"/>
    <s v="Aetna"/>
    <d v="2026-04-20T00:00:00"/>
    <d v="2026-04-26T00:00:00"/>
    <n v="9475"/>
    <n v="7093.9"/>
    <s v="Paid"/>
    <x v="1"/>
    <s v="Priya K"/>
    <n v="172"/>
    <s v="90+"/>
    <n v="0"/>
    <s v="Manish Arora"/>
    <n v="0"/>
  </r>
  <r>
    <s v="C20450"/>
    <s v="P-1365"/>
    <s v="Green Valley Health"/>
    <s v="Humana"/>
    <d v="2026-04-20T00:00:00"/>
    <d v="2026-05-05T00:00:00"/>
    <n v="7075"/>
    <n v="5599.62"/>
    <s v="Paid"/>
    <x v="1"/>
    <s v="Anjali T"/>
    <n v="163"/>
    <s v="90+"/>
    <n v="0"/>
    <s v="Deepak Nair"/>
    <n v="0"/>
  </r>
  <r>
    <s v="C20451"/>
    <s v="P-1045"/>
    <s v="Apex Ortho Center"/>
    <s v="Aetna"/>
    <d v="2026-04-16T00:00:00"/>
    <d v="2026-04-25T00:00:00"/>
    <n v="3475"/>
    <n v="2776.41"/>
    <s v="Paid"/>
    <x v="1"/>
    <s v="Rahul S"/>
    <n v="173"/>
    <s v="90+"/>
    <n v="0"/>
    <s v="Manish Arora"/>
    <n v="0"/>
  </r>
  <r>
    <s v="C20452"/>
    <s v="P-1434"/>
    <s v="Green Valley Health"/>
    <s v="Humana"/>
    <d v="2026-09-22T00:00:00"/>
    <d v="2026-09-28T00:00:00"/>
    <n v="1600"/>
    <m/>
    <s v="Pending"/>
    <x v="1"/>
    <s v="Vikas R"/>
    <n v="17"/>
    <s v="0-30"/>
    <n v="1600"/>
    <s v="Sunita Rao"/>
    <n v="0"/>
  </r>
  <r>
    <s v="C20453"/>
    <s v="P-1002"/>
    <s v="Sunrise Hospital"/>
    <s v="Medicare"/>
    <d v="2026-04-23T00:00:00"/>
    <d v="2026-05-01T00:00:00"/>
    <n v="1900"/>
    <n v="0"/>
    <s v="Denied"/>
    <x v="0"/>
    <s v="Priya K"/>
    <n v="167"/>
    <s v="90+"/>
    <n v="0"/>
    <s v="Manish Arora"/>
    <n v="1900"/>
  </r>
  <r>
    <s v="C20454"/>
    <s v="P-1068"/>
    <s v="City Care Clinic"/>
    <s v="UnitedHealthcare"/>
    <d v="2026-06-09T00:00:00"/>
    <d v="2026-06-27T00:00:00"/>
    <n v="10950"/>
    <n v="6697.06"/>
    <s v="Paid"/>
    <x v="1"/>
    <s v="Kavita D"/>
    <n v="110"/>
    <s v="90+"/>
    <n v="0"/>
    <s v="Deepak Nair"/>
    <n v="0"/>
  </r>
  <r>
    <s v="C20455"/>
    <s v="P-1444"/>
    <s v="Sunrise Hospital"/>
    <s v="Cigna"/>
    <d v="2026-02-28T00:00:00"/>
    <d v="2026-03-12T00:00:00"/>
    <n v="11850"/>
    <n v="6668.68"/>
    <s v="Paid"/>
    <x v="1"/>
    <s v="Anjali T"/>
    <n v="217"/>
    <s v="90+"/>
    <n v="0"/>
    <s v="Deepak Nair"/>
    <n v="0"/>
  </r>
  <r>
    <s v="C20456"/>
    <s v="P-1234"/>
    <s v="Green Valley Health"/>
    <s v="Aetna"/>
    <d v="2026-03-19T00:00:00"/>
    <d v="2026-04-06T00:00:00"/>
    <n v="5825"/>
    <n v="4370.6499999999996"/>
    <s v="Paid"/>
    <x v="1"/>
    <s v="Amit V"/>
    <n v="192"/>
    <s v="90+"/>
    <n v="0"/>
    <s v="Manish Arora"/>
    <n v="0"/>
  </r>
  <r>
    <s v="C20457"/>
    <s v="P-1098"/>
    <s v="Apex Ortho Center"/>
    <s v="Medicaid"/>
    <d v="2026-05-18T00:00:00"/>
    <d v="2026-05-29T00:00:00"/>
    <n v="11325"/>
    <n v="0"/>
    <s v="Denied"/>
    <x v="6"/>
    <s v="Rohit B"/>
    <n v="139"/>
    <s v="90+"/>
    <n v="0"/>
    <s v="Deepak Nair"/>
    <n v="11325"/>
  </r>
  <r>
    <s v="C20458"/>
    <s v="P-1041"/>
    <s v="Green Valley Health"/>
    <s v="Aetna"/>
    <d v="2026-01-14T00:00:00"/>
    <d v="2026-02-02T00:00:00"/>
    <n v="4025"/>
    <n v="2877.4"/>
    <s v="Paid"/>
    <x v="1"/>
    <s v="Neha G"/>
    <n v="255"/>
    <s v="90+"/>
    <n v="0"/>
    <s v="Manish Arora"/>
    <n v="0"/>
  </r>
  <r>
    <s v="C20459"/>
    <s v="P-1062"/>
    <s v="Green Valley Health"/>
    <s v="Blue Cross"/>
    <d v="2026-01-29T00:00:00"/>
    <d v="2026-02-13T00:00:00"/>
    <n v="12000"/>
    <n v="11713.83"/>
    <s v="Paid"/>
    <x v="1"/>
    <s v="Anjali T"/>
    <n v="244"/>
    <s v="90+"/>
    <n v="0"/>
    <s v="Deepak Nair"/>
    <n v="0"/>
  </r>
  <r>
    <s v="C20460"/>
    <s v="P-1054"/>
    <s v="City Care Clinic"/>
    <s v="UnitedHealthcare"/>
    <d v="2026-01-26T00:00:00"/>
    <d v="2026-02-02T00:00:00"/>
    <n v="3350"/>
    <n v="2006.04"/>
    <s v="Paid"/>
    <x v="1"/>
    <s v="Anjali T"/>
    <n v="255"/>
    <s v="90+"/>
    <n v="0"/>
    <s v="Deepak Nair"/>
    <n v="0"/>
  </r>
  <r>
    <s v="C20461"/>
    <s v="P-1220"/>
    <s v="City Care Clinic"/>
    <s v="Blue Cross"/>
    <d v="2026-03-12T00:00:00"/>
    <d v="2026-03-23T00:00:00"/>
    <n v="14900"/>
    <n v="9534.39"/>
    <s v="Paid"/>
    <x v="1"/>
    <s v="Amit V"/>
    <n v="206"/>
    <s v="90+"/>
    <n v="0"/>
    <s v="Manish Arora"/>
    <n v="0"/>
  </r>
  <r>
    <s v="C20462"/>
    <s v="P-1476"/>
    <s v="Sunrise Hospital"/>
    <s v="Unknown"/>
    <d v="2026-01-24T00:00:00"/>
    <d v="2026-02-04T00:00:00"/>
    <n v="4350"/>
    <n v="3193.33"/>
    <s v="Paid"/>
    <x v="1"/>
    <s v="Neha G"/>
    <n v="253"/>
    <s v="90+"/>
    <n v="0"/>
    <s v="Manish Arora"/>
    <n v="0"/>
  </r>
  <r>
    <s v="C20463"/>
    <s v="P-1331"/>
    <s v="City Care Clinic"/>
    <s v="Medicaid"/>
    <d v="2025-12-24T00:00:00"/>
    <d v="2026-01-09T00:00:00"/>
    <n v="1025"/>
    <n v="748.53"/>
    <s v="Paid"/>
    <x v="1"/>
    <s v="Pooja M"/>
    <n v="279"/>
    <s v="90+"/>
    <n v="0"/>
    <s v="Sunita Rao"/>
    <n v="0"/>
  </r>
  <r>
    <s v="C20464"/>
    <s v="P-1382"/>
    <s v="Apex Ortho Center"/>
    <s v="Cigna"/>
    <d v="2026-04-29T00:00:00"/>
    <d v="2026-05-07T00:00:00"/>
    <n v="5425"/>
    <m/>
    <s v="Pending"/>
    <x v="1"/>
    <s v="Rohit B"/>
    <n v="161"/>
    <s v="90+"/>
    <n v="5425"/>
    <s v="Deepak Nair"/>
    <n v="0"/>
  </r>
  <r>
    <s v="C20465"/>
    <s v="P-1456"/>
    <s v="Apex Ortho Center"/>
    <s v="Medicare"/>
    <d v="2026-05-18T00:00:00"/>
    <d v="2026-05-29T00:00:00"/>
    <n v="5350"/>
    <n v="0"/>
    <s v="Denied"/>
    <x v="5"/>
    <s v="Rohit B"/>
    <n v="139"/>
    <s v="90+"/>
    <n v="0"/>
    <s v="Deepak Nair"/>
    <n v="5350"/>
  </r>
  <r>
    <s v="C20466"/>
    <s v="P-1312"/>
    <s v="Sunrise Hospital"/>
    <s v="Medicaid"/>
    <d v="2026-01-03T00:00:00"/>
    <d v="2026-01-14T00:00:00"/>
    <n v="1250"/>
    <n v="709.82"/>
    <s v="Paid"/>
    <x v="1"/>
    <s v="Priya K"/>
    <n v="274"/>
    <s v="90+"/>
    <n v="0"/>
    <s v="Manish Arora"/>
    <n v="0"/>
  </r>
  <r>
    <s v="C20467"/>
    <s v="P-1424"/>
    <s v="Sunrise Hospital"/>
    <s v="UnitedHealthcare"/>
    <d v="2026-04-01T00:00:00"/>
    <d v="2026-04-08T00:00:00"/>
    <n v="12250"/>
    <n v="11878.11"/>
    <s v="Paid"/>
    <x v="1"/>
    <s v="Neha G"/>
    <n v="190"/>
    <s v="90+"/>
    <n v="0"/>
    <s v="Manish Arora"/>
    <n v="0"/>
  </r>
  <r>
    <s v="C20468"/>
    <s v="P-1328"/>
    <s v="Green Valley Health"/>
    <s v="Blue Cross"/>
    <d v="2026-04-16T00:00:00"/>
    <d v="2026-04-29T00:00:00"/>
    <n v="2850"/>
    <n v="1884.4"/>
    <s v="Paid"/>
    <x v="1"/>
    <s v="Neha G"/>
    <n v="169"/>
    <s v="90+"/>
    <n v="0"/>
    <s v="Manish Arora"/>
    <n v="0"/>
  </r>
  <r>
    <s v="C20469"/>
    <s v="P-1151"/>
    <s v="City Care Clinic"/>
    <s v="Cigna"/>
    <d v="2026-01-05T00:00:00"/>
    <d v="2026-01-15T00:00:00"/>
    <n v="9675"/>
    <n v="8827.3700000000008"/>
    <s v="Paid"/>
    <x v="1"/>
    <s v="Rohit B"/>
    <n v="273"/>
    <s v="90+"/>
    <n v="0"/>
    <s v="Deepak Nair"/>
    <n v="0"/>
  </r>
  <r>
    <s v="C20470"/>
    <s v="P-1479"/>
    <s v="Apex Ortho Center"/>
    <s v="Medicare"/>
    <d v="2026-04-19T00:00:00"/>
    <d v="2026-05-01T00:00:00"/>
    <n v="3450"/>
    <n v="2062.71"/>
    <s v="Paid"/>
    <x v="1"/>
    <s v="Vikas R"/>
    <n v="167"/>
    <s v="90+"/>
    <n v="0"/>
    <s v="Sunita Rao"/>
    <n v="0"/>
  </r>
  <r>
    <s v="C20471"/>
    <s v="P-1116"/>
    <s v="Apex Ortho Center"/>
    <s v="Blue Cross"/>
    <d v="2026-09-06T00:00:00"/>
    <d v="2026-09-23T00:00:00"/>
    <n v="12350"/>
    <n v="7266.61"/>
    <s v="Paid"/>
    <x v="1"/>
    <s v="Rahul S"/>
    <n v="22"/>
    <s v="0-30"/>
    <n v="0"/>
    <s v="Manish Arora"/>
    <n v="0"/>
  </r>
  <r>
    <s v="C20472"/>
    <s v="P-1307"/>
    <s v="Green Valley Health"/>
    <s v="Aetna"/>
    <d v="2026-04-05T00:00:00"/>
    <d v="2026-04-10T00:00:00"/>
    <n v="4875"/>
    <n v="4090.92"/>
    <s v="Paid"/>
    <x v="1"/>
    <s v="Amit V"/>
    <n v="188"/>
    <s v="90+"/>
    <n v="0"/>
    <s v="Manish Arora"/>
    <n v="0"/>
  </r>
  <r>
    <s v="C20473"/>
    <s v="P-1051"/>
    <s v="Apex Ortho Center"/>
    <s v="UnitedHealthcare"/>
    <d v="2026-05-13T00:00:00"/>
    <d v="2026-06-01T00:00:00"/>
    <n v="12175"/>
    <n v="8209.4699999999993"/>
    <s v="Paid"/>
    <x v="1"/>
    <s v="Rohit B"/>
    <n v="136"/>
    <s v="90+"/>
    <n v="0"/>
    <s v="Deepak Nair"/>
    <n v="0"/>
  </r>
  <r>
    <s v="C20474"/>
    <s v="P-1368"/>
    <s v="Sunrise Hospital"/>
    <s v="Medicaid"/>
    <d v="2026-04-05T00:00:00"/>
    <d v="2026-04-17T00:00:00"/>
    <n v="8175"/>
    <n v="7198.5"/>
    <s v="Paid"/>
    <x v="1"/>
    <s v="Amit V"/>
    <n v="181"/>
    <s v="90+"/>
    <n v="0"/>
    <s v="Manish Arora"/>
    <n v="0"/>
  </r>
  <r>
    <s v="C20475"/>
    <s v="P-1318"/>
    <s v="Sunrise Hospital"/>
    <s v="Aetna"/>
    <d v="2026-08-29T00:00:00"/>
    <d v="2026-09-16T00:00:00"/>
    <n v="13575"/>
    <m/>
    <s v="Pending"/>
    <x v="1"/>
    <s v="Priya K"/>
    <n v="29"/>
    <s v="0-30"/>
    <n v="13575"/>
    <s v="Manish Arora"/>
    <n v="0"/>
  </r>
  <r>
    <s v="C20476"/>
    <s v="P-1400"/>
    <s v="Green Valley Health"/>
    <s v="Self Pay"/>
    <d v="2026-02-28T00:00:00"/>
    <d v="2026-03-03T00:00:00"/>
    <n v="8400"/>
    <n v="6947.85"/>
    <s v="Paid"/>
    <x v="1"/>
    <s v="Anjali T"/>
    <n v="226"/>
    <s v="90+"/>
    <n v="0"/>
    <s v="Deepak Nair"/>
    <n v="0"/>
  </r>
  <r>
    <s v="C20477"/>
    <s v="P-1219"/>
    <s v="Green Valley Health"/>
    <s v="Self Pay"/>
    <d v="2026-06-15T00:00:00"/>
    <d v="2026-07-05T00:00:00"/>
    <n v="7175"/>
    <n v="6218.2"/>
    <s v="Paid"/>
    <x v="1"/>
    <s v="Anjali T"/>
    <n v="102"/>
    <s v="90+"/>
    <n v="0"/>
    <s v="Deepak Nair"/>
    <n v="0"/>
  </r>
  <r>
    <s v="C20478"/>
    <s v="P-1078"/>
    <s v="Sunrise Hospital"/>
    <s v="Blue Cross"/>
    <d v="2026-03-12T00:00:00"/>
    <d v="2026-03-27T00:00:00"/>
    <n v="13375"/>
    <n v="7520.4"/>
    <s v="Paid"/>
    <x v="1"/>
    <s v="Amit V"/>
    <n v="202"/>
    <s v="90+"/>
    <n v="0"/>
    <s v="Manish Arora"/>
    <n v="0"/>
  </r>
  <r>
    <s v="C20479"/>
    <s v="P-1045"/>
    <s v="Green Valley Health"/>
    <s v="Medicare"/>
    <d v="2026-03-10T00:00:00"/>
    <d v="2026-03-29T00:00:00"/>
    <n v="5975"/>
    <m/>
    <s v="Pending"/>
    <x v="1"/>
    <s v="Neha G"/>
    <n v="200"/>
    <s v="90+"/>
    <n v="5975"/>
    <s v="Manish Arora"/>
    <n v="0"/>
  </r>
  <r>
    <s v="C20480"/>
    <s v="P-1437"/>
    <s v="Apex Ortho Center"/>
    <s v="Aetna"/>
    <d v="2026-08-13T00:00:00"/>
    <d v="2026-08-18T00:00:00"/>
    <n v="12050"/>
    <m/>
    <s v="Pending"/>
    <x v="1"/>
    <s v="Sandeep Y"/>
    <n v="58"/>
    <s v="31-60"/>
    <n v="12050"/>
    <s v="Sunita Rao"/>
    <n v="0"/>
  </r>
  <r>
    <s v="C20481"/>
    <s v="P-1001"/>
    <s v="Green Valley Health"/>
    <s v="Medicaid"/>
    <d v="2026-02-08T00:00:00"/>
    <d v="2026-02-28T00:00:00"/>
    <n v="12350"/>
    <m/>
    <s v="Pending"/>
    <x v="1"/>
    <s v="Kavita D"/>
    <n v="229"/>
    <s v="90+"/>
    <n v="12350"/>
    <s v="Deepak Nair"/>
    <n v="0"/>
  </r>
  <r>
    <s v="C20482"/>
    <s v="P-1121"/>
    <s v="Green Valley Health"/>
    <s v="Medicaid"/>
    <d v="2026-05-06T00:00:00"/>
    <d v="2026-05-19T00:00:00"/>
    <n v="14300"/>
    <n v="13781.35"/>
    <s v="Paid"/>
    <x v="1"/>
    <s v="Anjali T"/>
    <n v="149"/>
    <s v="90+"/>
    <n v="0"/>
    <s v="Deepak Nair"/>
    <n v="0"/>
  </r>
  <r>
    <s v="C20483"/>
    <s v="P-1454"/>
    <s v="Apex Ortho Center"/>
    <s v="Aetna"/>
    <d v="2026-03-06T00:00:00"/>
    <d v="2026-03-23T00:00:00"/>
    <n v="6225"/>
    <n v="4404.38"/>
    <s v="Paid"/>
    <x v="1"/>
    <s v="Anjali T"/>
    <n v="206"/>
    <s v="90+"/>
    <n v="0"/>
    <s v="Deepak Nair"/>
    <n v="0"/>
  </r>
  <r>
    <s v="C20484"/>
    <s v="P-1223"/>
    <s v="Green Valley Health"/>
    <s v="Cigna"/>
    <d v="2026-03-22T00:00:00"/>
    <d v="2026-04-01T00:00:00"/>
    <n v="14275"/>
    <n v="10641.9"/>
    <s v="Paid"/>
    <x v="1"/>
    <s v="Sandeep Y"/>
    <n v="197"/>
    <s v="90+"/>
    <n v="0"/>
    <s v="Sunita Rao"/>
    <n v="0"/>
  </r>
  <r>
    <s v="C20485"/>
    <s v="P-1468"/>
    <s v="Green Valley Health"/>
    <s v="UnitedHealthcare"/>
    <d v="2026-05-01T00:00:00"/>
    <d v="2026-05-16T00:00:00"/>
    <n v="11500"/>
    <n v="7071.41"/>
    <s v="Paid"/>
    <x v="1"/>
    <s v="Amit V"/>
    <n v="152"/>
    <s v="90+"/>
    <n v="0"/>
    <s v="Manish Arora"/>
    <n v="0"/>
  </r>
  <r>
    <s v="C20486"/>
    <s v="P-1007"/>
    <s v="City Care Clinic"/>
    <s v="Blue Cross"/>
    <d v="2026-04-05T00:00:00"/>
    <d v="2026-04-10T00:00:00"/>
    <n v="9400"/>
    <m/>
    <s v="Pending"/>
    <x v="1"/>
    <s v="Sandeep Y"/>
    <n v="188"/>
    <s v="90+"/>
    <n v="9400"/>
    <s v="Sunita Rao"/>
    <n v="0"/>
  </r>
  <r>
    <s v="C20487"/>
    <s v="P-1167"/>
    <s v="City Care Clinic"/>
    <s v="Cigna"/>
    <d v="2026-01-08T00:00:00"/>
    <d v="2026-01-16T00:00:00"/>
    <n v="12975"/>
    <n v="12753.94"/>
    <s v="Paid"/>
    <x v="1"/>
    <s v="Vikas R"/>
    <n v="272"/>
    <s v="90+"/>
    <n v="0"/>
    <s v="Sunita Rao"/>
    <n v="0"/>
  </r>
  <r>
    <s v="C20488"/>
    <s v="P-1315"/>
    <s v="Sunrise Hospital"/>
    <s v="UnitedHealthcare"/>
    <d v="2026-05-24T00:00:00"/>
    <d v="2026-06-11T00:00:00"/>
    <n v="12850"/>
    <m/>
    <s v="Pending"/>
    <x v="1"/>
    <s v="Rahul S"/>
    <n v="126"/>
    <s v="90+"/>
    <n v="12850"/>
    <s v="Manish Arora"/>
    <n v="0"/>
  </r>
  <r>
    <s v="C20489"/>
    <s v="P-1218"/>
    <s v="Green Valley Health"/>
    <s v="Medicaid"/>
    <d v="2026-04-15T00:00:00"/>
    <d v="2026-05-03T00:00:00"/>
    <n v="9825"/>
    <n v="7236.48"/>
    <s v="Paid"/>
    <x v="1"/>
    <s v="Amit V"/>
    <n v="165"/>
    <s v="90+"/>
    <n v="0"/>
    <s v="Manish Arora"/>
    <n v="0"/>
  </r>
  <r>
    <s v="C20490"/>
    <s v="P-1028"/>
    <s v="Sunrise Hospital"/>
    <s v="Medicaid"/>
    <d v="2026-08-22T00:00:00"/>
    <d v="2026-09-09T00:00:00"/>
    <n v="7275"/>
    <n v="6010.03"/>
    <s v="Paid"/>
    <x v="1"/>
    <s v="Vikas R"/>
    <n v="36"/>
    <s v="31-60"/>
    <n v="0"/>
    <s v="Sunita Rao"/>
    <n v="0"/>
  </r>
  <r>
    <s v="C20491"/>
    <s v="P-1016"/>
    <s v="Apex Ortho Center"/>
    <s v="Medicaid"/>
    <d v="2026-02-12T00:00:00"/>
    <d v="2026-02-22T00:00:00"/>
    <n v="575"/>
    <n v="510.53"/>
    <s v="Paid"/>
    <x v="1"/>
    <s v="Anjali T"/>
    <n v="235"/>
    <s v="90+"/>
    <n v="0"/>
    <s v="Deepak Nair"/>
    <n v="0"/>
  </r>
  <r>
    <s v="C20492"/>
    <s v="P-1128"/>
    <s v="City Care Clinic"/>
    <s v="Blue Cross"/>
    <d v="2026-08-13T00:00:00"/>
    <d v="2026-08-22T00:00:00"/>
    <n v="13325"/>
    <m/>
    <s v="Pending"/>
    <x v="1"/>
    <s v="Priya K"/>
    <n v="54"/>
    <s v="31-60"/>
    <n v="13325"/>
    <s v="Manish Arora"/>
    <n v="0"/>
  </r>
  <r>
    <s v="C20493"/>
    <s v="P-1407"/>
    <s v="Green Valley Health"/>
    <s v="Medicaid"/>
    <d v="2026-01-12T00:00:00"/>
    <d v="2026-01-18T00:00:00"/>
    <n v="2450"/>
    <n v="2331.9299999999998"/>
    <s v="Paid"/>
    <x v="1"/>
    <s v="Anjali T"/>
    <n v="270"/>
    <s v="90+"/>
    <n v="0"/>
    <s v="Deepak Nair"/>
    <n v="0"/>
  </r>
  <r>
    <s v="C20494"/>
    <s v="P-1270"/>
    <s v="Sunrise Hospital"/>
    <s v="Medicare"/>
    <d v="2026-04-12T00:00:00"/>
    <d v="2026-04-29T00:00:00"/>
    <n v="14075"/>
    <n v="10464.76"/>
    <s v="Paid"/>
    <x v="1"/>
    <s v="Priya K"/>
    <n v="169"/>
    <s v="90+"/>
    <n v="0"/>
    <s v="Manish Arora"/>
    <n v="0"/>
  </r>
  <r>
    <s v="C20495"/>
    <s v="P-1003"/>
    <s v="Apex Ortho Center"/>
    <s v="Aetna"/>
    <d v="2026-03-02T00:00:00"/>
    <d v="2026-03-07T00:00:00"/>
    <n v="13275"/>
    <n v="8812.51"/>
    <s v="Paid"/>
    <x v="1"/>
    <s v="Anjali T"/>
    <n v="222"/>
    <s v="90+"/>
    <n v="0"/>
    <s v="Deepak Nair"/>
    <n v="0"/>
  </r>
  <r>
    <s v="C20496"/>
    <s v="P-1135"/>
    <s v="City Care Clinic"/>
    <s v="Aetna"/>
    <d v="2026-05-10T00:00:00"/>
    <d v="2026-05-13T00:00:00"/>
    <n v="12900"/>
    <m/>
    <s v="Pending"/>
    <x v="1"/>
    <s v="Pooja M"/>
    <n v="155"/>
    <s v="90+"/>
    <n v="12900"/>
    <s v="Sunita Rao"/>
    <n v="0"/>
  </r>
  <r>
    <s v="C20497"/>
    <s v="P-1395"/>
    <s v="Apex Ortho Center"/>
    <s v="Medicare"/>
    <d v="2026-07-15T00:00:00"/>
    <d v="2026-07-28T00:00:00"/>
    <n v="2050"/>
    <n v="1488.47"/>
    <s v="Paid"/>
    <x v="1"/>
    <s v="Anjali T"/>
    <n v="79"/>
    <s v="61-90"/>
    <n v="0"/>
    <s v="Deepak Nair"/>
    <n v="0"/>
  </r>
  <r>
    <s v="C20498"/>
    <s v="P-1009"/>
    <s v="Sunrise Hospital"/>
    <s v="Medicaid"/>
    <d v="2026-05-15T00:00:00"/>
    <d v="2026-06-03T00:00:00"/>
    <n v="4050"/>
    <n v="3833.47"/>
    <s v="Paid"/>
    <x v="1"/>
    <s v="Rohit B"/>
    <n v="134"/>
    <s v="90+"/>
    <n v="0"/>
    <s v="Deepak Nair"/>
    <n v="0"/>
  </r>
  <r>
    <s v="C20499"/>
    <s v="P-1251"/>
    <s v="Green Valley Health"/>
    <s v="UnitedHealthcare"/>
    <d v="2026-07-20T00:00:00"/>
    <d v="2026-08-09T00:00:00"/>
    <n v="11175"/>
    <n v="9737.7800000000007"/>
    <s v="Paid"/>
    <x v="1"/>
    <s v="Sandeep Y"/>
    <n v="67"/>
    <s v="61-90"/>
    <n v="0"/>
    <s v="Sunita Rao"/>
    <n v="0"/>
  </r>
  <r>
    <s v="C20500"/>
    <s v="P-1079"/>
    <s v="City Care Clinic"/>
    <s v="Aetna"/>
    <d v="2026-07-21T00:00:00"/>
    <d v="2026-08-08T00:00:00"/>
    <n v="2300"/>
    <m/>
    <s v="Pending"/>
    <x v="1"/>
    <s v="Amit V"/>
    <n v="68"/>
    <s v="61-90"/>
    <n v="2300"/>
    <s v="Manish Arora"/>
    <n v="0"/>
  </r>
  <r>
    <s v="C20501"/>
    <s v="P-1188"/>
    <s v="City Care Clinic"/>
    <s v="Blue Cross"/>
    <d v="2026-01-06T00:00:00"/>
    <d v="2026-01-13T00:00:00"/>
    <n v="14550"/>
    <m/>
    <s v="Pending"/>
    <x v="1"/>
    <s v="Anjali T"/>
    <n v="275"/>
    <s v="90+"/>
    <n v="14550"/>
    <s v="Deepak Nair"/>
    <n v="0"/>
  </r>
  <r>
    <s v="C20502"/>
    <s v="P-1398"/>
    <s v="Sunrise Hospital"/>
    <s v="Aetna"/>
    <d v="2026-03-25T00:00:00"/>
    <d v="2026-03-29T00:00:00"/>
    <n v="14325"/>
    <n v="9381.25"/>
    <s v="Paid"/>
    <x v="1"/>
    <s v="Rahul S"/>
    <n v="200"/>
    <s v="90+"/>
    <n v="0"/>
    <s v="Manish Arora"/>
    <n v="0"/>
  </r>
  <r>
    <s v="C20503"/>
    <s v="P-1268"/>
    <s v="Green Valley Health"/>
    <s v="Aetna"/>
    <d v="2026-03-17T00:00:00"/>
    <d v="2026-04-05T00:00:00"/>
    <n v="13650"/>
    <n v="8661.75"/>
    <s v="Paid"/>
    <x v="1"/>
    <s v="Kavita D"/>
    <n v="193"/>
    <s v="90+"/>
    <n v="0"/>
    <s v="Deepak Nair"/>
    <n v="0"/>
  </r>
  <r>
    <s v="C20504"/>
    <s v="P-1272"/>
    <s v="Apex Ortho Center"/>
    <s v="Humana"/>
    <d v="2026-08-18T00:00:00"/>
    <d v="2026-09-03T00:00:00"/>
    <n v="12100"/>
    <m/>
    <s v="Pending"/>
    <x v="1"/>
    <s v="Priya K"/>
    <n v="42"/>
    <s v="31-60"/>
    <n v="12100"/>
    <s v="Manish Arora"/>
    <n v="0"/>
  </r>
  <r>
    <s v="C20505"/>
    <s v="P-1077"/>
    <s v="Green Valley Health"/>
    <s v="UnitedHealthcare"/>
    <d v="2026-09-18T00:00:00"/>
    <d v="2026-09-28T00:00:00"/>
    <n v="2900"/>
    <n v="2425.7399999999998"/>
    <s v="Paid"/>
    <x v="1"/>
    <s v="Vikas R"/>
    <n v="17"/>
    <s v="0-30"/>
    <n v="0"/>
    <s v="Sunita Rao"/>
    <n v="0"/>
  </r>
  <r>
    <s v="C20506"/>
    <s v="P-1003"/>
    <s v="Sunrise Hospital"/>
    <s v="Medicaid"/>
    <d v="2026-04-25T00:00:00"/>
    <d v="2026-05-03T00:00:00"/>
    <n v="8050"/>
    <m/>
    <s v="Pending"/>
    <x v="1"/>
    <s v="Pooja M"/>
    <n v="165"/>
    <s v="90+"/>
    <n v="8050"/>
    <s v="Sunita Rao"/>
    <n v="0"/>
  </r>
  <r>
    <s v="C20507"/>
    <s v="P-1323"/>
    <s v="City Care Clinic"/>
    <s v="Blue Cross"/>
    <d v="2026-08-31T00:00:00"/>
    <d v="2026-09-17T00:00:00"/>
    <n v="2000"/>
    <m/>
    <s v="Pending"/>
    <x v="1"/>
    <s v="Kavita D"/>
    <n v="28"/>
    <s v="0-30"/>
    <n v="2000"/>
    <s v="Deepak Nair"/>
    <n v="0"/>
  </r>
  <r>
    <s v="C20508"/>
    <s v="P-1137"/>
    <s v="Green Valley Health"/>
    <s v="Medicaid"/>
    <d v="2026-07-11T00:00:00"/>
    <d v="2026-07-28T00:00:00"/>
    <n v="11725"/>
    <n v="7547.58"/>
    <s v="Paid"/>
    <x v="1"/>
    <s v="Rohit B"/>
    <n v="79"/>
    <s v="61-90"/>
    <n v="0"/>
    <s v="Deepak Nair"/>
    <n v="0"/>
  </r>
  <r>
    <s v="C20509"/>
    <s v="P-1487"/>
    <s v="Sunrise Hospital"/>
    <s v="Medicare"/>
    <d v="2026-07-25T00:00:00"/>
    <d v="2026-08-08T00:00:00"/>
    <n v="7475"/>
    <n v="5712.97"/>
    <s v="Paid"/>
    <x v="1"/>
    <s v="Priya K"/>
    <n v="68"/>
    <s v="61-90"/>
    <n v="0"/>
    <s v="Manish Arora"/>
    <n v="0"/>
  </r>
  <r>
    <s v="C20510"/>
    <s v="P-1344"/>
    <s v="Sunrise Hospital"/>
    <s v="Humana"/>
    <d v="2026-05-21T00:00:00"/>
    <d v="2026-05-24T00:00:00"/>
    <n v="4250"/>
    <n v="4133.03"/>
    <s v="Paid"/>
    <x v="1"/>
    <s v="Priya K"/>
    <n v="144"/>
    <s v="90+"/>
    <n v="0"/>
    <s v="Manish Arora"/>
    <n v="0"/>
  </r>
  <r>
    <s v="C20511"/>
    <s v="P-1476"/>
    <s v="Sunrise Hospital"/>
    <s v="Aetna"/>
    <d v="2026-07-03T00:00:00"/>
    <d v="2026-07-13T00:00:00"/>
    <n v="12975"/>
    <n v="11011.63"/>
    <s v="Paid"/>
    <x v="1"/>
    <s v="Rahul S"/>
    <n v="94"/>
    <s v="90+"/>
    <n v="0"/>
    <s v="Manish Arora"/>
    <n v="0"/>
  </r>
  <r>
    <s v="C20512"/>
    <s v="P-1291"/>
    <s v="Sunrise Hospital"/>
    <s v="UnitedHealthcare"/>
    <d v="2026-07-16T00:00:00"/>
    <d v="2026-08-03T00:00:00"/>
    <n v="10000"/>
    <m/>
    <s v="Pending"/>
    <x v="1"/>
    <s v="Rohit B"/>
    <n v="73"/>
    <s v="61-90"/>
    <n v="10000"/>
    <s v="Deepak Nair"/>
    <n v="0"/>
  </r>
  <r>
    <s v="C20513"/>
    <s v="P-1105"/>
    <s v="Sunrise Hospital"/>
    <s v="Blue Cross"/>
    <d v="2026-01-19T00:00:00"/>
    <d v="2026-02-02T00:00:00"/>
    <n v="12950"/>
    <n v="0"/>
    <s v="Denied"/>
    <x v="2"/>
    <s v="Rohit B"/>
    <n v="255"/>
    <s v="90+"/>
    <n v="0"/>
    <s v="Deepak Nair"/>
    <n v="12950"/>
  </r>
  <r>
    <s v="C20514"/>
    <s v="P-1214"/>
    <s v="Sunrise Hospital"/>
    <s v="Blue Cross"/>
    <d v="2026-05-06T00:00:00"/>
    <d v="2026-05-17T00:00:00"/>
    <n v="12325"/>
    <n v="9838.02"/>
    <s v="Paid"/>
    <x v="1"/>
    <s v="Neha G"/>
    <n v="151"/>
    <s v="90+"/>
    <n v="0"/>
    <s v="Manish Arora"/>
    <n v="0"/>
  </r>
  <r>
    <s v="C20515"/>
    <s v="P-1420"/>
    <s v="Sunrise Hospital"/>
    <s v="Unknown"/>
    <d v="2026-02-15T00:00:00"/>
    <d v="2026-03-02T00:00:00"/>
    <n v="975"/>
    <n v="844.58"/>
    <s v="Paid"/>
    <x v="1"/>
    <s v="Pooja M"/>
    <n v="227"/>
    <s v="90+"/>
    <n v="0"/>
    <s v="Sunita Rao"/>
    <n v="0"/>
  </r>
  <r>
    <s v="C20516"/>
    <s v="P-1045"/>
    <s v="City Care Clinic"/>
    <s v="Medicare"/>
    <d v="2026-05-13T00:00:00"/>
    <d v="2026-05-27T00:00:00"/>
    <n v="6525"/>
    <n v="4768.79"/>
    <s v="Paid"/>
    <x v="1"/>
    <s v="Vikas R"/>
    <n v="141"/>
    <s v="90+"/>
    <n v="0"/>
    <s v="Sunita Rao"/>
    <n v="0"/>
  </r>
  <r>
    <s v="C20517"/>
    <s v="P-1204"/>
    <s v="City Care Clinic"/>
    <s v="Medicaid"/>
    <d v="2026-06-23T00:00:00"/>
    <d v="2026-07-08T00:00:00"/>
    <n v="6575"/>
    <n v="4091.48"/>
    <s v="Paid"/>
    <x v="1"/>
    <s v="Pooja M"/>
    <n v="99"/>
    <s v="90+"/>
    <n v="0"/>
    <s v="Sunita Rao"/>
    <n v="0"/>
  </r>
  <r>
    <s v="C20518"/>
    <s v="P-1105"/>
    <s v="City Care Clinic"/>
    <s v="Cigna"/>
    <d v="2026-05-08T00:00:00"/>
    <d v="2026-05-16T00:00:00"/>
    <n v="11250"/>
    <m/>
    <s v="Pending"/>
    <x v="1"/>
    <s v="Sandeep Y"/>
    <n v="152"/>
    <s v="90+"/>
    <n v="11250"/>
    <s v="Sunita Rao"/>
    <n v="0"/>
  </r>
  <r>
    <s v="C20519"/>
    <s v="P-1290"/>
    <s v="Apex Ortho Center"/>
    <s v="Aetna"/>
    <d v="2026-06-29T00:00:00"/>
    <d v="2026-07-16T00:00:00"/>
    <n v="10875"/>
    <n v="6117.15"/>
    <s v="Paid"/>
    <x v="1"/>
    <s v="Pooja M"/>
    <n v="91"/>
    <s v="90+"/>
    <n v="0"/>
    <s v="Sunita Rao"/>
    <n v="0"/>
  </r>
  <r>
    <s v="C20520"/>
    <s v="P-1026"/>
    <s v="City Care Clinic"/>
    <s v="Medicare"/>
    <d v="2025-12-17T00:00:00"/>
    <d v="2026-01-04T00:00:00"/>
    <n v="2200"/>
    <n v="1927.56"/>
    <s v="Paid"/>
    <x v="1"/>
    <s v="Pooja M"/>
    <n v="284"/>
    <s v="90+"/>
    <n v="0"/>
    <s v="Sunita Rao"/>
    <n v="0"/>
  </r>
  <r>
    <s v="C20521"/>
    <s v="P-1270"/>
    <s v="Apex Ortho Center"/>
    <s v="Blue Cross"/>
    <d v="2026-04-24T00:00:00"/>
    <d v="2026-05-01T00:00:00"/>
    <n v="10875"/>
    <n v="7169.08"/>
    <s v="Paid"/>
    <x v="1"/>
    <s v="Pooja M"/>
    <n v="167"/>
    <s v="90+"/>
    <n v="0"/>
    <s v="Sunita Rao"/>
    <n v="0"/>
  </r>
  <r>
    <s v="C20522"/>
    <s v="P-1466"/>
    <s v="City Care Clinic"/>
    <s v="Blue Cross"/>
    <d v="2026-06-15T00:00:00"/>
    <d v="2026-06-28T00:00:00"/>
    <n v="6500"/>
    <n v="5498.28"/>
    <s v="Paid"/>
    <x v="1"/>
    <s v="Anjali T"/>
    <n v="109"/>
    <s v="90+"/>
    <n v="0"/>
    <s v="Deepak Nair"/>
    <n v="0"/>
  </r>
  <r>
    <s v="C20523"/>
    <s v="P-1356"/>
    <s v="City Care Clinic"/>
    <s v="Aetna"/>
    <d v="2026-02-13T00:00:00"/>
    <d v="2026-02-17T00:00:00"/>
    <n v="4825"/>
    <n v="3564.06"/>
    <s v="Paid"/>
    <x v="1"/>
    <s v="Rohit B"/>
    <n v="240"/>
    <s v="90+"/>
    <n v="0"/>
    <s v="Deepak Nair"/>
    <n v="0"/>
  </r>
  <r>
    <s v="C20524"/>
    <s v="P-1152"/>
    <s v="Green Valley Health"/>
    <s v="Blue Cross"/>
    <d v="2026-03-17T00:00:00"/>
    <d v="2026-03-23T00:00:00"/>
    <n v="12700"/>
    <n v="9788.7099999999991"/>
    <s v="Paid"/>
    <x v="1"/>
    <s v="Rohit B"/>
    <n v="206"/>
    <s v="90+"/>
    <n v="0"/>
    <s v="Deepak Nair"/>
    <n v="0"/>
  </r>
  <r>
    <s v="C20525"/>
    <s v="P-1352"/>
    <s v="City Care Clinic"/>
    <s v="Aetna"/>
    <d v="2026-09-13T00:00:00"/>
    <d v="2026-09-25T00:00:00"/>
    <n v="9875"/>
    <m/>
    <s v="Pending"/>
    <x v="1"/>
    <s v="Priya K"/>
    <n v="20"/>
    <s v="0-30"/>
    <n v="9875"/>
    <s v="Manish Arora"/>
    <n v="0"/>
  </r>
  <r>
    <s v="C20526"/>
    <s v="P-1364"/>
    <s v="City Care Clinic"/>
    <s v="Aetna"/>
    <d v="2026-07-22T00:00:00"/>
    <d v="2026-08-10T00:00:00"/>
    <n v="14100"/>
    <m/>
    <s v="Pending"/>
    <x v="1"/>
    <s v="Sandeep Y"/>
    <n v="66"/>
    <s v="61-90"/>
    <n v="14100"/>
    <s v="Sunita Rao"/>
    <n v="0"/>
  </r>
  <r>
    <s v="C20527"/>
    <s v="P-1307"/>
    <s v="Sunrise Hospital"/>
    <s v="Aetna"/>
    <d v="2026-07-23T00:00:00"/>
    <d v="2026-08-12T00:00:00"/>
    <n v="3750"/>
    <m/>
    <s v="Pending"/>
    <x v="1"/>
    <s v="Amit V"/>
    <n v="64"/>
    <s v="61-90"/>
    <n v="3750"/>
    <s v="Manish Arora"/>
    <n v="0"/>
  </r>
  <r>
    <s v="C20528"/>
    <s v="P-1390"/>
    <s v="Green Valley Health"/>
    <s v="Aetna"/>
    <d v="2026-08-05T00:00:00"/>
    <d v="2026-08-22T00:00:00"/>
    <n v="13925"/>
    <n v="8365.64"/>
    <s v="Paid"/>
    <x v="1"/>
    <s v="Sandeep Y"/>
    <n v="54"/>
    <s v="31-60"/>
    <n v="0"/>
    <s v="Sunita Rao"/>
    <n v="0"/>
  </r>
  <r>
    <s v="C20529"/>
    <s v="P-1187"/>
    <s v="City Care Clinic"/>
    <s v="Cigna"/>
    <d v="2026-04-20T00:00:00"/>
    <d v="2026-05-03T00:00:00"/>
    <n v="13625"/>
    <n v="10359.780000000001"/>
    <s v="Paid"/>
    <x v="1"/>
    <s v="Vikas R"/>
    <n v="165"/>
    <s v="90+"/>
    <n v="0"/>
    <s v="Sunita Rao"/>
    <n v="0"/>
  </r>
  <r>
    <s v="C20530"/>
    <s v="P-1223"/>
    <s v="Green Valley Health"/>
    <s v="Medicare"/>
    <d v="2026-05-16T00:00:00"/>
    <d v="2026-06-05T00:00:00"/>
    <n v="1550"/>
    <n v="925.53"/>
    <s v="Paid"/>
    <x v="1"/>
    <s v="Pooja M"/>
    <n v="132"/>
    <s v="90+"/>
    <n v="0"/>
    <s v="Sunita Rao"/>
    <n v="0"/>
  </r>
  <r>
    <s v="C20531"/>
    <s v="P-1360"/>
    <s v="Sunrise Hospital"/>
    <s v="Blue Cross"/>
    <d v="2026-08-10T00:00:00"/>
    <d v="2026-08-19T00:00:00"/>
    <n v="12825"/>
    <n v="11884.49"/>
    <s v="Paid"/>
    <x v="1"/>
    <s v="Kavita D"/>
    <n v="57"/>
    <s v="31-60"/>
    <n v="0"/>
    <s v="Deepak Nair"/>
    <n v="0"/>
  </r>
  <r>
    <s v="C20532"/>
    <s v="P-1198"/>
    <s v="Green Valley Health"/>
    <s v="Unknown"/>
    <d v="2026-03-09T00:00:00"/>
    <d v="2026-03-27T00:00:00"/>
    <n v="8750"/>
    <n v="8625.4"/>
    <s v="Paid"/>
    <x v="1"/>
    <s v="Anjali T"/>
    <n v="202"/>
    <s v="90+"/>
    <n v="0"/>
    <s v="Deepak Nair"/>
    <n v="0"/>
  </r>
  <r>
    <s v="C20533"/>
    <s v="P-1440"/>
    <s v="City Care Clinic"/>
    <s v="UnitedHealthcare"/>
    <d v="2025-12-28T00:00:00"/>
    <d v="2026-01-14T00:00:00"/>
    <n v="4625"/>
    <n v="4068.53"/>
    <s v="Paid"/>
    <x v="1"/>
    <s v="Anjali T"/>
    <n v="274"/>
    <s v="90+"/>
    <n v="0"/>
    <s v="Deepak Nair"/>
    <n v="0"/>
  </r>
  <r>
    <s v="C20534"/>
    <s v="P-1161"/>
    <s v="Sunrise Hospital"/>
    <s v="Humana"/>
    <d v="2026-02-06T00:00:00"/>
    <d v="2026-02-10T00:00:00"/>
    <n v="12850"/>
    <n v="12248.8"/>
    <s v="Paid"/>
    <x v="1"/>
    <s v="Anjali T"/>
    <n v="247"/>
    <s v="90+"/>
    <n v="0"/>
    <s v="Deepak Nair"/>
    <n v="0"/>
  </r>
  <r>
    <s v="C20535"/>
    <s v="P-1092"/>
    <s v="Green Valley Health"/>
    <s v="Humana"/>
    <d v="2026-09-18T00:00:00"/>
    <d v="2026-09-22T00:00:00"/>
    <n v="10275"/>
    <m/>
    <s v="Pending"/>
    <x v="1"/>
    <s v="Amit V"/>
    <n v="23"/>
    <s v="0-30"/>
    <n v="10275"/>
    <s v="Manish Arora"/>
    <n v="0"/>
  </r>
  <r>
    <s v="C20536"/>
    <s v="P-1446"/>
    <s v="Sunrise Hospital"/>
    <s v="Medicaid"/>
    <d v="2026-09-10T00:00:00"/>
    <d v="2026-09-18T00:00:00"/>
    <n v="12075"/>
    <n v="9324.4500000000007"/>
    <s v="Paid"/>
    <x v="1"/>
    <s v="Rahul S"/>
    <n v="27"/>
    <s v="0-30"/>
    <n v="0"/>
    <s v="Manish Arora"/>
    <n v="0"/>
  </r>
  <r>
    <s v="C20537"/>
    <s v="P-1073"/>
    <s v="City Care Clinic"/>
    <s v="Cigna"/>
    <d v="2026-04-08T00:00:00"/>
    <d v="2026-04-19T00:00:00"/>
    <n v="11125"/>
    <m/>
    <s v="Pending"/>
    <x v="1"/>
    <s v="Anjali T"/>
    <n v="179"/>
    <s v="90+"/>
    <n v="11125"/>
    <s v="Deepak Nair"/>
    <n v="0"/>
  </r>
  <r>
    <s v="C20538"/>
    <s v="P-1059"/>
    <s v="Sunrise Hospital"/>
    <s v="Blue Cross"/>
    <d v="2026-06-02T00:00:00"/>
    <d v="2026-06-07T00:00:00"/>
    <n v="7550"/>
    <n v="6192.41"/>
    <s v="Paid"/>
    <x v="1"/>
    <s v="Amit V"/>
    <n v="130"/>
    <s v="90+"/>
    <n v="0"/>
    <s v="Manish Arora"/>
    <n v="0"/>
  </r>
  <r>
    <s v="C20539"/>
    <s v="P-1373"/>
    <s v="City Care Clinic"/>
    <s v="UnitedHealthcare"/>
    <d v="2026-01-10T00:00:00"/>
    <d v="2026-01-18T00:00:00"/>
    <n v="2200"/>
    <m/>
    <s v="Pending"/>
    <x v="1"/>
    <s v="Vikas R"/>
    <n v="270"/>
    <s v="90+"/>
    <n v="2200"/>
    <s v="Sunita Rao"/>
    <n v="0"/>
  </r>
  <r>
    <s v="C20540"/>
    <s v="P-1197"/>
    <s v="Sunrise Hospital"/>
    <s v="Aetna"/>
    <d v="2026-07-25T00:00:00"/>
    <d v="2026-07-31T00:00:00"/>
    <n v="6175"/>
    <n v="5796.22"/>
    <s v="Paid"/>
    <x v="1"/>
    <s v="Anjali T"/>
    <n v="76"/>
    <s v="61-90"/>
    <n v="0"/>
    <s v="Deepak Nair"/>
    <n v="0"/>
  </r>
  <r>
    <s v="C20541"/>
    <s v="P-1430"/>
    <s v="City Care Clinic"/>
    <s v="Cigna"/>
    <d v="2025-12-29T00:00:00"/>
    <d v="2026-01-06T00:00:00"/>
    <n v="8475"/>
    <m/>
    <s v="Pending"/>
    <x v="1"/>
    <s v="Vikas R"/>
    <n v="282"/>
    <s v="90+"/>
    <n v="8475"/>
    <s v="Sunita Rao"/>
    <n v="0"/>
  </r>
  <r>
    <s v="C20542"/>
    <s v="P-1131"/>
    <s v="City Care Clinic"/>
    <s v="UnitedHealthcare"/>
    <d v="2026-04-08T00:00:00"/>
    <d v="2026-04-25T00:00:00"/>
    <n v="7150"/>
    <n v="4187.8500000000004"/>
    <s v="Paid"/>
    <x v="1"/>
    <s v="Priya K"/>
    <n v="173"/>
    <s v="90+"/>
    <n v="0"/>
    <s v="Manish Arora"/>
    <n v="0"/>
  </r>
  <r>
    <s v="C20543"/>
    <s v="P-1236"/>
    <s v="Green Valley Health"/>
    <s v="Aetna"/>
    <d v="2026-07-29T00:00:00"/>
    <d v="2026-08-17T00:00:00"/>
    <n v="12275"/>
    <m/>
    <s v="Pending"/>
    <x v="1"/>
    <s v="Pooja M"/>
    <n v="59"/>
    <s v="31-60"/>
    <n v="12275"/>
    <s v="Sunita Rao"/>
    <n v="0"/>
  </r>
  <r>
    <s v="C20544"/>
    <s v="P-1395"/>
    <s v="City Care Clinic"/>
    <s v="Medicaid"/>
    <d v="2026-08-06T00:00:00"/>
    <d v="2026-08-13T00:00:00"/>
    <n v="7250"/>
    <n v="6828.76"/>
    <s v="Paid"/>
    <x v="1"/>
    <s v="Anjali T"/>
    <n v="63"/>
    <s v="61-90"/>
    <n v="0"/>
    <s v="Deepak Nair"/>
    <n v="0"/>
  </r>
  <r>
    <s v="C20545"/>
    <s v="P-1363"/>
    <s v="Green Valley Health"/>
    <s v="Humana"/>
    <d v="2026-09-17T00:00:00"/>
    <d v="2026-09-27T00:00:00"/>
    <n v="4600"/>
    <m/>
    <s v="Pending"/>
    <x v="1"/>
    <s v="Sandeep Y"/>
    <n v="18"/>
    <s v="0-30"/>
    <n v="4600"/>
    <s v="Sunita Rao"/>
    <n v="0"/>
  </r>
  <r>
    <s v="C20546"/>
    <s v="P-1341"/>
    <s v="Sunrise Hospital"/>
    <s v="Blue Cross"/>
    <d v="2026-06-23T00:00:00"/>
    <d v="2026-07-05T00:00:00"/>
    <n v="14425"/>
    <n v="0"/>
    <s v="Denied"/>
    <x v="3"/>
    <s v="Priya K"/>
    <n v="102"/>
    <s v="90+"/>
    <n v="0"/>
    <s v="Manish Arora"/>
    <n v="14425"/>
  </r>
  <r>
    <s v="C20547"/>
    <s v="P-1007"/>
    <s v="Apex Ortho Center"/>
    <s v="Aetna"/>
    <d v="2026-05-07T00:00:00"/>
    <d v="2026-05-24T00:00:00"/>
    <n v="900"/>
    <n v="577.85"/>
    <s v="Paid"/>
    <x v="1"/>
    <s v="Rahul S"/>
    <n v="144"/>
    <s v="90+"/>
    <n v="0"/>
    <s v="Manish Arora"/>
    <n v="0"/>
  </r>
  <r>
    <s v="C20548"/>
    <s v="P-1267"/>
    <s v="City Care Clinic"/>
    <s v="Medicaid"/>
    <d v="2026-04-17T00:00:00"/>
    <d v="2026-04-20T00:00:00"/>
    <n v="14125"/>
    <n v="11332.55"/>
    <s v="Paid"/>
    <x v="1"/>
    <s v="Neha G"/>
    <n v="178"/>
    <s v="90+"/>
    <n v="0"/>
    <s v="Manish Arora"/>
    <n v="0"/>
  </r>
  <r>
    <s v="C20549"/>
    <s v="P-1141"/>
    <s v="Sunrise Hospital"/>
    <s v="UnitedHealthcare"/>
    <d v="2026-03-03T00:00:00"/>
    <d v="2026-03-21T00:00:00"/>
    <n v="7025"/>
    <n v="5994.55"/>
    <s v="Paid"/>
    <x v="1"/>
    <s v="Sandeep Y"/>
    <n v="208"/>
    <s v="90+"/>
    <n v="0"/>
    <s v="Sunita Rao"/>
    <n v="0"/>
  </r>
  <r>
    <s v="C20550"/>
    <s v="P-1466"/>
    <s v="Apex Ortho Center"/>
    <s v="Blue Cross"/>
    <d v="2026-07-02T00:00:00"/>
    <d v="2026-07-11T00:00:00"/>
    <n v="13225"/>
    <n v="10432.73"/>
    <s v="Paid"/>
    <x v="1"/>
    <s v="Pooja M"/>
    <n v="96"/>
    <s v="90+"/>
    <n v="0"/>
    <s v="Sunita Rao"/>
    <n v="0"/>
  </r>
  <r>
    <s v="C20551"/>
    <s v="P-1048"/>
    <s v="Green Valley Health"/>
    <s v="Blue Cross"/>
    <d v="2025-12-23T00:00:00"/>
    <d v="2026-01-03T00:00:00"/>
    <n v="9300"/>
    <n v="5855.45"/>
    <s v="Paid"/>
    <x v="1"/>
    <s v="Rohit B"/>
    <n v="285"/>
    <s v="90+"/>
    <n v="0"/>
    <s v="Deepak Nair"/>
    <n v="0"/>
  </r>
  <r>
    <s v="C20552"/>
    <s v="P-1026"/>
    <s v="Sunrise Hospital"/>
    <s v="Medicare"/>
    <d v="2026-09-12T00:00:00"/>
    <d v="2026-09-30T00:00:00"/>
    <n v="9000"/>
    <m/>
    <s v="Pending"/>
    <x v="1"/>
    <s v="Pooja M"/>
    <n v="15"/>
    <s v="0-30"/>
    <n v="9000"/>
    <s v="Sunita Rao"/>
    <n v="0"/>
  </r>
  <r>
    <s v="C20553"/>
    <s v="P-1194"/>
    <s v="Sunrise Hospital"/>
    <s v="Aetna"/>
    <d v="2026-05-30T00:00:00"/>
    <d v="2026-06-02T00:00:00"/>
    <n v="11325"/>
    <m/>
    <s v="Pending"/>
    <x v="1"/>
    <s v="Priya K"/>
    <n v="135"/>
    <s v="90+"/>
    <n v="11325"/>
    <s v="Manish Arora"/>
    <n v="0"/>
  </r>
  <r>
    <s v="C20554"/>
    <s v="P-1173"/>
    <s v="City Care Clinic"/>
    <s v="Cigna"/>
    <d v="2026-05-15T00:00:00"/>
    <d v="2026-06-02T00:00:00"/>
    <n v="1750"/>
    <n v="1684.91"/>
    <s v="Paid"/>
    <x v="1"/>
    <s v="Priya K"/>
    <n v="135"/>
    <s v="90+"/>
    <n v="0"/>
    <s v="Manish Arora"/>
    <n v="0"/>
  </r>
  <r>
    <s v="C20555"/>
    <s v="P-1271"/>
    <s v="Apex Ortho Center"/>
    <s v="Medicare"/>
    <d v="2026-02-05T00:00:00"/>
    <d v="2026-02-10T00:00:00"/>
    <n v="12200"/>
    <n v="0"/>
    <s v="Denied"/>
    <x v="4"/>
    <s v="Priya K"/>
    <n v="247"/>
    <s v="90+"/>
    <n v="0"/>
    <s v="Manish Arora"/>
    <n v="12200"/>
  </r>
  <r>
    <s v="C20556"/>
    <s v="P-1289"/>
    <s v="Sunrise Hospital"/>
    <s v="UnitedHealthcare"/>
    <d v="2026-09-12T00:00:00"/>
    <d v="2026-09-17T00:00:00"/>
    <n v="5800"/>
    <m/>
    <s v="Pending"/>
    <x v="1"/>
    <s v="Kavita D"/>
    <n v="28"/>
    <s v="0-30"/>
    <n v="5800"/>
    <s v="Deepak Nair"/>
    <n v="0"/>
  </r>
  <r>
    <s v="C20557"/>
    <s v="P-1204"/>
    <s v="City Care Clinic"/>
    <s v="Medicare"/>
    <d v="2026-01-27T00:00:00"/>
    <d v="2026-02-11T00:00:00"/>
    <n v="11350"/>
    <n v="9387.7199999999993"/>
    <s v="Paid"/>
    <x v="1"/>
    <s v="Priya K"/>
    <n v="246"/>
    <s v="90+"/>
    <n v="0"/>
    <s v="Manish Arora"/>
    <n v="0"/>
  </r>
  <r>
    <s v="C20558"/>
    <s v="P-1075"/>
    <s v="Apex Ortho Center"/>
    <s v="Blue Cross"/>
    <d v="2026-08-15T00:00:00"/>
    <d v="2026-08-31T00:00:00"/>
    <n v="5900"/>
    <n v="3819.1"/>
    <s v="Paid"/>
    <x v="1"/>
    <s v="Rohit B"/>
    <n v="45"/>
    <s v="31-60"/>
    <n v="0"/>
    <s v="Deepak Nair"/>
    <n v="0"/>
  </r>
  <r>
    <s v="C20559"/>
    <s v="P-1038"/>
    <s v="City Care Clinic"/>
    <s v="Aetna"/>
    <d v="2026-07-07T00:00:00"/>
    <d v="2026-07-10T00:00:00"/>
    <n v="12550"/>
    <m/>
    <s v="Pending"/>
    <x v="1"/>
    <s v="Pooja M"/>
    <n v="97"/>
    <s v="90+"/>
    <n v="12550"/>
    <s v="Sunita Rao"/>
    <n v="0"/>
  </r>
  <r>
    <s v="C20560"/>
    <s v="P-1182"/>
    <s v="City Care Clinic"/>
    <s v="Medicaid"/>
    <d v="2026-01-13T00:00:00"/>
    <d v="2026-01-30T00:00:00"/>
    <n v="5325"/>
    <n v="4686.47"/>
    <s v="Paid"/>
    <x v="1"/>
    <s v="Vikas R"/>
    <n v="258"/>
    <s v="90+"/>
    <n v="0"/>
    <s v="Sunita Rao"/>
    <n v="0"/>
  </r>
  <r>
    <s v="C20561"/>
    <s v="P-1397"/>
    <s v="Apex Ortho Center"/>
    <s v="Aetna"/>
    <d v="2026-08-29T00:00:00"/>
    <d v="2026-09-18T00:00:00"/>
    <n v="5725"/>
    <m/>
    <s v="Pending"/>
    <x v="1"/>
    <s v="Rahul S"/>
    <n v="27"/>
    <s v="0-30"/>
    <n v="5725"/>
    <s v="Manish Arora"/>
    <n v="0"/>
  </r>
  <r>
    <s v="C20562"/>
    <s v="P-1048"/>
    <s v="Green Valley Health"/>
    <s v="Medicaid"/>
    <d v="2026-08-18T00:00:00"/>
    <d v="2026-09-04T00:00:00"/>
    <n v="3975"/>
    <n v="3309.43"/>
    <s v="Paid"/>
    <x v="1"/>
    <s v="Vikas R"/>
    <n v="41"/>
    <s v="31-60"/>
    <n v="0"/>
    <s v="Sunita Rao"/>
    <n v="0"/>
  </r>
  <r>
    <s v="C20563"/>
    <s v="P-1095"/>
    <s v="Green Valley Health"/>
    <s v="Medicare"/>
    <d v="2026-01-21T00:00:00"/>
    <d v="2026-02-07T00:00:00"/>
    <n v="4950"/>
    <m/>
    <s v="Pending"/>
    <x v="1"/>
    <s v="Rohit B"/>
    <n v="250"/>
    <s v="90+"/>
    <n v="4950"/>
    <s v="Deepak Nair"/>
    <n v="0"/>
  </r>
  <r>
    <s v="C20564"/>
    <s v="P-1014"/>
    <s v="Sunrise Hospital"/>
    <s v="Blue Cross"/>
    <d v="2026-05-04T00:00:00"/>
    <d v="2026-05-11T00:00:00"/>
    <n v="14975"/>
    <n v="9849.5499999999993"/>
    <s v="Paid"/>
    <x v="1"/>
    <s v="Neha G"/>
    <n v="157"/>
    <s v="90+"/>
    <n v="0"/>
    <s v="Manish Arora"/>
    <n v="0"/>
  </r>
  <r>
    <s v="C20565"/>
    <s v="P-1122"/>
    <s v="Green Valley Health"/>
    <s v="Medicare"/>
    <d v="2026-05-19T00:00:00"/>
    <d v="2026-06-08T00:00:00"/>
    <n v="13250"/>
    <n v="8681.2099999999991"/>
    <s v="Paid"/>
    <x v="1"/>
    <s v="Rahul S"/>
    <n v="129"/>
    <s v="90+"/>
    <n v="0"/>
    <s v="Manish Arora"/>
    <n v="0"/>
  </r>
  <r>
    <s v="C20566"/>
    <s v="P-1231"/>
    <s v="City Care Clinic"/>
    <s v="Aetna"/>
    <d v="2026-05-09T00:00:00"/>
    <d v="2026-05-26T00:00:00"/>
    <n v="2500"/>
    <n v="1689.13"/>
    <s v="Paid"/>
    <x v="1"/>
    <s v="Vikas R"/>
    <n v="142"/>
    <s v="90+"/>
    <n v="0"/>
    <s v="Sunita Rao"/>
    <n v="0"/>
  </r>
  <r>
    <s v="C20567"/>
    <s v="P-1002"/>
    <s v="Green Valley Health"/>
    <s v="UnitedHealthcare"/>
    <d v="2026-06-26T00:00:00"/>
    <d v="2026-07-04T00:00:00"/>
    <n v="8200"/>
    <n v="0"/>
    <s v="Denied"/>
    <x v="2"/>
    <s v="Pooja M"/>
    <n v="103"/>
    <s v="90+"/>
    <n v="0"/>
    <s v="Sunita Rao"/>
    <n v="8200"/>
  </r>
  <r>
    <s v="C20568"/>
    <s v="P-1385"/>
    <s v="Apex Ortho Center"/>
    <s v="Blue Cross"/>
    <d v="2026-04-12T00:00:00"/>
    <d v="2026-04-29T00:00:00"/>
    <n v="5400"/>
    <n v="3828.7"/>
    <s v="Paid"/>
    <x v="1"/>
    <s v="Pooja M"/>
    <n v="169"/>
    <s v="90+"/>
    <n v="0"/>
    <s v="Sunita Rao"/>
    <n v="0"/>
  </r>
  <r>
    <s v="C20569"/>
    <s v="P-1416"/>
    <s v="Green Valley Health"/>
    <s v="Aetna"/>
    <d v="2026-03-07T00:00:00"/>
    <d v="2026-03-14T00:00:00"/>
    <n v="9275"/>
    <m/>
    <s v="Pending"/>
    <x v="1"/>
    <s v="Sandeep Y"/>
    <n v="215"/>
    <s v="90+"/>
    <n v="9275"/>
    <s v="Sunita Rao"/>
    <n v="0"/>
  </r>
  <r>
    <s v="C20570"/>
    <s v="P-1465"/>
    <s v="City Care Clinic"/>
    <s v="Cigna"/>
    <d v="2026-01-05T00:00:00"/>
    <d v="2026-01-16T00:00:00"/>
    <n v="12525"/>
    <n v="10261.31"/>
    <s v="Paid"/>
    <x v="1"/>
    <s v="Anjali T"/>
    <n v="272"/>
    <s v="90+"/>
    <n v="0"/>
    <s v="Deepak Nair"/>
    <n v="0"/>
  </r>
  <r>
    <s v="C20571"/>
    <s v="P-1121"/>
    <s v="Sunrise Hospital"/>
    <s v="Medicare"/>
    <d v="2025-12-19T00:00:00"/>
    <d v="2026-01-06T00:00:00"/>
    <n v="14375"/>
    <n v="11319.7"/>
    <s v="Paid"/>
    <x v="1"/>
    <s v="Kavita D"/>
    <n v="282"/>
    <s v="90+"/>
    <n v="0"/>
    <s v="Deepak Nair"/>
    <n v="0"/>
  </r>
  <r>
    <s v="C20572"/>
    <s v="P-1317"/>
    <s v="Green Valley Health"/>
    <s v="UnitedHealthcare"/>
    <d v="2026-05-30T00:00:00"/>
    <d v="2026-06-09T00:00:00"/>
    <n v="9650"/>
    <n v="6214.54"/>
    <s v="Paid"/>
    <x v="1"/>
    <s v="Anjali T"/>
    <n v="128"/>
    <s v="90+"/>
    <n v="0"/>
    <s v="Deepak Nair"/>
    <n v="0"/>
  </r>
  <r>
    <s v="C20573"/>
    <s v="P-1047"/>
    <s v="Green Valley Health"/>
    <s v="UnitedHealthcare"/>
    <d v="2026-06-21T00:00:00"/>
    <d v="2026-06-27T00:00:00"/>
    <n v="10275"/>
    <m/>
    <s v="Pending"/>
    <x v="1"/>
    <s v="Kavita D"/>
    <n v="110"/>
    <s v="90+"/>
    <n v="10275"/>
    <s v="Deepak Nair"/>
    <n v="0"/>
  </r>
  <r>
    <s v="C20574"/>
    <s v="P-1133"/>
    <s v="Green Valley Health"/>
    <s v="Blue Cross"/>
    <d v="2026-03-05T00:00:00"/>
    <d v="2026-03-24T00:00:00"/>
    <n v="13250"/>
    <n v="12802.07"/>
    <s v="Paid"/>
    <x v="1"/>
    <s v="Priya K"/>
    <n v="205"/>
    <s v="90+"/>
    <n v="0"/>
    <s v="Manish Arora"/>
    <n v="0"/>
  </r>
  <r>
    <s v="C20575"/>
    <s v="P-1304"/>
    <s v="Green Valley Health"/>
    <s v="Humana"/>
    <d v="2026-04-15T00:00:00"/>
    <d v="2026-04-19T00:00:00"/>
    <n v="6225"/>
    <n v="5603.47"/>
    <s v="Paid"/>
    <x v="1"/>
    <s v="Amit V"/>
    <n v="179"/>
    <s v="90+"/>
    <n v="0"/>
    <s v="Manish Arora"/>
    <n v="0"/>
  </r>
  <r>
    <s v="C20576"/>
    <s v="P-1149"/>
    <s v="Sunrise Hospital"/>
    <s v="UnitedHealthcare"/>
    <d v="2026-04-19T00:00:00"/>
    <d v="2026-04-24T00:00:00"/>
    <n v="2000"/>
    <m/>
    <s v="Pending"/>
    <x v="1"/>
    <s v="Anjali T"/>
    <n v="174"/>
    <s v="90+"/>
    <n v="2000"/>
    <s v="Deepak Nair"/>
    <n v="0"/>
  </r>
  <r>
    <s v="C20577"/>
    <s v="P-1267"/>
    <s v="City Care Clinic"/>
    <s v="Blue Cross"/>
    <d v="2026-05-12T00:00:00"/>
    <d v="2026-05-31T00:00:00"/>
    <n v="8125"/>
    <n v="5104.33"/>
    <s v="Paid"/>
    <x v="1"/>
    <s v="Sandeep Y"/>
    <n v="137"/>
    <s v="90+"/>
    <n v="0"/>
    <s v="Sunita Rao"/>
    <n v="0"/>
  </r>
  <r>
    <s v="C20578"/>
    <s v="P-1347"/>
    <s v="Apex Ortho Center"/>
    <s v="Aetna"/>
    <d v="2026-05-02T00:00:00"/>
    <d v="2026-05-21T00:00:00"/>
    <n v="7450"/>
    <n v="0"/>
    <s v="Denied"/>
    <x v="6"/>
    <s v="Rahul S"/>
    <n v="147"/>
    <s v="90+"/>
    <n v="0"/>
    <s v="Manish Arora"/>
    <n v="7450"/>
  </r>
  <r>
    <s v="C20579"/>
    <s v="P-1063"/>
    <s v="City Care Clinic"/>
    <s v="Self Pay"/>
    <d v="2026-01-30T00:00:00"/>
    <d v="2026-02-14T00:00:00"/>
    <n v="12100"/>
    <m/>
    <s v="Pending"/>
    <x v="1"/>
    <s v="Pooja M"/>
    <n v="243"/>
    <s v="90+"/>
    <n v="12100"/>
    <s v="Sunita Rao"/>
    <n v="0"/>
  </r>
  <r>
    <s v="C20580"/>
    <s v="P-1376"/>
    <s v="Apex Ortho Center"/>
    <s v="Medicare"/>
    <d v="2026-01-23T00:00:00"/>
    <d v="2026-02-12T00:00:00"/>
    <n v="2525"/>
    <n v="0"/>
    <s v="Denied"/>
    <x v="5"/>
    <s v="Rohit B"/>
    <n v="245"/>
    <s v="90+"/>
    <n v="0"/>
    <s v="Deepak Nair"/>
    <n v="2525"/>
  </r>
  <r>
    <s v="C20581"/>
    <s v="P-1279"/>
    <s v="Sunrise Hospital"/>
    <s v="Self Pay"/>
    <d v="2026-01-13T00:00:00"/>
    <d v="2026-02-01T00:00:00"/>
    <n v="2400"/>
    <n v="0"/>
    <s v="Denied"/>
    <x v="4"/>
    <s v="Rahul S"/>
    <n v="256"/>
    <s v="90+"/>
    <n v="0"/>
    <s v="Manish Arora"/>
    <n v="2400"/>
  </r>
  <r>
    <s v="C20582"/>
    <s v="P-1370"/>
    <s v="City Care Clinic"/>
    <s v="Blue Cross"/>
    <d v="2026-04-21T00:00:00"/>
    <d v="2026-05-03T00:00:00"/>
    <n v="14050"/>
    <n v="11430.32"/>
    <s v="Paid"/>
    <x v="1"/>
    <s v="Rahul S"/>
    <n v="165"/>
    <s v="90+"/>
    <n v="0"/>
    <s v="Manish Arora"/>
    <n v="0"/>
  </r>
  <r>
    <s v="C20583"/>
    <s v="P-1294"/>
    <s v="Sunrise Hospital"/>
    <s v="UnitedHealthcare"/>
    <d v="2026-06-02T00:00:00"/>
    <d v="2026-06-10T00:00:00"/>
    <n v="10900"/>
    <m/>
    <s v="Pending"/>
    <x v="1"/>
    <s v="Rahul S"/>
    <n v="127"/>
    <s v="90+"/>
    <n v="10900"/>
    <s v="Manish Arora"/>
    <n v="0"/>
  </r>
  <r>
    <s v="C20584"/>
    <s v="P-1306"/>
    <s v="Sunrise Hospital"/>
    <s v="Humana"/>
    <d v="2026-01-28T00:00:00"/>
    <d v="2026-02-04T00:00:00"/>
    <n v="13450"/>
    <n v="12524.22"/>
    <s v="Paid"/>
    <x v="1"/>
    <s v="Amit V"/>
    <n v="253"/>
    <s v="90+"/>
    <n v="0"/>
    <s v="Manish Arora"/>
    <n v="0"/>
  </r>
  <r>
    <s v="C20585"/>
    <s v="P-1357"/>
    <s v="Apex Ortho Center"/>
    <s v="Cigna"/>
    <d v="2026-04-11T00:00:00"/>
    <d v="2026-04-28T00:00:00"/>
    <n v="5700"/>
    <n v="3709.99"/>
    <s v="Paid"/>
    <x v="1"/>
    <s v="Vikas R"/>
    <n v="170"/>
    <s v="90+"/>
    <n v="0"/>
    <s v="Sunita Rao"/>
    <n v="0"/>
  </r>
  <r>
    <s v="C20586"/>
    <s v="P-1358"/>
    <s v="City Care Clinic"/>
    <s v="Self Pay"/>
    <d v="2026-02-28T00:00:00"/>
    <d v="2026-03-06T00:00:00"/>
    <n v="7150"/>
    <n v="4284.91"/>
    <s v="Paid"/>
    <x v="1"/>
    <s v="Vikas R"/>
    <n v="223"/>
    <s v="90+"/>
    <n v="0"/>
    <s v="Sunita Rao"/>
    <n v="0"/>
  </r>
  <r>
    <s v="C20587"/>
    <s v="P-1268"/>
    <s v="Green Valley Health"/>
    <s v="Cigna"/>
    <d v="2026-03-02T00:00:00"/>
    <d v="2026-03-07T00:00:00"/>
    <n v="13875"/>
    <n v="13249.7"/>
    <s v="Paid"/>
    <x v="1"/>
    <s v="Vikas R"/>
    <n v="222"/>
    <s v="90+"/>
    <n v="0"/>
    <s v="Sunita Rao"/>
    <n v="0"/>
  </r>
  <r>
    <s v="C20588"/>
    <s v="P-1108"/>
    <s v="City Care Clinic"/>
    <s v="Medicare"/>
    <d v="2026-06-07T00:00:00"/>
    <d v="2026-06-21T00:00:00"/>
    <n v="13150"/>
    <n v="9405.8700000000008"/>
    <s v="Paid"/>
    <x v="1"/>
    <s v="Vikas R"/>
    <n v="116"/>
    <s v="90+"/>
    <n v="0"/>
    <s v="Sunita Rao"/>
    <n v="0"/>
  </r>
  <r>
    <s v="C20589"/>
    <s v="P-1297"/>
    <s v="Apex Ortho Center"/>
    <s v="Blue Cross"/>
    <d v="2026-08-18T00:00:00"/>
    <d v="2026-09-04T00:00:00"/>
    <n v="5950"/>
    <m/>
    <s v="Pending"/>
    <x v="1"/>
    <s v="Anjali T"/>
    <n v="41"/>
    <s v="31-60"/>
    <n v="5950"/>
    <s v="Deepak Nair"/>
    <n v="0"/>
  </r>
  <r>
    <s v="C20590"/>
    <s v="P-1014"/>
    <s v="Sunrise Hospital"/>
    <s v="Medicaid"/>
    <d v="2026-05-05T00:00:00"/>
    <d v="2026-05-10T00:00:00"/>
    <n v="11900"/>
    <n v="6691.64"/>
    <s v="Paid"/>
    <x v="1"/>
    <s v="Vikas R"/>
    <n v="158"/>
    <s v="90+"/>
    <n v="0"/>
    <s v="Sunita Rao"/>
    <n v="0"/>
  </r>
  <r>
    <s v="C20591"/>
    <s v="P-1347"/>
    <s v="Sunrise Hospital"/>
    <s v="Blue Cross"/>
    <d v="2026-01-12T00:00:00"/>
    <d v="2026-01-21T00:00:00"/>
    <n v="6375"/>
    <m/>
    <s v="Pending"/>
    <x v="1"/>
    <s v="Amit V"/>
    <n v="267"/>
    <s v="90+"/>
    <n v="6375"/>
    <s v="Manish Arora"/>
    <n v="0"/>
  </r>
  <r>
    <s v="C20592"/>
    <s v="P-1426"/>
    <s v="Sunrise Hospital"/>
    <s v="Blue Cross"/>
    <d v="2025-12-30T00:00:00"/>
    <d v="2026-01-06T00:00:00"/>
    <n v="1200"/>
    <n v="934.59"/>
    <s v="Paid"/>
    <x v="1"/>
    <s v="Priya K"/>
    <n v="282"/>
    <s v="90+"/>
    <n v="0"/>
    <s v="Manish Arora"/>
    <n v="0"/>
  </r>
  <r>
    <s v="C20593"/>
    <s v="P-1093"/>
    <s v="Green Valley Health"/>
    <s v="Medicaid"/>
    <d v="2026-01-05T00:00:00"/>
    <d v="2026-01-09T00:00:00"/>
    <n v="975"/>
    <m/>
    <s v="Pending"/>
    <x v="1"/>
    <s v="Pooja M"/>
    <n v="279"/>
    <s v="90+"/>
    <n v="975"/>
    <s v="Sunita Rao"/>
    <n v="0"/>
  </r>
  <r>
    <s v="C20594"/>
    <s v="P-1107"/>
    <s v="Green Valley Health"/>
    <s v="Medicaid"/>
    <d v="2026-06-22T00:00:00"/>
    <d v="2026-06-29T00:00:00"/>
    <n v="650"/>
    <m/>
    <s v="Pending"/>
    <x v="1"/>
    <s v="Amit V"/>
    <n v="108"/>
    <s v="90+"/>
    <n v="650"/>
    <s v="Manish Arora"/>
    <n v="0"/>
  </r>
  <r>
    <s v="C20595"/>
    <s v="P-1064"/>
    <s v="Apex Ortho Center"/>
    <s v="Cigna"/>
    <d v="2026-06-15T00:00:00"/>
    <d v="2026-06-21T00:00:00"/>
    <n v="7975"/>
    <n v="5269.83"/>
    <s v="Paid"/>
    <x v="1"/>
    <s v="Pooja M"/>
    <n v="116"/>
    <s v="90+"/>
    <n v="0"/>
    <s v="Sunita Rao"/>
    <n v="0"/>
  </r>
  <r>
    <s v="C20596"/>
    <s v="P-1441"/>
    <s v="Sunrise Hospital"/>
    <s v="Self Pay"/>
    <d v="2026-01-25T00:00:00"/>
    <d v="2026-02-04T00:00:00"/>
    <n v="13800"/>
    <n v="10610.82"/>
    <s v="Paid"/>
    <x v="1"/>
    <s v="Rohit B"/>
    <n v="253"/>
    <s v="90+"/>
    <n v="0"/>
    <s v="Deepak Nair"/>
    <n v="0"/>
  </r>
  <r>
    <s v="C20597"/>
    <s v="P-1490"/>
    <s v="Apex Ortho Center"/>
    <s v="Cigna"/>
    <d v="2026-04-30T00:00:00"/>
    <d v="2026-05-04T00:00:00"/>
    <n v="675"/>
    <n v="434.39"/>
    <s v="Paid"/>
    <x v="1"/>
    <s v="Rahul S"/>
    <n v="164"/>
    <s v="90+"/>
    <n v="0"/>
    <s v="Manish Arora"/>
    <n v="0"/>
  </r>
  <r>
    <s v="C20598"/>
    <s v="P-1362"/>
    <s v="City Care Clinic"/>
    <s v="Aetna"/>
    <d v="2026-05-20T00:00:00"/>
    <d v="2026-06-02T00:00:00"/>
    <n v="14100"/>
    <n v="13523.02"/>
    <s v="Paid"/>
    <x v="1"/>
    <s v="Neha G"/>
    <n v="135"/>
    <s v="90+"/>
    <n v="0"/>
    <s v="Manish Arora"/>
    <n v="0"/>
  </r>
  <r>
    <s v="C20599"/>
    <s v="P-1370"/>
    <s v="Green Valley Health"/>
    <s v="Blue Cross"/>
    <d v="2026-03-17T00:00:00"/>
    <d v="2026-03-31T00:00:00"/>
    <n v="8500"/>
    <n v="7099.71"/>
    <s v="Paid"/>
    <x v="1"/>
    <s v="Anjali T"/>
    <n v="198"/>
    <s v="90+"/>
    <n v="0"/>
    <s v="Deepak Nair"/>
    <n v="0"/>
  </r>
  <r>
    <s v="C20600"/>
    <s v="P-1208"/>
    <s v="Green Valley Health"/>
    <s v="Self Pay"/>
    <d v="2026-03-05T00:00:00"/>
    <d v="2026-03-09T00:00:00"/>
    <n v="7025"/>
    <n v="0"/>
    <s v="Denied"/>
    <x v="4"/>
    <s v="Kavita D"/>
    <n v="220"/>
    <s v="90+"/>
    <n v="0"/>
    <s v="Deepak Nair"/>
    <n v="7025"/>
  </r>
  <r>
    <s v="C20601"/>
    <s v="P-1172"/>
    <s v="Green Valley Health"/>
    <s v="Aetna"/>
    <d v="2026-02-15T00:00:00"/>
    <d v="2026-03-06T00:00:00"/>
    <n v="9950"/>
    <m/>
    <s v="Pending"/>
    <x v="1"/>
    <s v="Sandeep Y"/>
    <n v="223"/>
    <s v="90+"/>
    <n v="9950"/>
    <s v="Sunita Rao"/>
    <n v="0"/>
  </r>
  <r>
    <s v="C20602"/>
    <s v="P-1088"/>
    <s v="Apex Ortho Center"/>
    <s v="Blue Cross"/>
    <d v="2026-09-24T00:00:00"/>
    <d v="2026-09-29T00:00:00"/>
    <n v="7000"/>
    <m/>
    <s v="Pending"/>
    <x v="1"/>
    <s v="Neha G"/>
    <n v="16"/>
    <s v="0-30"/>
    <n v="7000"/>
    <s v="Manish Arora"/>
    <n v="0"/>
  </r>
  <r>
    <s v="C20603"/>
    <s v="P-1295"/>
    <s v="Green Valley Health"/>
    <s v="Cigna"/>
    <d v="2026-02-18T00:00:00"/>
    <d v="2026-03-08T00:00:00"/>
    <n v="9400"/>
    <n v="9124.8700000000008"/>
    <s v="Paid"/>
    <x v="1"/>
    <s v="Pooja M"/>
    <n v="221"/>
    <s v="90+"/>
    <n v="0"/>
    <s v="Sunita Rao"/>
    <n v="0"/>
  </r>
  <r>
    <s v="C20604"/>
    <s v="P-1070"/>
    <s v="Apex Ortho Center"/>
    <s v="Medicare"/>
    <d v="2026-06-27T00:00:00"/>
    <d v="2026-07-07T00:00:00"/>
    <n v="2025"/>
    <m/>
    <s v="Pending"/>
    <x v="1"/>
    <s v="Rahul S"/>
    <n v="100"/>
    <s v="90+"/>
    <n v="2025"/>
    <s v="Manish Arora"/>
    <n v="0"/>
  </r>
  <r>
    <s v="C20605"/>
    <s v="P-1416"/>
    <s v="City Care Clinic"/>
    <s v="Medicare"/>
    <d v="2026-02-02T00:00:00"/>
    <d v="2026-02-14T00:00:00"/>
    <n v="7025"/>
    <n v="5249.12"/>
    <s v="Paid"/>
    <x v="1"/>
    <s v="Vikas R"/>
    <n v="243"/>
    <s v="90+"/>
    <n v="0"/>
    <s v="Sunita Rao"/>
    <n v="0"/>
  </r>
  <r>
    <s v="C20606"/>
    <s v="P-1208"/>
    <s v="City Care Clinic"/>
    <s v="Medicaid"/>
    <d v="2026-06-27T00:00:00"/>
    <d v="2026-07-14T00:00:00"/>
    <n v="8425"/>
    <n v="0"/>
    <s v="Denied"/>
    <x v="0"/>
    <s v="Anjali T"/>
    <n v="93"/>
    <s v="90+"/>
    <n v="0"/>
    <s v="Deepak Nair"/>
    <n v="8425"/>
  </r>
  <r>
    <s v="C20607"/>
    <s v="P-1250"/>
    <s v="City Care Clinic"/>
    <s v="Humana"/>
    <d v="2026-04-07T00:00:00"/>
    <d v="2026-04-20T00:00:00"/>
    <n v="10500"/>
    <n v="7700.5"/>
    <s v="Paid"/>
    <x v="1"/>
    <s v="Amit V"/>
    <n v="178"/>
    <s v="90+"/>
    <n v="0"/>
    <s v="Manish Arora"/>
    <n v="0"/>
  </r>
  <r>
    <s v="C20608"/>
    <s v="P-1023"/>
    <s v="Sunrise Hospital"/>
    <s v="Medicaid"/>
    <d v="2026-07-04T00:00:00"/>
    <d v="2026-07-10T00:00:00"/>
    <n v="6525"/>
    <m/>
    <s v="Pending"/>
    <x v="1"/>
    <s v="Priya K"/>
    <n v="97"/>
    <s v="90+"/>
    <n v="6525"/>
    <s v="Manish Arora"/>
    <n v="0"/>
  </r>
  <r>
    <s v="C20609"/>
    <s v="P-1409"/>
    <s v="Green Valley Health"/>
    <s v="Medicare"/>
    <d v="2026-02-19T00:00:00"/>
    <d v="2026-03-07T00:00:00"/>
    <n v="4325"/>
    <n v="3032.55"/>
    <s v="Paid"/>
    <x v="1"/>
    <s v="Neha G"/>
    <n v="222"/>
    <s v="90+"/>
    <n v="0"/>
    <s v="Manish Arora"/>
    <n v="0"/>
  </r>
  <r>
    <s v="C20610"/>
    <s v="P-1233"/>
    <s v="Apex Ortho Center"/>
    <s v="Blue Cross"/>
    <d v="2026-07-19T00:00:00"/>
    <d v="2026-07-30T00:00:00"/>
    <n v="1700"/>
    <m/>
    <s v="Pending"/>
    <x v="1"/>
    <s v="Priya K"/>
    <n v="77"/>
    <s v="61-90"/>
    <n v="1700"/>
    <s v="Manish Arora"/>
    <n v="0"/>
  </r>
  <r>
    <s v="C20611"/>
    <s v="P-1049"/>
    <s v="Apex Ortho Center"/>
    <s v="UnitedHealthcare"/>
    <d v="2026-07-29T00:00:00"/>
    <d v="2026-08-10T00:00:00"/>
    <n v="13225"/>
    <m/>
    <s v="Pending"/>
    <x v="1"/>
    <s v="Pooja M"/>
    <n v="66"/>
    <s v="61-90"/>
    <n v="13225"/>
    <s v="Sunita Rao"/>
    <n v="0"/>
  </r>
  <r>
    <s v="C20612"/>
    <s v="P-1313"/>
    <s v="Green Valley Health"/>
    <s v="Cigna"/>
    <d v="2026-04-22T00:00:00"/>
    <d v="2026-05-06T00:00:00"/>
    <n v="13750"/>
    <n v="11031.67"/>
    <s v="Paid"/>
    <x v="1"/>
    <s v="Vikas R"/>
    <n v="162"/>
    <s v="90+"/>
    <n v="0"/>
    <s v="Sunita Rao"/>
    <n v="0"/>
  </r>
  <r>
    <s v="C20613"/>
    <s v="P-1118"/>
    <s v="City Care Clinic"/>
    <s v="Medicare"/>
    <d v="2026-09-23T00:00:00"/>
    <d v="2026-10-04T00:00:00"/>
    <n v="5625"/>
    <m/>
    <s v="Pending"/>
    <x v="1"/>
    <s v="Kavita D"/>
    <n v="11"/>
    <s v="0-30"/>
    <n v="5625"/>
    <s v="Deepak Nair"/>
    <n v="0"/>
  </r>
  <r>
    <s v="C20614"/>
    <s v="P-1043"/>
    <s v="Green Valley Health"/>
    <s v="Humana"/>
    <d v="2026-08-16T00:00:00"/>
    <d v="2026-08-28T00:00:00"/>
    <n v="7150"/>
    <m/>
    <s v="Pending"/>
    <x v="1"/>
    <s v="Pooja M"/>
    <n v="48"/>
    <s v="31-60"/>
    <n v="7150"/>
    <s v="Sunita Rao"/>
    <n v="0"/>
  </r>
  <r>
    <s v="C20615"/>
    <s v="P-1184"/>
    <s v="Apex Ortho Center"/>
    <s v="Humana"/>
    <d v="2026-06-20T00:00:00"/>
    <d v="2026-06-25T00:00:00"/>
    <n v="8725"/>
    <n v="8487.49"/>
    <s v="Paid"/>
    <x v="1"/>
    <s v="Rahul S"/>
    <n v="112"/>
    <s v="90+"/>
    <n v="0"/>
    <s v="Manish Arora"/>
    <n v="0"/>
  </r>
  <r>
    <s v="C20616"/>
    <s v="P-1239"/>
    <s v="Sunrise Hospital"/>
    <s v="Humana"/>
    <d v="2026-02-01T00:00:00"/>
    <d v="2026-02-10T00:00:00"/>
    <n v="13800"/>
    <n v="13264.04"/>
    <s v="Paid"/>
    <x v="1"/>
    <s v="Amit V"/>
    <n v="247"/>
    <s v="90+"/>
    <n v="0"/>
    <s v="Manish Arora"/>
    <n v="0"/>
  </r>
  <r>
    <s v="C20617"/>
    <s v="P-1184"/>
    <s v="City Care Clinic"/>
    <s v="Self Pay"/>
    <d v="2026-05-21T00:00:00"/>
    <d v="2026-05-31T00:00:00"/>
    <n v="9650"/>
    <n v="5433.67"/>
    <s v="Paid"/>
    <x v="1"/>
    <s v="Vikas R"/>
    <n v="137"/>
    <s v="90+"/>
    <n v="0"/>
    <s v="Sunita Rao"/>
    <n v="0"/>
  </r>
  <r>
    <s v="C20618"/>
    <s v="P-1140"/>
    <s v="Apex Ortho Center"/>
    <s v="Humana"/>
    <d v="2026-05-03T00:00:00"/>
    <d v="2026-05-23T00:00:00"/>
    <n v="3475"/>
    <n v="2520.79"/>
    <s v="Paid"/>
    <x v="1"/>
    <s v="Pooja M"/>
    <n v="145"/>
    <s v="90+"/>
    <n v="0"/>
    <s v="Sunita Rao"/>
    <n v="0"/>
  </r>
  <r>
    <s v="C20619"/>
    <s v="P-1254"/>
    <s v="Sunrise Hospital"/>
    <s v="Blue Cross"/>
    <d v="2026-01-27T00:00:00"/>
    <d v="2026-02-14T00:00:00"/>
    <n v="3275"/>
    <m/>
    <s v="Pending"/>
    <x v="1"/>
    <s v="Neha G"/>
    <n v="243"/>
    <s v="90+"/>
    <n v="3275"/>
    <s v="Manish Arora"/>
    <n v="0"/>
  </r>
  <r>
    <s v="C20620"/>
    <s v="P-1412"/>
    <s v="City Care Clinic"/>
    <s v="Blue Cross"/>
    <d v="2026-09-15T00:00:00"/>
    <d v="2026-09-19T00:00:00"/>
    <n v="725"/>
    <m/>
    <s v="Pending"/>
    <x v="1"/>
    <s v="Anjali T"/>
    <n v="26"/>
    <s v="0-30"/>
    <n v="725"/>
    <s v="Deepak Nair"/>
    <n v="0"/>
  </r>
  <r>
    <s v="C20621"/>
    <s v="P-1015"/>
    <s v="City Care Clinic"/>
    <s v="Medicare"/>
    <d v="2026-02-27T00:00:00"/>
    <d v="2026-03-03T00:00:00"/>
    <n v="9125"/>
    <n v="7221.98"/>
    <s v="Paid"/>
    <x v="1"/>
    <s v="Neha G"/>
    <n v="226"/>
    <s v="90+"/>
    <n v="0"/>
    <s v="Manish Arora"/>
    <n v="0"/>
  </r>
  <r>
    <s v="C20622"/>
    <s v="P-1231"/>
    <s v="Green Valley Health"/>
    <s v="Self Pay"/>
    <d v="2026-02-19T00:00:00"/>
    <d v="2026-03-11T00:00:00"/>
    <n v="5450"/>
    <n v="4820.99"/>
    <s v="Paid"/>
    <x v="1"/>
    <s v="Rohit B"/>
    <n v="218"/>
    <s v="90+"/>
    <n v="0"/>
    <s v="Deepak Nair"/>
    <n v="0"/>
  </r>
  <r>
    <s v="C20623"/>
    <s v="P-1460"/>
    <s v="City Care Clinic"/>
    <s v="Self Pay"/>
    <d v="2026-06-07T00:00:00"/>
    <d v="2026-06-12T00:00:00"/>
    <n v="14625"/>
    <m/>
    <s v="Pending"/>
    <x v="1"/>
    <s v="Kavita D"/>
    <n v="125"/>
    <s v="90+"/>
    <n v="14625"/>
    <s v="Deepak Nair"/>
    <n v="0"/>
  </r>
  <r>
    <s v="C20624"/>
    <s v="P-1225"/>
    <s v="City Care Clinic"/>
    <s v="Medicare"/>
    <d v="2026-01-02T00:00:00"/>
    <d v="2026-01-18T00:00:00"/>
    <n v="14950"/>
    <m/>
    <s v="Pending"/>
    <x v="1"/>
    <s v="Anjali T"/>
    <n v="270"/>
    <s v="90+"/>
    <n v="14950"/>
    <s v="Deepak Nair"/>
    <n v="0"/>
  </r>
  <r>
    <s v="C20625"/>
    <s v="P-1387"/>
    <s v="Sunrise Hospital"/>
    <s v="Blue Cross"/>
    <d v="2026-05-13T00:00:00"/>
    <d v="2026-05-31T00:00:00"/>
    <n v="12475"/>
    <m/>
    <s v="Pending"/>
    <x v="1"/>
    <s v="Rahul S"/>
    <n v="137"/>
    <s v="90+"/>
    <n v="12475"/>
    <s v="Manish Arora"/>
    <n v="0"/>
  </r>
  <r>
    <s v="C20626"/>
    <s v="P-1327"/>
    <s v="Apex Ortho Center"/>
    <s v="Medicare"/>
    <d v="2026-08-10T00:00:00"/>
    <d v="2026-08-15T00:00:00"/>
    <n v="11350"/>
    <n v="6815.92"/>
    <s v="Paid"/>
    <x v="1"/>
    <s v="Amit V"/>
    <n v="61"/>
    <s v="61-90"/>
    <n v="0"/>
    <s v="Manish Arora"/>
    <n v="0"/>
  </r>
  <r>
    <s v="C20627"/>
    <s v="P-1281"/>
    <s v="Green Valley Health"/>
    <s v="Self Pay"/>
    <d v="2026-01-16T00:00:00"/>
    <d v="2026-01-22T00:00:00"/>
    <n v="7625"/>
    <m/>
    <s v="Pending"/>
    <x v="1"/>
    <s v="Rohit B"/>
    <n v="266"/>
    <s v="90+"/>
    <n v="7625"/>
    <s v="Deepak Nair"/>
    <n v="0"/>
  </r>
  <r>
    <s v="C20628"/>
    <s v="P-1034"/>
    <s v="Apex Ortho Center"/>
    <s v="Medicare"/>
    <d v="2026-09-11T00:00:00"/>
    <d v="2026-09-29T00:00:00"/>
    <n v="13600"/>
    <m/>
    <s v="Pending"/>
    <x v="1"/>
    <s v="Rahul S"/>
    <n v="16"/>
    <s v="0-30"/>
    <n v="13600"/>
    <s v="Manish Arora"/>
    <n v="0"/>
  </r>
  <r>
    <s v="C20629"/>
    <s v="P-1387"/>
    <s v="Apex Ortho Center"/>
    <s v="Medicare"/>
    <d v="2026-04-27T00:00:00"/>
    <d v="2026-05-06T00:00:00"/>
    <n v="5050"/>
    <m/>
    <s v="Pending"/>
    <x v="1"/>
    <s v="Amit V"/>
    <n v="162"/>
    <s v="90+"/>
    <n v="5050"/>
    <s v="Manish Arora"/>
    <n v="0"/>
  </r>
  <r>
    <s v="C20630"/>
    <s v="P-1110"/>
    <s v="Green Valley Health"/>
    <s v="Blue Cross"/>
    <d v="2026-07-03T00:00:00"/>
    <d v="2026-07-11T00:00:00"/>
    <n v="12525"/>
    <m/>
    <s v="Pending"/>
    <x v="1"/>
    <s v="Rahul S"/>
    <n v="96"/>
    <s v="90+"/>
    <n v="12525"/>
    <s v="Manish Arora"/>
    <n v="0"/>
  </r>
  <r>
    <s v="C20631"/>
    <s v="P-1210"/>
    <s v="Sunrise Hospital"/>
    <s v="Humana"/>
    <d v="2026-02-15T00:00:00"/>
    <d v="2026-03-03T00:00:00"/>
    <n v="13950"/>
    <n v="0"/>
    <s v="Denied"/>
    <x v="2"/>
    <s v="Priya K"/>
    <n v="226"/>
    <s v="90+"/>
    <n v="0"/>
    <s v="Manish Arora"/>
    <n v="13950"/>
  </r>
  <r>
    <s v="C20632"/>
    <s v="P-1164"/>
    <s v="Green Valley Health"/>
    <s v="UnitedHealthcare"/>
    <d v="2026-06-09T00:00:00"/>
    <d v="2026-06-13T00:00:00"/>
    <n v="1775"/>
    <n v="1734.94"/>
    <s v="Paid"/>
    <x v="1"/>
    <s v="Vikas R"/>
    <n v="124"/>
    <s v="90+"/>
    <n v="0"/>
    <s v="Sunita Rao"/>
    <n v="0"/>
  </r>
  <r>
    <s v="C20633"/>
    <s v="P-1083"/>
    <s v="City Care Clinic"/>
    <s v="Medicaid"/>
    <d v="2026-01-14T00:00:00"/>
    <d v="2026-02-03T00:00:00"/>
    <n v="12525"/>
    <n v="7090.02"/>
    <s v="Paid"/>
    <x v="1"/>
    <s v="Amit V"/>
    <n v="254"/>
    <s v="90+"/>
    <n v="0"/>
    <s v="Manish Arora"/>
    <n v="0"/>
  </r>
  <r>
    <s v="C20634"/>
    <s v="P-1060"/>
    <s v="Sunrise Hospital"/>
    <s v="Medicaid"/>
    <d v="2025-12-29T00:00:00"/>
    <d v="2026-01-12T00:00:00"/>
    <n v="850"/>
    <n v="704.94"/>
    <s v="Paid"/>
    <x v="1"/>
    <s v="Kavita D"/>
    <n v="276"/>
    <s v="90+"/>
    <n v="0"/>
    <s v="Deepak Nair"/>
    <n v="0"/>
  </r>
  <r>
    <s v="C20635"/>
    <s v="P-1216"/>
    <s v="Green Valley Health"/>
    <s v="Medicaid"/>
    <d v="2026-06-16T00:00:00"/>
    <d v="2026-07-02T00:00:00"/>
    <n v="11300"/>
    <n v="8603.68"/>
    <s v="Paid"/>
    <x v="1"/>
    <s v="Anjali T"/>
    <n v="105"/>
    <s v="90+"/>
    <n v="0"/>
    <s v="Deepak Nair"/>
    <n v="0"/>
  </r>
  <r>
    <s v="C20636"/>
    <s v="P-1224"/>
    <s v="Sunrise Hospital"/>
    <s v="Medicare"/>
    <d v="2026-05-28T00:00:00"/>
    <d v="2026-06-12T00:00:00"/>
    <n v="13600"/>
    <n v="9858.69"/>
    <s v="Paid"/>
    <x v="1"/>
    <s v="Neha G"/>
    <n v="125"/>
    <s v="90+"/>
    <n v="0"/>
    <s v="Manish Arora"/>
    <n v="0"/>
  </r>
  <r>
    <s v="C20637"/>
    <s v="P-1188"/>
    <s v="Sunrise Hospital"/>
    <s v="Unknown"/>
    <d v="2026-06-30T00:00:00"/>
    <d v="2026-07-18T00:00:00"/>
    <n v="11925"/>
    <m/>
    <s v="Pending"/>
    <x v="1"/>
    <s v="Rohit B"/>
    <n v="89"/>
    <s v="61-90"/>
    <n v="11925"/>
    <s v="Deepak Nair"/>
    <n v="0"/>
  </r>
  <r>
    <s v="C20638"/>
    <s v="P-1458"/>
    <s v="Sunrise Hospital"/>
    <s v="Blue Cross"/>
    <d v="2026-09-06T00:00:00"/>
    <d v="2026-09-14T00:00:00"/>
    <n v="14825"/>
    <n v="12043.87"/>
    <s v="Paid"/>
    <x v="1"/>
    <s v="Rahul S"/>
    <n v="31"/>
    <s v="31-60"/>
    <n v="0"/>
    <s v="Manish Arora"/>
    <n v="0"/>
  </r>
  <r>
    <s v="C20639"/>
    <s v="P-1439"/>
    <s v="Sunrise Hospital"/>
    <s v="UnitedHealthcare"/>
    <d v="2026-04-24T00:00:00"/>
    <d v="2026-05-12T00:00:00"/>
    <n v="6975"/>
    <n v="0"/>
    <s v="Denied"/>
    <x v="5"/>
    <s v="Amit V"/>
    <n v="156"/>
    <s v="90+"/>
    <n v="0"/>
    <s v="Manish Arora"/>
    <n v="6975"/>
  </r>
  <r>
    <s v="C20640"/>
    <s v="P-1245"/>
    <s v="Green Valley Health"/>
    <s v="Self Pay"/>
    <d v="2026-08-07T00:00:00"/>
    <d v="2026-08-21T00:00:00"/>
    <n v="11975"/>
    <n v="9016.16"/>
    <s v="Paid"/>
    <x v="1"/>
    <s v="Rohit B"/>
    <n v="55"/>
    <s v="31-60"/>
    <n v="0"/>
    <s v="Deepak Nair"/>
    <n v="0"/>
  </r>
  <r>
    <s v="C20641"/>
    <s v="P-1209"/>
    <s v="Green Valley Health"/>
    <s v="Humana"/>
    <d v="2026-02-08T00:00:00"/>
    <d v="2026-02-16T00:00:00"/>
    <n v="8950"/>
    <n v="7000.29"/>
    <s v="Paid"/>
    <x v="1"/>
    <s v="Rohit B"/>
    <n v="241"/>
    <s v="90+"/>
    <n v="0"/>
    <s v="Deepak Nair"/>
    <n v="0"/>
  </r>
  <r>
    <s v="C20642"/>
    <s v="P-1064"/>
    <s v="Green Valley Health"/>
    <s v="Cigna"/>
    <d v="2026-05-06T00:00:00"/>
    <d v="2026-05-09T00:00:00"/>
    <n v="1525"/>
    <n v="1413.62"/>
    <s v="Paid"/>
    <x v="1"/>
    <s v="Rohit B"/>
    <n v="159"/>
    <s v="90+"/>
    <n v="0"/>
    <s v="Deepak Nair"/>
    <n v="0"/>
  </r>
  <r>
    <s v="C20643"/>
    <s v="P-1194"/>
    <s v="Green Valley Health"/>
    <s v="UnitedHealthcare"/>
    <d v="2026-06-10T00:00:00"/>
    <d v="2026-06-29T00:00:00"/>
    <n v="3775"/>
    <n v="2410.6799999999998"/>
    <s v="Paid"/>
    <x v="1"/>
    <s v="Sandeep Y"/>
    <n v="108"/>
    <s v="90+"/>
    <n v="0"/>
    <s v="Sunita Rao"/>
    <n v="0"/>
  </r>
  <r>
    <s v="C20644"/>
    <s v="P-1252"/>
    <s v="Apex Ortho Center"/>
    <s v="UnitedHealthcare"/>
    <d v="2025-12-12T00:00:00"/>
    <d v="2026-01-01T00:00:00"/>
    <n v="14275"/>
    <n v="9667.18"/>
    <s v="Paid"/>
    <x v="1"/>
    <s v="Amit V"/>
    <n v="287"/>
    <s v="90+"/>
    <n v="0"/>
    <s v="Manish Arora"/>
    <n v="0"/>
  </r>
  <r>
    <s v="C20645"/>
    <s v="P-1137"/>
    <s v="Sunrise Hospital"/>
    <s v="Medicaid"/>
    <d v="2026-08-09T00:00:00"/>
    <d v="2026-08-26T00:00:00"/>
    <n v="775"/>
    <n v="619.51"/>
    <s v="Paid"/>
    <x v="1"/>
    <s v="Vikas R"/>
    <n v="50"/>
    <s v="31-60"/>
    <n v="0"/>
    <s v="Sunita Rao"/>
    <n v="0"/>
  </r>
  <r>
    <s v="C20646"/>
    <s v="P-1261"/>
    <s v="Apex Ortho Center"/>
    <s v="Humana"/>
    <d v="2026-09-30T00:00:00"/>
    <d v="2026-10-03T00:00:00"/>
    <n v="10375"/>
    <m/>
    <s v="Pending"/>
    <x v="1"/>
    <s v="Priya K"/>
    <n v="12"/>
    <s v="0-30"/>
    <n v="10375"/>
    <s v="Manish Arora"/>
    <n v="0"/>
  </r>
  <r>
    <s v="C20647"/>
    <s v="P-1409"/>
    <s v="Apex Ortho Center"/>
    <s v="UnitedHealthcare"/>
    <d v="2026-08-02T00:00:00"/>
    <d v="2026-08-15T00:00:00"/>
    <n v="8300"/>
    <m/>
    <s v="Pending"/>
    <x v="1"/>
    <s v="Vikas R"/>
    <n v="61"/>
    <s v="61-90"/>
    <n v="8300"/>
    <s v="Sunita Rao"/>
    <n v="0"/>
  </r>
  <r>
    <s v="C20648"/>
    <s v="P-1355"/>
    <s v="Green Valley Health"/>
    <s v="Humana"/>
    <d v="2026-06-19T00:00:00"/>
    <d v="2026-06-27T00:00:00"/>
    <n v="13000"/>
    <n v="9615.52"/>
    <s v="Paid"/>
    <x v="1"/>
    <s v="Sandeep Y"/>
    <n v="110"/>
    <s v="90+"/>
    <n v="0"/>
    <s v="Sunita Rao"/>
    <n v="0"/>
  </r>
  <r>
    <s v="C20649"/>
    <s v="P-1272"/>
    <s v="Apex Ortho Center"/>
    <s v="Aetna"/>
    <d v="2026-08-17T00:00:00"/>
    <d v="2026-09-03T00:00:00"/>
    <n v="10200"/>
    <n v="6054.54"/>
    <s v="Paid"/>
    <x v="1"/>
    <s v="Priya K"/>
    <n v="42"/>
    <s v="31-60"/>
    <n v="0"/>
    <s v="Manish Arora"/>
    <n v="0"/>
  </r>
  <r>
    <s v="C20650"/>
    <s v="P-1390"/>
    <s v="Apex Ortho Center"/>
    <s v="Cigna"/>
    <d v="2026-03-07T00:00:00"/>
    <d v="2026-03-27T00:00:00"/>
    <n v="7925"/>
    <n v="5977.42"/>
    <s v="Paid"/>
    <x v="1"/>
    <s v="Rohit B"/>
    <n v="202"/>
    <s v="90+"/>
    <n v="0"/>
    <s v="Deepak Nair"/>
    <n v="0"/>
  </r>
  <r>
    <s v="C20651"/>
    <s v="P-1385"/>
    <s v="City Care Clinic"/>
    <s v="Humana"/>
    <d v="2026-03-16T00:00:00"/>
    <d v="2026-03-31T00:00:00"/>
    <n v="10450"/>
    <n v="6719.5"/>
    <s v="Paid"/>
    <x v="1"/>
    <s v="Priya K"/>
    <n v="198"/>
    <s v="90+"/>
    <n v="0"/>
    <s v="Manish Arora"/>
    <n v="0"/>
  </r>
  <r>
    <s v="C20652"/>
    <s v="P-1224"/>
    <s v="Apex Ortho Center"/>
    <s v="Medicaid"/>
    <d v="2026-09-15T00:00:00"/>
    <d v="2026-09-25T00:00:00"/>
    <n v="3625"/>
    <m/>
    <s v="Pending"/>
    <x v="1"/>
    <s v="Priya K"/>
    <n v="20"/>
    <s v="0-30"/>
    <n v="3625"/>
    <s v="Manish Arora"/>
    <n v="0"/>
  </r>
  <r>
    <s v="C20653"/>
    <s v="P-1090"/>
    <s v="Green Valley Health"/>
    <s v="Blue Cross"/>
    <d v="2026-09-21T00:00:00"/>
    <d v="2026-10-02T00:00:00"/>
    <n v="14025"/>
    <m/>
    <s v="Pending"/>
    <x v="1"/>
    <s v="Vikas R"/>
    <n v="13"/>
    <s v="0-30"/>
    <n v="14025"/>
    <s v="Sunita Rao"/>
    <n v="0"/>
  </r>
  <r>
    <s v="C20654"/>
    <s v="P-1057"/>
    <s v="Green Valley Health"/>
    <s v="Medicare"/>
    <d v="2026-08-28T00:00:00"/>
    <d v="2026-09-15T00:00:00"/>
    <n v="8025"/>
    <m/>
    <s v="Pending"/>
    <x v="1"/>
    <s v="Anjali T"/>
    <n v="30"/>
    <s v="0-30"/>
    <n v="8025"/>
    <s v="Deepak Nair"/>
    <n v="0"/>
  </r>
  <r>
    <s v="C20655"/>
    <s v="P-1316"/>
    <s v="Apex Ortho Center"/>
    <s v="UnitedHealthcare"/>
    <d v="2026-01-22T00:00:00"/>
    <d v="2026-01-27T00:00:00"/>
    <n v="6300"/>
    <m/>
    <s v="Pending"/>
    <x v="1"/>
    <s v="Anjali T"/>
    <n v="261"/>
    <s v="90+"/>
    <n v="6300"/>
    <s v="Deepak Nair"/>
    <n v="0"/>
  </r>
  <r>
    <s v="C20656"/>
    <s v="P-1412"/>
    <s v="Apex Ortho Center"/>
    <s v="Medicare"/>
    <d v="2026-09-06T00:00:00"/>
    <d v="2026-09-15T00:00:00"/>
    <n v="4225"/>
    <m/>
    <s v="Pending"/>
    <x v="1"/>
    <s v="Anjali T"/>
    <n v="30"/>
    <s v="0-30"/>
    <n v="4225"/>
    <s v="Deepak Nair"/>
    <n v="0"/>
  </r>
  <r>
    <s v="C20657"/>
    <s v="P-1054"/>
    <s v="City Care Clinic"/>
    <s v="Medicare"/>
    <d v="2026-02-20T00:00:00"/>
    <d v="2026-03-09T00:00:00"/>
    <n v="7200"/>
    <n v="6991.83"/>
    <s v="Paid"/>
    <x v="1"/>
    <s v="Neha G"/>
    <n v="220"/>
    <s v="90+"/>
    <n v="0"/>
    <s v="Manish Arora"/>
    <n v="0"/>
  </r>
  <r>
    <s v="C20658"/>
    <s v="P-1249"/>
    <s v="Green Valley Health"/>
    <s v="Unknown"/>
    <d v="2026-06-06T00:00:00"/>
    <d v="2026-06-16T00:00:00"/>
    <n v="11525"/>
    <n v="10718.64"/>
    <s v="Paid"/>
    <x v="1"/>
    <s v="Rahul S"/>
    <n v="121"/>
    <s v="90+"/>
    <n v="0"/>
    <s v="Manish Arora"/>
    <n v="0"/>
  </r>
  <r>
    <s v="C20659"/>
    <s v="P-1156"/>
    <s v="City Care Clinic"/>
    <s v="Aetna"/>
    <d v="2026-06-19T00:00:00"/>
    <d v="2026-06-30T00:00:00"/>
    <n v="4875"/>
    <n v="3518.59"/>
    <s v="Paid"/>
    <x v="1"/>
    <s v="Anjali T"/>
    <n v="107"/>
    <s v="90+"/>
    <n v="0"/>
    <s v="Deepak Nair"/>
    <n v="0"/>
  </r>
  <r>
    <s v="C20660"/>
    <s v="P-1378"/>
    <s v="City Care Clinic"/>
    <s v="Aetna"/>
    <d v="2026-01-18T00:00:00"/>
    <d v="2026-01-26T00:00:00"/>
    <n v="9250"/>
    <n v="7474.87"/>
    <s v="Paid"/>
    <x v="1"/>
    <s v="Neha G"/>
    <n v="262"/>
    <s v="90+"/>
    <n v="0"/>
    <s v="Manish Arora"/>
    <n v="0"/>
  </r>
  <r>
    <s v="C20661"/>
    <s v="P-1466"/>
    <s v="Green Valley Health"/>
    <s v="Medicare"/>
    <d v="2026-02-15T00:00:00"/>
    <d v="2026-03-02T00:00:00"/>
    <n v="8075"/>
    <m/>
    <s v="Pending"/>
    <x v="1"/>
    <s v="Kavita D"/>
    <n v="227"/>
    <s v="90+"/>
    <n v="8075"/>
    <s v="Deepak Nair"/>
    <n v="0"/>
  </r>
  <r>
    <s v="C20662"/>
    <s v="P-1067"/>
    <s v="Green Valley Health"/>
    <s v="Blue Cross"/>
    <d v="2026-05-15T00:00:00"/>
    <d v="2026-06-04T00:00:00"/>
    <n v="1800"/>
    <n v="1339.26"/>
    <s v="Paid"/>
    <x v="1"/>
    <s v="Priya K"/>
    <n v="133"/>
    <s v="90+"/>
    <n v="0"/>
    <s v="Manish Arora"/>
    <n v="0"/>
  </r>
  <r>
    <s v="C20663"/>
    <s v="P-1445"/>
    <s v="Green Valley Health"/>
    <s v="Medicare"/>
    <d v="2026-08-20T00:00:00"/>
    <d v="2026-08-23T00:00:00"/>
    <n v="7175"/>
    <n v="0"/>
    <s v="Denied"/>
    <x v="2"/>
    <s v="Vikas R"/>
    <n v="53"/>
    <s v="31-60"/>
    <n v="0"/>
    <s v="Sunita Rao"/>
    <n v="7175"/>
  </r>
  <r>
    <s v="C20664"/>
    <s v="P-1065"/>
    <s v="City Care Clinic"/>
    <s v="Aetna"/>
    <d v="2026-04-09T00:00:00"/>
    <d v="2026-04-13T00:00:00"/>
    <n v="12975"/>
    <n v="8019.03"/>
    <s v="Paid"/>
    <x v="1"/>
    <s v="Anjali T"/>
    <n v="185"/>
    <s v="90+"/>
    <n v="0"/>
    <s v="Deepak Nair"/>
    <n v="0"/>
  </r>
  <r>
    <s v="C20665"/>
    <s v="P-1154"/>
    <s v="Green Valley Health"/>
    <s v="Aetna"/>
    <d v="2025-12-28T00:00:00"/>
    <d v="2026-01-07T00:00:00"/>
    <n v="6450"/>
    <n v="4998.24"/>
    <s v="Paid"/>
    <x v="1"/>
    <s v="Priya K"/>
    <n v="281"/>
    <s v="90+"/>
    <n v="0"/>
    <s v="Manish Arora"/>
    <n v="0"/>
  </r>
  <r>
    <s v="C20666"/>
    <s v="P-1463"/>
    <s v="Green Valley Health"/>
    <s v="Medicaid"/>
    <d v="2026-08-02T00:00:00"/>
    <d v="2026-08-11T00:00:00"/>
    <n v="7400"/>
    <n v="6480.87"/>
    <s v="Paid"/>
    <x v="1"/>
    <s v="Priya K"/>
    <n v="65"/>
    <s v="61-90"/>
    <n v="0"/>
    <s v="Manish Arora"/>
    <n v="0"/>
  </r>
  <r>
    <s v="C20667"/>
    <s v="P-1265"/>
    <s v="City Care Clinic"/>
    <s v="Humana"/>
    <d v="2026-09-20T00:00:00"/>
    <d v="2026-10-01T00:00:00"/>
    <n v="8575"/>
    <m/>
    <s v="Pending"/>
    <x v="1"/>
    <s v="Kavita D"/>
    <n v="14"/>
    <s v="0-30"/>
    <n v="8575"/>
    <s v="Deepak Nair"/>
    <n v="0"/>
  </r>
  <r>
    <s v="C20668"/>
    <s v="P-1159"/>
    <s v="Apex Ortho Center"/>
    <s v="Medicare"/>
    <d v="2026-01-02T00:00:00"/>
    <d v="2026-01-20T00:00:00"/>
    <n v="11975"/>
    <n v="11924.49"/>
    <s v="Paid"/>
    <x v="1"/>
    <s v="Priya K"/>
    <n v="268"/>
    <s v="90+"/>
    <n v="0"/>
    <s v="Manish Arora"/>
    <n v="0"/>
  </r>
  <r>
    <s v="C20669"/>
    <s v="P-1452"/>
    <s v="Apex Ortho Center"/>
    <s v="Medicare"/>
    <d v="2026-01-20T00:00:00"/>
    <d v="2026-01-30T00:00:00"/>
    <n v="9750"/>
    <n v="6914.9"/>
    <s v="Paid"/>
    <x v="1"/>
    <s v="Neha G"/>
    <n v="258"/>
    <s v="90+"/>
    <n v="0"/>
    <s v="Manish Arora"/>
    <n v="0"/>
  </r>
  <r>
    <s v="C20670"/>
    <s v="P-1336"/>
    <s v="Green Valley Health"/>
    <s v="Cigna"/>
    <d v="2026-09-18T00:00:00"/>
    <d v="2026-09-30T00:00:00"/>
    <n v="8200"/>
    <m/>
    <s v="Pending"/>
    <x v="1"/>
    <s v="Kavita D"/>
    <n v="15"/>
    <s v="0-30"/>
    <n v="8200"/>
    <s v="Deepak Nair"/>
    <n v="0"/>
  </r>
  <r>
    <s v="C20671"/>
    <s v="P-1140"/>
    <s v="Apex Ortho Center"/>
    <s v="Blue Cross"/>
    <d v="2026-04-01T00:00:00"/>
    <d v="2026-04-19T00:00:00"/>
    <n v="14700"/>
    <n v="0"/>
    <s v="Denied"/>
    <x v="2"/>
    <s v="Amit V"/>
    <n v="179"/>
    <s v="90+"/>
    <n v="0"/>
    <s v="Manish Arora"/>
    <n v="14700"/>
  </r>
  <r>
    <s v="C20672"/>
    <s v="P-1111"/>
    <s v="Apex Ortho Center"/>
    <s v="UnitedHealthcare"/>
    <d v="2026-03-07T00:00:00"/>
    <d v="2026-03-10T00:00:00"/>
    <n v="1950"/>
    <n v="1870.35"/>
    <s v="Paid"/>
    <x v="1"/>
    <s v="Vikas R"/>
    <n v="219"/>
    <s v="90+"/>
    <n v="0"/>
    <s v="Sunita Rao"/>
    <n v="0"/>
  </r>
  <r>
    <s v="C20673"/>
    <s v="P-1173"/>
    <s v="Apex Ortho Center"/>
    <s v="Medicare"/>
    <d v="2026-04-22T00:00:00"/>
    <d v="2026-05-10T00:00:00"/>
    <n v="12200"/>
    <m/>
    <s v="Pending"/>
    <x v="1"/>
    <s v="Priya K"/>
    <n v="158"/>
    <s v="90+"/>
    <n v="12200"/>
    <s v="Manish Arora"/>
    <n v="0"/>
  </r>
  <r>
    <s v="C20674"/>
    <s v="P-1175"/>
    <s v="Green Valley Health"/>
    <s v="Blue Cross"/>
    <d v="2026-03-03T00:00:00"/>
    <d v="2026-03-22T00:00:00"/>
    <n v="11225"/>
    <n v="6781.3"/>
    <s v="Paid"/>
    <x v="1"/>
    <s v="Neha G"/>
    <n v="207"/>
    <s v="90+"/>
    <n v="0"/>
    <s v="Manish Arora"/>
    <n v="0"/>
  </r>
  <r>
    <s v="C20675"/>
    <s v="P-1172"/>
    <s v="Green Valley Health"/>
    <s v="UnitedHealthcare"/>
    <d v="2026-04-27T00:00:00"/>
    <d v="2026-05-13T00:00:00"/>
    <n v="14275"/>
    <m/>
    <s v="Pending"/>
    <x v="1"/>
    <s v="Rahul S"/>
    <n v="155"/>
    <s v="90+"/>
    <n v="14275"/>
    <s v="Manish Arora"/>
    <n v="0"/>
  </r>
  <r>
    <s v="C20676"/>
    <s v="P-1138"/>
    <s v="Green Valley Health"/>
    <s v="Humana"/>
    <d v="2026-09-17T00:00:00"/>
    <d v="2026-10-01T00:00:00"/>
    <n v="12750"/>
    <m/>
    <s v="Pending"/>
    <x v="1"/>
    <s v="Priya K"/>
    <n v="14"/>
    <s v="0-30"/>
    <n v="12750"/>
    <s v="Manish Arora"/>
    <n v="0"/>
  </r>
  <r>
    <s v="C20677"/>
    <s v="P-1152"/>
    <s v="Apex Ortho Center"/>
    <s v="Blue Cross"/>
    <d v="2026-05-01T00:00:00"/>
    <d v="2026-05-15T00:00:00"/>
    <n v="975"/>
    <n v="796.31"/>
    <s v="Paid"/>
    <x v="1"/>
    <s v="Rohit B"/>
    <n v="153"/>
    <s v="90+"/>
    <n v="0"/>
    <s v="Deepak Nair"/>
    <n v="0"/>
  </r>
  <r>
    <s v="C20678"/>
    <s v="P-1028"/>
    <s v="Sunrise Hospital"/>
    <s v="Cigna"/>
    <d v="2026-05-18T00:00:00"/>
    <d v="2026-05-30T00:00:00"/>
    <n v="1125"/>
    <n v="0"/>
    <s v="Denied"/>
    <x v="7"/>
    <s v="Sandeep Y"/>
    <n v="138"/>
    <s v="90+"/>
    <n v="0"/>
    <s v="Sunita Rao"/>
    <n v="1125"/>
  </r>
  <r>
    <s v="C20679"/>
    <s v="P-1112"/>
    <s v="City Care Clinic"/>
    <s v="Medicaid"/>
    <d v="2026-06-15T00:00:00"/>
    <d v="2026-07-04T00:00:00"/>
    <n v="13300"/>
    <n v="9278.02"/>
    <s v="Paid"/>
    <x v="1"/>
    <s v="Kavita D"/>
    <n v="103"/>
    <s v="90+"/>
    <n v="0"/>
    <s v="Deepak Nair"/>
    <n v="0"/>
  </r>
  <r>
    <s v="C20680"/>
    <s v="P-1209"/>
    <s v="City Care Clinic"/>
    <s v="Aetna"/>
    <d v="2026-02-03T00:00:00"/>
    <d v="2026-02-13T00:00:00"/>
    <n v="2100"/>
    <n v="0"/>
    <s v="Denied"/>
    <x v="3"/>
    <s v="Rohit B"/>
    <n v="244"/>
    <s v="90+"/>
    <n v="0"/>
    <s v="Deepak Nair"/>
    <n v="2100"/>
  </r>
  <r>
    <s v="C20681"/>
    <s v="P-1036"/>
    <s v="Apex Ortho Center"/>
    <s v="Medicare"/>
    <d v="2026-09-13T00:00:00"/>
    <d v="2026-09-29T00:00:00"/>
    <n v="13550"/>
    <m/>
    <s v="Pending"/>
    <x v="1"/>
    <s v="Rahul S"/>
    <n v="16"/>
    <s v="0-30"/>
    <n v="13550"/>
    <s v="Manish Arora"/>
    <n v="0"/>
  </r>
  <r>
    <s v="C20682"/>
    <s v="P-1480"/>
    <s v="Sunrise Hospital"/>
    <s v="UnitedHealthcare"/>
    <d v="2026-03-28T00:00:00"/>
    <d v="2026-04-03T00:00:00"/>
    <n v="8525"/>
    <n v="6233.46"/>
    <s v="Paid"/>
    <x v="1"/>
    <s v="Vikas R"/>
    <n v="195"/>
    <s v="90+"/>
    <n v="0"/>
    <s v="Sunita Rao"/>
    <n v="0"/>
  </r>
  <r>
    <s v="C20683"/>
    <s v="P-1006"/>
    <s v="Green Valley Health"/>
    <s v="Self Pay"/>
    <d v="2025-12-28T00:00:00"/>
    <d v="2026-01-16T00:00:00"/>
    <n v="5775"/>
    <n v="0"/>
    <s v="Denied"/>
    <x v="2"/>
    <s v="Kavita D"/>
    <n v="272"/>
    <s v="90+"/>
    <n v="0"/>
    <s v="Deepak Nair"/>
    <n v="5775"/>
  </r>
  <r>
    <s v="C20684"/>
    <s v="P-1060"/>
    <s v="Sunrise Hospital"/>
    <s v="UnitedHealthcare"/>
    <d v="2026-01-26T00:00:00"/>
    <d v="2026-02-01T00:00:00"/>
    <n v="350"/>
    <n v="223.67"/>
    <s v="Paid"/>
    <x v="1"/>
    <s v="Priya K"/>
    <n v="256"/>
    <s v="90+"/>
    <n v="0"/>
    <s v="Manish Arora"/>
    <n v="0"/>
  </r>
  <r>
    <s v="C20685"/>
    <s v="P-1172"/>
    <s v="Green Valley Health"/>
    <s v="Humana"/>
    <d v="2026-04-30T00:00:00"/>
    <d v="2026-05-06T00:00:00"/>
    <n v="9925"/>
    <m/>
    <s v="Pending"/>
    <x v="1"/>
    <s v="Kavita D"/>
    <n v="162"/>
    <s v="90+"/>
    <n v="9925"/>
    <s v="Deepak Nair"/>
    <n v="0"/>
  </r>
  <r>
    <s v="C20686"/>
    <s v="P-1091"/>
    <s v="Green Valley Health"/>
    <s v="UnitedHealthcare"/>
    <d v="2026-06-09T00:00:00"/>
    <d v="2026-06-28T00:00:00"/>
    <n v="5325"/>
    <n v="4906.8999999999996"/>
    <s v="Paid"/>
    <x v="1"/>
    <s v="Anjali T"/>
    <n v="109"/>
    <s v="90+"/>
    <n v="0"/>
    <s v="Deepak Nair"/>
    <n v="0"/>
  </r>
  <r>
    <s v="C20687"/>
    <s v="P-1486"/>
    <s v="Sunrise Hospital"/>
    <s v="Self Pay"/>
    <d v="2026-02-24T00:00:00"/>
    <d v="2026-03-04T00:00:00"/>
    <n v="3225"/>
    <n v="1861.32"/>
    <s v="Paid"/>
    <x v="1"/>
    <s v="Amit V"/>
    <n v="225"/>
    <s v="90+"/>
    <n v="0"/>
    <s v="Manish Arora"/>
    <n v="0"/>
  </r>
  <r>
    <s v="C20688"/>
    <s v="P-1068"/>
    <s v="Green Valley Health"/>
    <s v="Blue Cross"/>
    <d v="2026-06-02T00:00:00"/>
    <d v="2026-06-10T00:00:00"/>
    <n v="12300"/>
    <n v="7882.62"/>
    <s v="Paid"/>
    <x v="1"/>
    <s v="Vikas R"/>
    <n v="127"/>
    <s v="90+"/>
    <n v="0"/>
    <s v="Sunita Rao"/>
    <n v="0"/>
  </r>
  <r>
    <s v="C20689"/>
    <s v="P-1417"/>
    <s v="Apex Ortho Center"/>
    <s v="Aetna"/>
    <d v="2026-05-17T00:00:00"/>
    <d v="2026-06-05T00:00:00"/>
    <n v="11325"/>
    <m/>
    <s v="Pending"/>
    <x v="1"/>
    <s v="Sandeep Y"/>
    <n v="132"/>
    <s v="90+"/>
    <n v="11325"/>
    <s v="Sunita Rao"/>
    <n v="0"/>
  </r>
  <r>
    <s v="C20690"/>
    <s v="P-1028"/>
    <s v="City Care Clinic"/>
    <s v="Blue Cross"/>
    <d v="2026-02-08T00:00:00"/>
    <d v="2026-02-12T00:00:00"/>
    <n v="5775"/>
    <n v="5735.11"/>
    <s v="Paid"/>
    <x v="1"/>
    <s v="Anjali T"/>
    <n v="245"/>
    <s v="90+"/>
    <n v="0"/>
    <s v="Deepak Nair"/>
    <n v="0"/>
  </r>
  <r>
    <s v="C20691"/>
    <s v="P-1383"/>
    <s v="City Care Clinic"/>
    <s v="Cigna"/>
    <d v="2026-02-14T00:00:00"/>
    <d v="2026-02-18T00:00:00"/>
    <n v="9450"/>
    <n v="6751.47"/>
    <s v="Paid"/>
    <x v="1"/>
    <s v="Rohit B"/>
    <n v="239"/>
    <s v="90+"/>
    <n v="0"/>
    <s v="Deepak Nair"/>
    <n v="0"/>
  </r>
  <r>
    <s v="C20692"/>
    <s v="P-1142"/>
    <s v="Green Valley Health"/>
    <s v="Cigna"/>
    <d v="2026-02-10T00:00:00"/>
    <d v="2026-02-21T00:00:00"/>
    <n v="12025"/>
    <n v="9404.9599999999991"/>
    <s v="Paid"/>
    <x v="1"/>
    <s v="Sandeep Y"/>
    <n v="236"/>
    <s v="90+"/>
    <n v="0"/>
    <s v="Sunita Rao"/>
    <n v="0"/>
  </r>
  <r>
    <s v="C20693"/>
    <s v="P-1231"/>
    <s v="Apex Ortho Center"/>
    <s v="Blue Cross"/>
    <d v="2026-03-29T00:00:00"/>
    <d v="2026-04-14T00:00:00"/>
    <n v="7025"/>
    <m/>
    <s v="Pending"/>
    <x v="1"/>
    <s v="Rohit B"/>
    <n v="184"/>
    <s v="90+"/>
    <n v="7025"/>
    <s v="Deepak Nair"/>
    <n v="0"/>
  </r>
  <r>
    <s v="C20694"/>
    <s v="P-1334"/>
    <s v="Green Valley Health"/>
    <s v="Medicare"/>
    <d v="2026-09-01T00:00:00"/>
    <d v="2026-09-15T00:00:00"/>
    <n v="10925"/>
    <m/>
    <s v="Pending"/>
    <x v="1"/>
    <s v="Anjali T"/>
    <n v="30"/>
    <s v="0-30"/>
    <n v="10925"/>
    <s v="Deepak Nair"/>
    <n v="0"/>
  </r>
  <r>
    <s v="C20695"/>
    <s v="P-1066"/>
    <s v="Green Valley Health"/>
    <s v="Aetna"/>
    <d v="2026-02-04T00:00:00"/>
    <d v="2026-02-16T00:00:00"/>
    <n v="12425"/>
    <n v="0"/>
    <s v="Denied"/>
    <x v="5"/>
    <s v="Rohit B"/>
    <n v="241"/>
    <s v="90+"/>
    <n v="0"/>
    <s v="Deepak Nair"/>
    <n v="12425"/>
  </r>
  <r>
    <s v="C20696"/>
    <s v="P-1267"/>
    <s v="Green Valley Health"/>
    <s v="Blue Cross"/>
    <d v="2026-03-30T00:00:00"/>
    <d v="2026-04-18T00:00:00"/>
    <n v="1100"/>
    <n v="664.54"/>
    <s v="Paid"/>
    <x v="1"/>
    <s v="Amit V"/>
    <n v="180"/>
    <s v="90+"/>
    <n v="0"/>
    <s v="Manish Arora"/>
    <n v="0"/>
  </r>
  <r>
    <s v="C20697"/>
    <s v="P-1294"/>
    <s v="Apex Ortho Center"/>
    <s v="Cigna"/>
    <d v="2026-08-19T00:00:00"/>
    <d v="2026-08-25T00:00:00"/>
    <n v="625"/>
    <n v="578.19000000000005"/>
    <s v="Paid"/>
    <x v="1"/>
    <s v="Vikas R"/>
    <n v="51"/>
    <s v="31-60"/>
    <n v="0"/>
    <s v="Sunita Rao"/>
    <n v="0"/>
  </r>
  <r>
    <s v="C20698"/>
    <s v="P-1082"/>
    <s v="Sunrise Hospital"/>
    <s v="Medicare"/>
    <d v="2026-01-09T00:00:00"/>
    <d v="2026-01-15T00:00:00"/>
    <n v="4175"/>
    <m/>
    <s v="Pending"/>
    <x v="1"/>
    <s v="Rahul S"/>
    <n v="273"/>
    <s v="90+"/>
    <n v="4175"/>
    <s v="Manish Arora"/>
    <n v="0"/>
  </r>
  <r>
    <s v="C20699"/>
    <s v="P-1061"/>
    <s v="Green Valley Health"/>
    <s v="Cigna"/>
    <d v="2026-09-10T00:00:00"/>
    <d v="2026-09-25T00:00:00"/>
    <n v="6050"/>
    <m/>
    <s v="Pending"/>
    <x v="1"/>
    <s v="Anjali T"/>
    <n v="20"/>
    <s v="0-30"/>
    <n v="6050"/>
    <s v="Deepak Nair"/>
    <n v="0"/>
  </r>
  <r>
    <s v="C20700"/>
    <s v="P-1192"/>
    <s v="Sunrise Hospital"/>
    <s v="Medicare"/>
    <d v="2026-04-25T00:00:00"/>
    <d v="2026-05-06T00:00:00"/>
    <n v="1875"/>
    <n v="1742.95"/>
    <s v="Paid"/>
    <x v="1"/>
    <s v="Pooja M"/>
    <n v="162"/>
    <s v="90+"/>
    <n v="0"/>
    <s v="Sunita Rao"/>
    <n v="0"/>
  </r>
  <r>
    <s v="C20701"/>
    <s v="P-1402"/>
    <s v="Sunrise Hospital"/>
    <s v="Medicare"/>
    <d v="2026-07-04T00:00:00"/>
    <d v="2026-07-14T00:00:00"/>
    <n v="10650"/>
    <n v="0"/>
    <s v="Denied"/>
    <x v="7"/>
    <s v="Vikas R"/>
    <n v="93"/>
    <s v="90+"/>
    <n v="0"/>
    <s v="Sunita Rao"/>
    <n v="10650"/>
  </r>
  <r>
    <s v="C20702"/>
    <s v="P-1332"/>
    <s v="Apex Ortho Center"/>
    <s v="Medicare"/>
    <d v="2026-03-13T00:00:00"/>
    <d v="2026-03-27T00:00:00"/>
    <n v="1225"/>
    <m/>
    <s v="Pending"/>
    <x v="1"/>
    <s v="Sandeep Y"/>
    <n v="202"/>
    <s v="90+"/>
    <n v="1225"/>
    <s v="Sunita Rao"/>
    <n v="0"/>
  </r>
  <r>
    <s v="C20703"/>
    <s v="P-1010"/>
    <s v="Apex Ortho Center"/>
    <s v="Humana"/>
    <d v="2026-03-16T00:00:00"/>
    <d v="2026-04-03T00:00:00"/>
    <n v="11475"/>
    <n v="0"/>
    <s v="Denied"/>
    <x v="5"/>
    <s v="Amit V"/>
    <n v="195"/>
    <s v="90+"/>
    <n v="0"/>
    <s v="Manish Arora"/>
    <n v="11475"/>
  </r>
  <r>
    <s v="C20704"/>
    <s v="P-1266"/>
    <s v="City Care Clinic"/>
    <s v="Medicare"/>
    <d v="2026-04-26T00:00:00"/>
    <d v="2026-05-05T00:00:00"/>
    <n v="9850"/>
    <n v="9324.2900000000009"/>
    <s v="Paid"/>
    <x v="1"/>
    <s v="Kavita D"/>
    <n v="163"/>
    <s v="90+"/>
    <n v="0"/>
    <s v="Deepak Nair"/>
    <n v="0"/>
  </r>
  <r>
    <s v="C20705"/>
    <s v="P-1083"/>
    <s v="Green Valley Health"/>
    <s v="UnitedHealthcare"/>
    <d v="2026-02-25T00:00:00"/>
    <d v="2026-03-10T00:00:00"/>
    <n v="7750"/>
    <n v="6603.77"/>
    <s v="Paid"/>
    <x v="1"/>
    <s v="Sandeep Y"/>
    <n v="219"/>
    <s v="90+"/>
    <n v="0"/>
    <s v="Sunita Rao"/>
    <n v="0"/>
  </r>
  <r>
    <s v="C20706"/>
    <s v="P-1259"/>
    <s v="Apex Ortho Center"/>
    <s v="UnitedHealthcare"/>
    <d v="2026-06-26T00:00:00"/>
    <d v="2026-07-05T00:00:00"/>
    <n v="4350"/>
    <n v="3809.81"/>
    <s v="Paid"/>
    <x v="1"/>
    <s v="Rohit B"/>
    <n v="102"/>
    <s v="90+"/>
    <n v="0"/>
    <s v="Deepak Nair"/>
    <n v="0"/>
  </r>
  <r>
    <s v="C20707"/>
    <s v="P-1227"/>
    <s v="Apex Ortho Center"/>
    <s v="Blue Cross"/>
    <d v="2026-02-11T00:00:00"/>
    <d v="2026-03-01T00:00:00"/>
    <n v="14700"/>
    <m/>
    <s v="Pending"/>
    <x v="1"/>
    <s v="Rohit B"/>
    <n v="228"/>
    <s v="90+"/>
    <n v="14700"/>
    <s v="Deepak Nair"/>
    <n v="0"/>
  </r>
  <r>
    <s v="C20708"/>
    <s v="P-1434"/>
    <s v="Sunrise Hospital"/>
    <s v="Blue Cross"/>
    <d v="2026-08-29T00:00:00"/>
    <d v="2026-09-18T00:00:00"/>
    <n v="9350"/>
    <m/>
    <s v="Pending"/>
    <x v="1"/>
    <s v="Neha G"/>
    <n v="27"/>
    <s v="0-30"/>
    <n v="9350"/>
    <s v="Manish Arora"/>
    <n v="0"/>
  </r>
  <r>
    <s v="C20709"/>
    <s v="P-1441"/>
    <s v="City Care Clinic"/>
    <s v="Medicare"/>
    <d v="2026-09-07T00:00:00"/>
    <d v="2026-09-27T00:00:00"/>
    <n v="10650"/>
    <m/>
    <s v="Pending"/>
    <x v="1"/>
    <s v="Pooja M"/>
    <n v="18"/>
    <s v="0-30"/>
    <n v="10650"/>
    <s v="Sunita Rao"/>
    <n v="0"/>
  </r>
  <r>
    <s v="C20710"/>
    <s v="P-1211"/>
    <s v="Apex Ortho Center"/>
    <s v="Medicare"/>
    <d v="2026-05-20T00:00:00"/>
    <d v="2026-06-02T00:00:00"/>
    <n v="10400"/>
    <n v="7435.26"/>
    <s v="Paid"/>
    <x v="1"/>
    <s v="Amit V"/>
    <n v="135"/>
    <s v="90+"/>
    <n v="0"/>
    <s v="Manish Arora"/>
    <n v="0"/>
  </r>
  <r>
    <s v="C20711"/>
    <s v="P-1248"/>
    <s v="City Care Clinic"/>
    <s v="Medicare"/>
    <d v="2026-01-02T00:00:00"/>
    <d v="2026-01-22T00:00:00"/>
    <n v="9850"/>
    <n v="7026.9"/>
    <s v="Paid"/>
    <x v="1"/>
    <s v="Neha G"/>
    <n v="266"/>
    <s v="90+"/>
    <n v="0"/>
    <s v="Manish Arora"/>
    <n v="0"/>
  </r>
  <r>
    <s v="C20712"/>
    <s v="P-1188"/>
    <s v="City Care Clinic"/>
    <s v="Blue Cross"/>
    <d v="2026-04-16T00:00:00"/>
    <d v="2026-05-06T00:00:00"/>
    <n v="4525"/>
    <n v="3895.49"/>
    <s v="Paid"/>
    <x v="1"/>
    <s v="Rahul S"/>
    <n v="162"/>
    <s v="90+"/>
    <n v="0"/>
    <s v="Manish Arora"/>
    <n v="0"/>
  </r>
  <r>
    <s v="C20713"/>
    <s v="P-1024"/>
    <s v="Green Valley Health"/>
    <s v="UnitedHealthcare"/>
    <d v="2026-03-21T00:00:00"/>
    <d v="2026-03-25T00:00:00"/>
    <n v="4050"/>
    <m/>
    <s v="Pending"/>
    <x v="1"/>
    <s v="Amit V"/>
    <n v="204"/>
    <s v="90+"/>
    <n v="4050"/>
    <s v="Manish Arora"/>
    <n v="0"/>
  </r>
  <r>
    <s v="C20714"/>
    <s v="P-1452"/>
    <s v="Apex Ortho Center"/>
    <s v="UnitedHealthcare"/>
    <d v="2026-07-02T00:00:00"/>
    <d v="2026-07-14T00:00:00"/>
    <n v="3625"/>
    <n v="3153.23"/>
    <s v="Paid"/>
    <x v="1"/>
    <s v="Rahul S"/>
    <n v="93"/>
    <s v="90+"/>
    <n v="0"/>
    <s v="Manish Arora"/>
    <n v="0"/>
  </r>
  <r>
    <s v="C20715"/>
    <s v="P-1363"/>
    <s v="Sunrise Hospital"/>
    <s v="Medicare"/>
    <d v="2026-01-15T00:00:00"/>
    <d v="2026-01-20T00:00:00"/>
    <n v="2475"/>
    <n v="1699.66"/>
    <s v="Paid"/>
    <x v="1"/>
    <s v="Anjali T"/>
    <n v="268"/>
    <s v="90+"/>
    <n v="0"/>
    <s v="Deepak Nair"/>
    <n v="0"/>
  </r>
  <r>
    <s v="C20716"/>
    <s v="P-1301"/>
    <s v="City Care Clinic"/>
    <s v="Cigna"/>
    <d v="2026-06-23T00:00:00"/>
    <d v="2026-07-04T00:00:00"/>
    <n v="12550"/>
    <n v="10403.43"/>
    <s v="Paid"/>
    <x v="1"/>
    <s v="Kavita D"/>
    <n v="103"/>
    <s v="90+"/>
    <n v="0"/>
    <s v="Deepak Nair"/>
    <n v="0"/>
  </r>
  <r>
    <s v="C20717"/>
    <s v="P-1325"/>
    <s v="Sunrise Hospital"/>
    <s v="Cigna"/>
    <d v="2026-07-04T00:00:00"/>
    <d v="2026-07-16T00:00:00"/>
    <n v="13350"/>
    <n v="10333.18"/>
    <s v="Paid"/>
    <x v="1"/>
    <s v="Vikas R"/>
    <n v="91"/>
    <s v="90+"/>
    <n v="0"/>
    <s v="Sunita Rao"/>
    <n v="0"/>
  </r>
  <r>
    <s v="C20718"/>
    <s v="P-1010"/>
    <s v="Apex Ortho Center"/>
    <s v="Medicare"/>
    <d v="2026-04-03T00:00:00"/>
    <d v="2026-04-12T00:00:00"/>
    <n v="4550"/>
    <n v="0"/>
    <s v="Denied"/>
    <x v="2"/>
    <s v="Sandeep Y"/>
    <n v="186"/>
    <s v="90+"/>
    <n v="0"/>
    <s v="Sunita Rao"/>
    <n v="4550"/>
  </r>
  <r>
    <s v="C20719"/>
    <s v="P-1182"/>
    <s v="Green Valley Health"/>
    <s v="Cigna"/>
    <d v="2026-04-03T00:00:00"/>
    <d v="2026-04-08T00:00:00"/>
    <n v="7125"/>
    <n v="5006.1099999999997"/>
    <s v="Paid"/>
    <x v="1"/>
    <s v="Neha G"/>
    <n v="190"/>
    <s v="90+"/>
    <n v="0"/>
    <s v="Manish Arora"/>
    <n v="0"/>
  </r>
  <r>
    <s v="C20720"/>
    <s v="P-1354"/>
    <s v="Green Valley Health"/>
    <s v="Humana"/>
    <d v="2026-03-31T00:00:00"/>
    <d v="2026-04-14T00:00:00"/>
    <n v="4550"/>
    <n v="3475.1"/>
    <s v="Paid"/>
    <x v="1"/>
    <s v="Vikas R"/>
    <n v="184"/>
    <s v="90+"/>
    <n v="0"/>
    <s v="Sunita Rao"/>
    <n v="0"/>
  </r>
  <r>
    <s v="C20721"/>
    <s v="P-1228"/>
    <s v="Green Valley Health"/>
    <s v="UnitedHealthcare"/>
    <d v="2026-03-17T00:00:00"/>
    <d v="2026-03-31T00:00:00"/>
    <n v="5375"/>
    <m/>
    <s v="Pending"/>
    <x v="1"/>
    <s v="Rahul S"/>
    <n v="198"/>
    <s v="90+"/>
    <n v="5375"/>
    <s v="Manish Arora"/>
    <n v="0"/>
  </r>
  <r>
    <s v="C20722"/>
    <s v="P-1019"/>
    <s v="Sunrise Hospital"/>
    <s v="Medicaid"/>
    <d v="2026-04-29T00:00:00"/>
    <d v="2026-05-15T00:00:00"/>
    <n v="3000"/>
    <n v="1683.4"/>
    <s v="Paid"/>
    <x v="1"/>
    <s v="Sandeep Y"/>
    <n v="153"/>
    <s v="90+"/>
    <n v="0"/>
    <s v="Sunita Rao"/>
    <n v="0"/>
  </r>
  <r>
    <s v="C20723"/>
    <s v="P-1078"/>
    <s v="Green Valley Health"/>
    <s v="Medicaid"/>
    <d v="2026-05-31T00:00:00"/>
    <d v="2026-06-11T00:00:00"/>
    <n v="10175"/>
    <n v="6203.58"/>
    <s v="Paid"/>
    <x v="1"/>
    <s v="Amit V"/>
    <n v="126"/>
    <s v="90+"/>
    <n v="0"/>
    <s v="Manish Arora"/>
    <n v="0"/>
  </r>
  <r>
    <s v="C20724"/>
    <s v="P-1177"/>
    <s v="Apex Ortho Center"/>
    <s v="Medicare"/>
    <d v="2026-02-06T00:00:00"/>
    <d v="2026-02-20T00:00:00"/>
    <n v="2075"/>
    <n v="1326.78"/>
    <s v="Paid"/>
    <x v="1"/>
    <s v="Neha G"/>
    <n v="237"/>
    <s v="90+"/>
    <n v="0"/>
    <s v="Manish Arora"/>
    <n v="0"/>
  </r>
  <r>
    <s v="C20725"/>
    <s v="P-1403"/>
    <s v="City Care Clinic"/>
    <s v="Medicare"/>
    <d v="2026-01-08T00:00:00"/>
    <d v="2026-01-16T00:00:00"/>
    <n v="425"/>
    <m/>
    <s v="Pending"/>
    <x v="1"/>
    <s v="Rohit B"/>
    <n v="272"/>
    <s v="90+"/>
    <n v="425"/>
    <s v="Deepak Nair"/>
    <n v="0"/>
  </r>
  <r>
    <s v="C20726"/>
    <s v="P-1327"/>
    <s v="City Care Clinic"/>
    <s v="Medicare"/>
    <d v="2026-03-02T00:00:00"/>
    <d v="2026-03-08T00:00:00"/>
    <n v="2075"/>
    <n v="1920.77"/>
    <s v="Paid"/>
    <x v="1"/>
    <s v="Vikas R"/>
    <n v="221"/>
    <s v="90+"/>
    <n v="0"/>
    <s v="Sunita Rao"/>
    <n v="0"/>
  </r>
  <r>
    <s v="C20727"/>
    <s v="P-1371"/>
    <s v="Sunrise Hospital"/>
    <s v="Medicare"/>
    <d v="2026-09-16T00:00:00"/>
    <d v="2026-09-27T00:00:00"/>
    <n v="7200"/>
    <m/>
    <s v="Pending"/>
    <x v="1"/>
    <s v="Rahul S"/>
    <n v="18"/>
    <s v="0-30"/>
    <n v="7200"/>
    <s v="Manish Arora"/>
    <n v="0"/>
  </r>
  <r>
    <s v="C20728"/>
    <s v="P-1415"/>
    <s v="Green Valley Health"/>
    <s v="Medicare"/>
    <d v="2026-06-04T00:00:00"/>
    <d v="2026-06-16T00:00:00"/>
    <n v="5650"/>
    <m/>
    <s v="Pending"/>
    <x v="1"/>
    <s v="Vikas R"/>
    <n v="121"/>
    <s v="90+"/>
    <n v="5650"/>
    <s v="Sunita Rao"/>
    <n v="0"/>
  </r>
  <r>
    <s v="C20729"/>
    <s v="P-1286"/>
    <s v="City Care Clinic"/>
    <s v="UnitedHealthcare"/>
    <d v="2026-01-15T00:00:00"/>
    <d v="2026-01-24T00:00:00"/>
    <n v="8475"/>
    <n v="8159.92"/>
    <s v="Paid"/>
    <x v="1"/>
    <s v="Priya K"/>
    <n v="264"/>
    <s v="90+"/>
    <n v="0"/>
    <s v="Manish Arora"/>
    <n v="0"/>
  </r>
  <r>
    <s v="C20730"/>
    <s v="P-1321"/>
    <s v="Green Valley Health"/>
    <s v="Medicare"/>
    <d v="2026-08-11T00:00:00"/>
    <d v="2026-08-19T00:00:00"/>
    <n v="9625"/>
    <m/>
    <s v="Pending"/>
    <x v="1"/>
    <s v="Kavita D"/>
    <n v="57"/>
    <s v="31-60"/>
    <n v="9625"/>
    <s v="Deepak Nair"/>
    <n v="0"/>
  </r>
  <r>
    <s v="C20731"/>
    <s v="P-1396"/>
    <s v="Apex Ortho Center"/>
    <s v="Aetna"/>
    <d v="2026-08-18T00:00:00"/>
    <d v="2026-08-26T00:00:00"/>
    <n v="9500"/>
    <m/>
    <s v="Pending"/>
    <x v="1"/>
    <s v="Rohit B"/>
    <n v="50"/>
    <s v="31-60"/>
    <n v="9500"/>
    <s v="Deepak Nair"/>
    <n v="0"/>
  </r>
  <r>
    <s v="C20732"/>
    <s v="P-1289"/>
    <s v="City Care Clinic"/>
    <s v="Cigna"/>
    <d v="2025-12-24T00:00:00"/>
    <d v="2026-01-04T00:00:00"/>
    <n v="12975"/>
    <n v="0"/>
    <s v="Denied"/>
    <x v="2"/>
    <s v="Neha G"/>
    <n v="284"/>
    <s v="90+"/>
    <n v="0"/>
    <s v="Manish Arora"/>
    <n v="12975"/>
  </r>
  <r>
    <s v="C20733"/>
    <s v="P-1438"/>
    <s v="Apex Ortho Center"/>
    <s v="Blue Cross"/>
    <d v="2026-03-04T00:00:00"/>
    <d v="2026-03-08T00:00:00"/>
    <n v="8150"/>
    <n v="6817.9"/>
    <s v="Paid"/>
    <x v="1"/>
    <s v="Pooja M"/>
    <n v="221"/>
    <s v="90+"/>
    <n v="0"/>
    <s v="Sunita Rao"/>
    <n v="0"/>
  </r>
  <r>
    <s v="C20734"/>
    <s v="P-1348"/>
    <s v="Green Valley Health"/>
    <s v="Aetna"/>
    <d v="2026-07-19T00:00:00"/>
    <d v="2026-08-03T00:00:00"/>
    <n v="4475"/>
    <m/>
    <s v="Pending"/>
    <x v="1"/>
    <s v="Amit V"/>
    <n v="73"/>
    <s v="61-90"/>
    <n v="4475"/>
    <s v="Manish Arora"/>
    <n v="0"/>
  </r>
  <r>
    <s v="C20735"/>
    <s v="P-1039"/>
    <s v="City Care Clinic"/>
    <s v="Self Pay"/>
    <d v="2026-02-08T00:00:00"/>
    <d v="2026-02-24T00:00:00"/>
    <n v="4725"/>
    <n v="4447.96"/>
    <s v="Paid"/>
    <x v="1"/>
    <s v="Priya K"/>
    <n v="233"/>
    <s v="90+"/>
    <n v="0"/>
    <s v="Manish Arora"/>
    <n v="0"/>
  </r>
  <r>
    <s v="C20736"/>
    <s v="P-1494"/>
    <s v="Sunrise Hospital"/>
    <s v="Cigna"/>
    <d v="2026-09-14T00:00:00"/>
    <d v="2026-09-25T00:00:00"/>
    <n v="7425"/>
    <m/>
    <s v="Pending"/>
    <x v="1"/>
    <s v="Sandeep Y"/>
    <n v="20"/>
    <s v="0-30"/>
    <n v="7425"/>
    <s v="Sunita Rao"/>
    <n v="0"/>
  </r>
  <r>
    <s v="C20737"/>
    <s v="P-1131"/>
    <s v="City Care Clinic"/>
    <s v="UnitedHealthcare"/>
    <d v="2026-04-25T00:00:00"/>
    <d v="2026-04-29T00:00:00"/>
    <n v="14450"/>
    <n v="0"/>
    <s v="Denied"/>
    <x v="0"/>
    <s v="Priya K"/>
    <n v="169"/>
    <s v="90+"/>
    <n v="0"/>
    <s v="Manish Arora"/>
    <n v="14450"/>
  </r>
  <r>
    <s v="C20738"/>
    <s v="P-1056"/>
    <s v="Apex Ortho Center"/>
    <s v="Medicare"/>
    <d v="2026-06-26T00:00:00"/>
    <d v="2026-07-12T00:00:00"/>
    <n v="11350"/>
    <n v="10235"/>
    <s v="Paid"/>
    <x v="1"/>
    <s v="Pooja M"/>
    <n v="95"/>
    <s v="90+"/>
    <n v="0"/>
    <s v="Sunita Rao"/>
    <n v="0"/>
  </r>
  <r>
    <s v="C20739"/>
    <s v="P-1035"/>
    <s v="Green Valley Health"/>
    <s v="Medicaid"/>
    <d v="2026-03-10T00:00:00"/>
    <d v="2026-03-26T00:00:00"/>
    <n v="6675"/>
    <n v="5362.58"/>
    <s v="Paid"/>
    <x v="1"/>
    <s v="Pooja M"/>
    <n v="203"/>
    <s v="90+"/>
    <n v="0"/>
    <s v="Sunita Rao"/>
    <n v="0"/>
  </r>
  <r>
    <s v="C20740"/>
    <s v="P-1224"/>
    <s v="Apex Ortho Center"/>
    <s v="Aetna"/>
    <d v="2026-02-01T00:00:00"/>
    <d v="2026-02-18T00:00:00"/>
    <n v="7950"/>
    <n v="5869.09"/>
    <s v="Paid"/>
    <x v="1"/>
    <s v="Anjali T"/>
    <n v="239"/>
    <s v="90+"/>
    <n v="0"/>
    <s v="Deepak Nair"/>
    <n v="0"/>
  </r>
  <r>
    <s v="C20741"/>
    <s v="P-1269"/>
    <s v="Apex Ortho Center"/>
    <s v="Medicaid"/>
    <d v="2026-06-14T00:00:00"/>
    <d v="2026-06-30T00:00:00"/>
    <n v="6150"/>
    <n v="4857.59"/>
    <s v="Paid"/>
    <x v="1"/>
    <s v="Priya K"/>
    <n v="107"/>
    <s v="90+"/>
    <n v="0"/>
    <s v="Manish Arora"/>
    <n v="0"/>
  </r>
  <r>
    <s v="C20742"/>
    <s v="P-1427"/>
    <s v="Apex Ortho Center"/>
    <s v="Aetna"/>
    <d v="2026-05-02T00:00:00"/>
    <d v="2026-05-07T00:00:00"/>
    <n v="14950"/>
    <n v="10158.23"/>
    <s v="Paid"/>
    <x v="1"/>
    <s v="Amit V"/>
    <n v="161"/>
    <s v="90+"/>
    <n v="0"/>
    <s v="Manish Arora"/>
    <n v="0"/>
  </r>
  <r>
    <s v="C20743"/>
    <s v="P-1359"/>
    <s v="City Care Clinic"/>
    <s v="Medicaid"/>
    <d v="2026-04-22T00:00:00"/>
    <d v="2026-05-01T00:00:00"/>
    <n v="4900"/>
    <n v="3687.12"/>
    <s v="Paid"/>
    <x v="1"/>
    <s v="Vikas R"/>
    <n v="167"/>
    <s v="90+"/>
    <n v="0"/>
    <s v="Sunita Rao"/>
    <n v="0"/>
  </r>
  <r>
    <s v="C20744"/>
    <s v="P-1336"/>
    <s v="Apex Ortho Center"/>
    <s v="Medicare"/>
    <d v="2026-04-17T00:00:00"/>
    <d v="2026-04-20T00:00:00"/>
    <n v="3250"/>
    <m/>
    <s v="Pending"/>
    <x v="1"/>
    <s v="Pooja M"/>
    <n v="178"/>
    <s v="90+"/>
    <n v="3250"/>
    <s v="Sunita Rao"/>
    <n v="0"/>
  </r>
  <r>
    <s v="C20745"/>
    <s v="P-1360"/>
    <s v="Sunrise Hospital"/>
    <s v="Medicaid"/>
    <d v="2026-06-21T00:00:00"/>
    <d v="2026-07-11T00:00:00"/>
    <n v="14200"/>
    <n v="14105.37"/>
    <s v="Paid"/>
    <x v="1"/>
    <s v="Anjali T"/>
    <n v="96"/>
    <s v="90+"/>
    <n v="0"/>
    <s v="Deepak Nair"/>
    <n v="0"/>
  </r>
  <r>
    <s v="C20746"/>
    <s v="P-1056"/>
    <s v="City Care Clinic"/>
    <s v="Unknown"/>
    <d v="2026-03-05T00:00:00"/>
    <d v="2026-03-08T00:00:00"/>
    <n v="4650"/>
    <n v="2583.7399999999998"/>
    <s v="Paid"/>
    <x v="1"/>
    <s v="Kavita D"/>
    <n v="221"/>
    <s v="90+"/>
    <n v="0"/>
    <s v="Deepak Nair"/>
    <n v="0"/>
  </r>
  <r>
    <s v="C20747"/>
    <s v="P-1033"/>
    <s v="Apex Ortho Center"/>
    <s v="Medicaid"/>
    <d v="2026-06-10T00:00:00"/>
    <d v="2026-06-19T00:00:00"/>
    <n v="11675"/>
    <n v="0"/>
    <s v="Denied"/>
    <x v="3"/>
    <s v="Priya K"/>
    <n v="118"/>
    <s v="90+"/>
    <n v="0"/>
    <s v="Manish Arora"/>
    <n v="11675"/>
  </r>
  <r>
    <s v="C20748"/>
    <s v="P-1161"/>
    <s v="City Care Clinic"/>
    <s v="Blue Cross"/>
    <d v="2026-05-09T00:00:00"/>
    <d v="2026-05-18T00:00:00"/>
    <n v="4000"/>
    <n v="3100.6"/>
    <s v="Paid"/>
    <x v="1"/>
    <s v="Neha G"/>
    <n v="150"/>
    <s v="90+"/>
    <n v="0"/>
    <s v="Manish Arora"/>
    <n v="0"/>
  </r>
  <r>
    <s v="C20749"/>
    <s v="P-1009"/>
    <s v="Sunrise Hospital"/>
    <s v="Medicaid"/>
    <d v="2026-08-10T00:00:00"/>
    <d v="2026-08-27T00:00:00"/>
    <n v="2225"/>
    <m/>
    <s v="Pending"/>
    <x v="1"/>
    <s v="Amit V"/>
    <n v="49"/>
    <s v="31-60"/>
    <n v="2225"/>
    <s v="Manish Arora"/>
    <n v="0"/>
  </r>
  <r>
    <s v="C20750"/>
    <s v="P-1459"/>
    <s v="Apex Ortho Center"/>
    <s v="Medicaid"/>
    <d v="2026-06-09T00:00:00"/>
    <d v="2026-06-24T00:00:00"/>
    <n v="3775"/>
    <n v="3577.57"/>
    <s v="Paid"/>
    <x v="1"/>
    <s v="Neha G"/>
    <n v="113"/>
    <s v="90+"/>
    <n v="0"/>
    <s v="Manish Arora"/>
    <n v="0"/>
  </r>
  <r>
    <s v="C20751"/>
    <s v="P-1486"/>
    <s v="Sunrise Hospital"/>
    <s v="Medicare"/>
    <d v="2026-03-08T00:00:00"/>
    <d v="2026-03-26T00:00:00"/>
    <n v="11125"/>
    <n v="9073.49"/>
    <s v="Paid"/>
    <x v="1"/>
    <s v="Rahul S"/>
    <n v="203"/>
    <s v="90+"/>
    <n v="0"/>
    <s v="Manish Arora"/>
    <n v="0"/>
  </r>
  <r>
    <s v="C20752"/>
    <s v="P-1242"/>
    <s v="Apex Ortho Center"/>
    <s v="Medicare"/>
    <d v="2026-03-22T00:00:00"/>
    <d v="2026-04-01T00:00:00"/>
    <n v="2425"/>
    <m/>
    <s v="Pending"/>
    <x v="1"/>
    <s v="Rohit B"/>
    <n v="197"/>
    <s v="90+"/>
    <n v="2425"/>
    <s v="Deepak Nair"/>
    <n v="0"/>
  </r>
  <r>
    <s v="C20753"/>
    <s v="P-1136"/>
    <s v="City Care Clinic"/>
    <s v="Humana"/>
    <d v="2026-08-28T00:00:00"/>
    <d v="2026-09-11T00:00:00"/>
    <n v="6275"/>
    <m/>
    <s v="Pending"/>
    <x v="1"/>
    <s v="Pooja M"/>
    <n v="34"/>
    <s v="31-60"/>
    <n v="6275"/>
    <s v="Sunita Rao"/>
    <n v="0"/>
  </r>
  <r>
    <s v="C20754"/>
    <s v="P-1204"/>
    <s v="Apex Ortho Center"/>
    <s v="UnitedHealthcare"/>
    <d v="2026-05-29T00:00:00"/>
    <d v="2026-06-14T00:00:00"/>
    <n v="6250"/>
    <n v="6217.96"/>
    <s v="Paid"/>
    <x v="1"/>
    <s v="Anjali T"/>
    <n v="123"/>
    <s v="90+"/>
    <n v="0"/>
    <s v="Deepak Nair"/>
    <n v="0"/>
  </r>
  <r>
    <s v="C20755"/>
    <s v="P-1039"/>
    <s v="Sunrise Hospital"/>
    <s v="Medicaid"/>
    <d v="2026-06-29T00:00:00"/>
    <d v="2026-07-19T00:00:00"/>
    <n v="10025"/>
    <m/>
    <s v="Pending"/>
    <x v="1"/>
    <s v="Neha G"/>
    <n v="88"/>
    <s v="61-90"/>
    <n v="10025"/>
    <s v="Manish Arora"/>
    <n v="0"/>
  </r>
  <r>
    <s v="C20756"/>
    <s v="P-1211"/>
    <s v="City Care Clinic"/>
    <s v="Medicare"/>
    <d v="2026-01-20T00:00:00"/>
    <d v="2026-01-23T00:00:00"/>
    <n v="4400"/>
    <n v="0"/>
    <s v="Denied"/>
    <x v="5"/>
    <s v="Neha G"/>
    <n v="265"/>
    <s v="90+"/>
    <n v="0"/>
    <s v="Manish Arora"/>
    <n v="4400"/>
  </r>
  <r>
    <s v="C20757"/>
    <s v="P-1232"/>
    <s v="Green Valley Health"/>
    <s v="UnitedHealthcare"/>
    <d v="2026-07-17T00:00:00"/>
    <d v="2026-07-20T00:00:00"/>
    <n v="12900"/>
    <n v="10340.16"/>
    <s v="Paid"/>
    <x v="1"/>
    <s v="Amit V"/>
    <n v="87"/>
    <s v="61-90"/>
    <n v="0"/>
    <s v="Manish Arora"/>
    <n v="0"/>
  </r>
  <r>
    <s v="C20758"/>
    <s v="P-1122"/>
    <s v="Sunrise Hospital"/>
    <s v="Aetna"/>
    <d v="2026-02-28T00:00:00"/>
    <d v="2026-03-11T00:00:00"/>
    <n v="3675"/>
    <n v="2271.1"/>
    <s v="Paid"/>
    <x v="1"/>
    <s v="Rahul S"/>
    <n v="218"/>
    <s v="90+"/>
    <n v="0"/>
    <s v="Manish Arora"/>
    <n v="0"/>
  </r>
  <r>
    <s v="C20759"/>
    <s v="P-1224"/>
    <s v="Sunrise Hospital"/>
    <s v="Aetna"/>
    <d v="2026-05-02T00:00:00"/>
    <d v="2026-05-13T00:00:00"/>
    <n v="13775"/>
    <n v="13222.57"/>
    <s v="Paid"/>
    <x v="1"/>
    <s v="Amit V"/>
    <n v="155"/>
    <s v="90+"/>
    <n v="0"/>
    <s v="Manish Arora"/>
    <n v="0"/>
  </r>
  <r>
    <s v="C20760"/>
    <s v="P-1022"/>
    <s v="Apex Ortho Center"/>
    <s v="Medicaid"/>
    <d v="2026-08-07T00:00:00"/>
    <d v="2026-08-10T00:00:00"/>
    <n v="10250"/>
    <m/>
    <s v="Pending"/>
    <x v="1"/>
    <s v="Anjali T"/>
    <n v="66"/>
    <s v="61-90"/>
    <n v="10250"/>
    <s v="Deepak Nair"/>
    <n v="0"/>
  </r>
  <r>
    <s v="C20761"/>
    <s v="P-1034"/>
    <s v="Apex Ortho Center"/>
    <s v="Medicare"/>
    <d v="2026-06-07T00:00:00"/>
    <d v="2026-06-24T00:00:00"/>
    <n v="3325"/>
    <n v="2878.74"/>
    <s v="Paid"/>
    <x v="1"/>
    <s v="Anjali T"/>
    <n v="113"/>
    <s v="90+"/>
    <n v="0"/>
    <s v="Deepak Nair"/>
    <n v="0"/>
  </r>
  <r>
    <s v="C20762"/>
    <s v="P-1328"/>
    <s v="Green Valley Health"/>
    <s v="Self Pay"/>
    <d v="2026-03-27T00:00:00"/>
    <d v="2026-04-12T00:00:00"/>
    <n v="3050"/>
    <n v="0"/>
    <s v="Denied"/>
    <x v="2"/>
    <s v="Kavita D"/>
    <n v="186"/>
    <s v="90+"/>
    <n v="0"/>
    <s v="Deepak Nair"/>
    <n v="3050"/>
  </r>
  <r>
    <s v="C20763"/>
    <s v="P-1134"/>
    <s v="Apex Ortho Center"/>
    <s v="Aetna"/>
    <d v="2026-06-22T00:00:00"/>
    <d v="2026-07-01T00:00:00"/>
    <n v="12975"/>
    <n v="11830.56"/>
    <s v="Paid"/>
    <x v="1"/>
    <s v="Neha G"/>
    <n v="106"/>
    <s v="90+"/>
    <n v="0"/>
    <s v="Manish Arora"/>
    <n v="0"/>
  </r>
  <r>
    <s v="C20764"/>
    <s v="P-1135"/>
    <s v="Sunrise Hospital"/>
    <s v="Medicaid"/>
    <d v="2026-08-27T00:00:00"/>
    <d v="2026-09-03T00:00:00"/>
    <n v="2050"/>
    <m/>
    <s v="Pending"/>
    <x v="1"/>
    <s v="Rohit B"/>
    <n v="42"/>
    <s v="31-60"/>
    <n v="2050"/>
    <s v="Deepak Nair"/>
    <n v="0"/>
  </r>
  <r>
    <s v="C20765"/>
    <s v="P-1384"/>
    <s v="Green Valley Health"/>
    <s v="Medicare"/>
    <d v="2026-05-19T00:00:00"/>
    <d v="2026-06-07T00:00:00"/>
    <n v="13475"/>
    <m/>
    <s v="Pending"/>
    <x v="1"/>
    <s v="Priya K"/>
    <n v="130"/>
    <s v="90+"/>
    <n v="13475"/>
    <s v="Manish Arora"/>
    <n v="0"/>
  </r>
  <r>
    <s v="C20766"/>
    <s v="P-1415"/>
    <s v="Green Valley Health"/>
    <s v="Medicaid"/>
    <d v="2026-08-19T00:00:00"/>
    <d v="2026-09-02T00:00:00"/>
    <n v="13875"/>
    <n v="13384.66"/>
    <s v="Paid"/>
    <x v="1"/>
    <s v="Rohit B"/>
    <n v="43"/>
    <s v="31-60"/>
    <n v="0"/>
    <s v="Deepak Nair"/>
    <n v="0"/>
  </r>
  <r>
    <s v="C20767"/>
    <s v="P-1054"/>
    <s v="City Care Clinic"/>
    <s v="Medicare"/>
    <d v="2026-02-23T00:00:00"/>
    <d v="2026-03-02T00:00:00"/>
    <n v="10000"/>
    <n v="9468.76"/>
    <s v="Paid"/>
    <x v="1"/>
    <s v="Amit V"/>
    <n v="227"/>
    <s v="90+"/>
    <n v="0"/>
    <s v="Manish Arora"/>
    <n v="0"/>
  </r>
  <r>
    <s v="C20768"/>
    <s v="P-1242"/>
    <s v="Sunrise Hospital"/>
    <s v="Humana"/>
    <d v="2026-01-27T00:00:00"/>
    <d v="2026-02-13T00:00:00"/>
    <n v="3000"/>
    <m/>
    <s v="Pending"/>
    <x v="1"/>
    <s v="Kavita D"/>
    <n v="244"/>
    <s v="90+"/>
    <n v="3000"/>
    <s v="Deepak Nair"/>
    <n v="0"/>
  </r>
  <r>
    <s v="C20769"/>
    <s v="P-1087"/>
    <s v="Green Valley Health"/>
    <s v="Medicare"/>
    <d v="2026-06-30T00:00:00"/>
    <d v="2026-07-08T00:00:00"/>
    <n v="14075"/>
    <m/>
    <s v="Pending"/>
    <x v="1"/>
    <s v="Anjali T"/>
    <n v="99"/>
    <s v="90+"/>
    <n v="14075"/>
    <s v="Deepak Nair"/>
    <n v="0"/>
  </r>
  <r>
    <s v="C20770"/>
    <s v="P-1343"/>
    <s v="City Care Clinic"/>
    <s v="Aetna"/>
    <d v="2026-06-02T00:00:00"/>
    <d v="2026-06-12T00:00:00"/>
    <n v="3225"/>
    <n v="2530.08"/>
    <s v="Paid"/>
    <x v="1"/>
    <s v="Vikas R"/>
    <n v="125"/>
    <s v="90+"/>
    <n v="0"/>
    <s v="Sunita Rao"/>
    <n v="0"/>
  </r>
  <r>
    <s v="C20771"/>
    <s v="P-1496"/>
    <s v="City Care Clinic"/>
    <s v="Blue Cross"/>
    <d v="2026-06-15T00:00:00"/>
    <d v="2026-06-25T00:00:00"/>
    <n v="13250"/>
    <m/>
    <s v="Pending"/>
    <x v="1"/>
    <s v="Neha G"/>
    <n v="112"/>
    <s v="90+"/>
    <n v="13250"/>
    <s v="Manish Arora"/>
    <n v="0"/>
  </r>
  <r>
    <s v="C20772"/>
    <s v="P-1179"/>
    <s v="Apex Ortho Center"/>
    <s v="Humana"/>
    <d v="2026-04-25T00:00:00"/>
    <d v="2026-05-04T00:00:00"/>
    <n v="8350"/>
    <n v="7949.18"/>
    <s v="Paid"/>
    <x v="1"/>
    <s v="Kavita D"/>
    <n v="164"/>
    <s v="90+"/>
    <n v="0"/>
    <s v="Deepak Nair"/>
    <n v="0"/>
  </r>
  <r>
    <s v="C20773"/>
    <s v="P-1147"/>
    <s v="Green Valley Health"/>
    <s v="Medicaid"/>
    <d v="2026-01-09T00:00:00"/>
    <d v="2026-01-23T00:00:00"/>
    <n v="1050"/>
    <n v="935.86"/>
    <s v="Paid"/>
    <x v="1"/>
    <s v="Rahul S"/>
    <n v="265"/>
    <s v="90+"/>
    <n v="0"/>
    <s v="Manish Arora"/>
    <n v="0"/>
  </r>
  <r>
    <s v="C20774"/>
    <s v="P-1500"/>
    <s v="City Care Clinic"/>
    <s v="Cigna"/>
    <d v="2026-07-20T00:00:00"/>
    <d v="2026-07-24T00:00:00"/>
    <n v="1925"/>
    <n v="0"/>
    <s v="Denied"/>
    <x v="2"/>
    <s v="Pooja M"/>
    <n v="83"/>
    <s v="61-90"/>
    <n v="0"/>
    <s v="Sunita Rao"/>
    <n v="1925"/>
  </r>
  <r>
    <s v="C20775"/>
    <s v="P-1276"/>
    <s v="Green Valley Health"/>
    <s v="Medicare"/>
    <d v="2026-01-29T00:00:00"/>
    <d v="2026-02-06T00:00:00"/>
    <n v="10850"/>
    <n v="0"/>
    <s v="Denied"/>
    <x v="2"/>
    <s v="Amit V"/>
    <n v="251"/>
    <s v="90+"/>
    <n v="0"/>
    <s v="Manish Arora"/>
    <n v="10850"/>
  </r>
  <r>
    <s v="C20776"/>
    <s v="P-1139"/>
    <s v="Sunrise Hospital"/>
    <s v="Medicare"/>
    <d v="2026-06-19T00:00:00"/>
    <d v="2026-06-29T00:00:00"/>
    <n v="9650"/>
    <n v="9398.1200000000008"/>
    <s v="Paid"/>
    <x v="1"/>
    <s v="Sandeep Y"/>
    <n v="108"/>
    <s v="90+"/>
    <n v="0"/>
    <s v="Sunita Rao"/>
    <n v="0"/>
  </r>
  <r>
    <s v="C20777"/>
    <s v="P-1067"/>
    <s v="City Care Clinic"/>
    <s v="Medicaid"/>
    <d v="2026-04-18T00:00:00"/>
    <d v="2026-05-01T00:00:00"/>
    <n v="7925"/>
    <n v="0"/>
    <s v="Denied"/>
    <x v="4"/>
    <s v="Neha G"/>
    <n v="167"/>
    <s v="90+"/>
    <n v="0"/>
    <s v="Manish Arora"/>
    <n v="7925"/>
  </r>
  <r>
    <s v="C20778"/>
    <s v="P-1399"/>
    <s v="Apex Ortho Center"/>
    <s v="Self Pay"/>
    <d v="2026-09-17T00:00:00"/>
    <d v="2026-09-26T00:00:00"/>
    <n v="12625"/>
    <n v="11471.29"/>
    <s v="Paid"/>
    <x v="1"/>
    <s v="Priya K"/>
    <n v="19"/>
    <s v="0-30"/>
    <n v="0"/>
    <s v="Manish Arora"/>
    <n v="0"/>
  </r>
  <r>
    <s v="C20779"/>
    <s v="P-1000"/>
    <s v="Sunrise Hospital"/>
    <s v="Medicaid"/>
    <d v="2026-03-22T00:00:00"/>
    <d v="2026-03-25T00:00:00"/>
    <n v="3350"/>
    <n v="2335.04"/>
    <s v="Paid"/>
    <x v="1"/>
    <s v="Pooja M"/>
    <n v="204"/>
    <s v="90+"/>
    <n v="0"/>
    <s v="Sunita Rao"/>
    <n v="0"/>
  </r>
  <r>
    <s v="C20780"/>
    <s v="P-1039"/>
    <s v="Green Valley Health"/>
    <s v="Medicaid"/>
    <d v="2026-01-20T00:00:00"/>
    <d v="2026-02-08T00:00:00"/>
    <n v="4600"/>
    <n v="3752.97"/>
    <s v="Paid"/>
    <x v="1"/>
    <s v="Pooja M"/>
    <n v="249"/>
    <s v="90+"/>
    <n v="0"/>
    <s v="Sunita Rao"/>
    <n v="0"/>
  </r>
  <r>
    <s v="C20781"/>
    <s v="P-1225"/>
    <s v="Apex Ortho Center"/>
    <s v="Aetna"/>
    <d v="2026-08-14T00:00:00"/>
    <d v="2026-08-30T00:00:00"/>
    <n v="5325"/>
    <n v="5019.96"/>
    <s v="Paid"/>
    <x v="1"/>
    <s v="Anjali T"/>
    <n v="46"/>
    <s v="31-60"/>
    <n v="0"/>
    <s v="Deepak Nair"/>
    <n v="0"/>
  </r>
  <r>
    <s v="C20782"/>
    <s v="P-1011"/>
    <s v="City Care Clinic"/>
    <s v="Aetna"/>
    <d v="2026-08-30T00:00:00"/>
    <d v="2026-09-03T00:00:00"/>
    <n v="14550"/>
    <n v="10001.280000000001"/>
    <s v="Paid"/>
    <x v="1"/>
    <s v="Neha G"/>
    <n v="42"/>
    <s v="31-60"/>
    <n v="0"/>
    <s v="Manish Arora"/>
    <n v="0"/>
  </r>
  <r>
    <s v="C20783"/>
    <s v="P-1342"/>
    <s v="Apex Ortho Center"/>
    <s v="UnitedHealthcare"/>
    <d v="2026-06-16T00:00:00"/>
    <d v="2026-06-29T00:00:00"/>
    <n v="3750"/>
    <n v="0"/>
    <s v="Denied"/>
    <x v="2"/>
    <s v="Sandeep Y"/>
    <n v="108"/>
    <s v="90+"/>
    <n v="0"/>
    <s v="Sunita Rao"/>
    <n v="3750"/>
  </r>
  <r>
    <s v="C20784"/>
    <s v="P-1105"/>
    <s v="Green Valley Health"/>
    <s v="Aetna"/>
    <d v="2026-04-07T00:00:00"/>
    <d v="2026-04-22T00:00:00"/>
    <n v="10200"/>
    <n v="7513.04"/>
    <s v="Paid"/>
    <x v="1"/>
    <s v="Priya K"/>
    <n v="176"/>
    <s v="90+"/>
    <n v="0"/>
    <s v="Manish Arora"/>
    <n v="0"/>
  </r>
  <r>
    <s v="C20785"/>
    <s v="P-1021"/>
    <s v="Green Valley Health"/>
    <s v="Aetna"/>
    <d v="2026-08-17T00:00:00"/>
    <d v="2026-09-05T00:00:00"/>
    <n v="7625"/>
    <m/>
    <s v="Pending"/>
    <x v="1"/>
    <s v="Anjali T"/>
    <n v="40"/>
    <s v="31-60"/>
    <n v="7625"/>
    <s v="Deepak Nair"/>
    <n v="0"/>
  </r>
  <r>
    <s v="C20786"/>
    <s v="P-1429"/>
    <s v="City Care Clinic"/>
    <s v="Medicaid"/>
    <d v="2025-12-24T00:00:00"/>
    <d v="2026-01-10T00:00:00"/>
    <n v="4450"/>
    <n v="4341.93"/>
    <s v="Paid"/>
    <x v="1"/>
    <s v="Neha G"/>
    <n v="278"/>
    <s v="90+"/>
    <n v="0"/>
    <s v="Manish Arora"/>
    <n v="0"/>
  </r>
  <r>
    <s v="C20787"/>
    <s v="P-1373"/>
    <s v="Sunrise Hospital"/>
    <s v="UnitedHealthcare"/>
    <d v="2025-12-16T00:00:00"/>
    <d v="2026-01-01T00:00:00"/>
    <n v="8900"/>
    <n v="7066.76"/>
    <s v="Paid"/>
    <x v="1"/>
    <s v="Amit V"/>
    <n v="287"/>
    <s v="90+"/>
    <n v="0"/>
    <s v="Manish Arora"/>
    <n v="0"/>
  </r>
  <r>
    <s v="C20788"/>
    <s v="P-1044"/>
    <s v="Green Valley Health"/>
    <s v="UnitedHealthcare"/>
    <d v="2025-12-31T00:00:00"/>
    <d v="2026-01-18T00:00:00"/>
    <n v="7025"/>
    <n v="6757.3"/>
    <s v="Paid"/>
    <x v="1"/>
    <s v="Kavita D"/>
    <n v="270"/>
    <s v="90+"/>
    <n v="0"/>
    <s v="Deepak Nair"/>
    <n v="0"/>
  </r>
  <r>
    <s v="C20789"/>
    <s v="P-1234"/>
    <s v="Sunrise Hospital"/>
    <s v="Aetna"/>
    <d v="2026-06-03T00:00:00"/>
    <d v="2026-06-21T00:00:00"/>
    <n v="11550"/>
    <n v="7350.43"/>
    <s v="Paid"/>
    <x v="1"/>
    <s v="Rohit B"/>
    <n v="116"/>
    <s v="90+"/>
    <n v="0"/>
    <s v="Deepak Nair"/>
    <n v="0"/>
  </r>
  <r>
    <s v="C20790"/>
    <s v="P-1061"/>
    <s v="City Care Clinic"/>
    <s v="Medicare"/>
    <d v="2026-06-23T00:00:00"/>
    <d v="2026-06-26T00:00:00"/>
    <n v="13475"/>
    <n v="7413.18"/>
    <s v="Paid"/>
    <x v="1"/>
    <s v="Sandeep Y"/>
    <n v="111"/>
    <s v="90+"/>
    <n v="0"/>
    <s v="Sunita Rao"/>
    <n v="0"/>
  </r>
  <r>
    <s v="C20791"/>
    <s v="P-1184"/>
    <s v="Green Valley Health"/>
    <s v="UnitedHealthcare"/>
    <d v="2026-01-22T00:00:00"/>
    <d v="2026-02-09T00:00:00"/>
    <n v="11150"/>
    <n v="10514.42"/>
    <s v="Paid"/>
    <x v="1"/>
    <s v="Vikas R"/>
    <n v="248"/>
    <s v="90+"/>
    <n v="0"/>
    <s v="Sunita Rao"/>
    <n v="0"/>
  </r>
  <r>
    <s v="C20792"/>
    <s v="P-1154"/>
    <s v="Apex Ortho Center"/>
    <s v="Humana"/>
    <d v="2026-02-17T00:00:00"/>
    <d v="2026-03-08T00:00:00"/>
    <n v="3450"/>
    <m/>
    <s v="Pending"/>
    <x v="1"/>
    <s v="Priya K"/>
    <n v="221"/>
    <s v="90+"/>
    <n v="3450"/>
    <s v="Manish Arora"/>
    <n v="0"/>
  </r>
  <r>
    <s v="C20793"/>
    <s v="P-1407"/>
    <s v="City Care Clinic"/>
    <s v="Self Pay"/>
    <d v="2026-05-25T00:00:00"/>
    <d v="2026-06-03T00:00:00"/>
    <n v="6700"/>
    <n v="0"/>
    <s v="Denied"/>
    <x v="2"/>
    <s v="Pooja M"/>
    <n v="134"/>
    <s v="90+"/>
    <n v="0"/>
    <s v="Sunita Rao"/>
    <n v="6700"/>
  </r>
  <r>
    <s v="C20794"/>
    <s v="P-1031"/>
    <s v="Green Valley Health"/>
    <s v="Aetna"/>
    <d v="2026-04-29T00:00:00"/>
    <d v="2026-05-07T00:00:00"/>
    <n v="350"/>
    <n v="0"/>
    <s v="Denied"/>
    <x v="6"/>
    <s v="Vikas R"/>
    <n v="161"/>
    <s v="90+"/>
    <n v="0"/>
    <s v="Sunita Rao"/>
    <n v="350"/>
  </r>
  <r>
    <s v="C20795"/>
    <s v="P-1169"/>
    <s v="Green Valley Health"/>
    <s v="Medicare"/>
    <d v="2026-06-22T00:00:00"/>
    <d v="2026-06-27T00:00:00"/>
    <n v="10525"/>
    <m/>
    <s v="Pending"/>
    <x v="1"/>
    <s v="Amit V"/>
    <n v="110"/>
    <s v="90+"/>
    <n v="10525"/>
    <s v="Manish Arora"/>
    <n v="0"/>
  </r>
  <r>
    <s v="C20796"/>
    <s v="P-1121"/>
    <s v="Sunrise Hospital"/>
    <s v="Blue Cross"/>
    <d v="2026-08-12T00:00:00"/>
    <d v="2026-08-16T00:00:00"/>
    <n v="3400"/>
    <n v="2727.06"/>
    <s v="Paid"/>
    <x v="1"/>
    <s v="Amit V"/>
    <n v="60"/>
    <s v="31-60"/>
    <n v="0"/>
    <s v="Manish Arora"/>
    <n v="0"/>
  </r>
  <r>
    <s v="C20797"/>
    <s v="P-1293"/>
    <s v="Apex Ortho Center"/>
    <s v="Cigna"/>
    <d v="2026-06-07T00:00:00"/>
    <d v="2026-06-20T00:00:00"/>
    <n v="1625"/>
    <n v="1586.54"/>
    <s v="Paid"/>
    <x v="1"/>
    <s v="Anjali T"/>
    <n v="117"/>
    <s v="90+"/>
    <n v="0"/>
    <s v="Deepak Nair"/>
    <n v="0"/>
  </r>
  <r>
    <s v="C20798"/>
    <s v="P-1266"/>
    <s v="City Care Clinic"/>
    <s v="Medicare"/>
    <d v="2026-09-14T00:00:00"/>
    <d v="2026-09-24T00:00:00"/>
    <n v="11575"/>
    <m/>
    <s v="Pending"/>
    <x v="1"/>
    <s v="Pooja M"/>
    <n v="21"/>
    <s v="0-30"/>
    <n v="11575"/>
    <s v="Sunita Rao"/>
    <n v="0"/>
  </r>
  <r>
    <s v="C20799"/>
    <s v="P-1412"/>
    <s v="City Care Clinic"/>
    <s v="UnitedHealthcare"/>
    <d v="2026-01-10T00:00:00"/>
    <d v="2026-01-14T00:00:00"/>
    <n v="5350"/>
    <n v="5185.8500000000004"/>
    <s v="Paid"/>
    <x v="1"/>
    <s v="Sandeep Y"/>
    <n v="274"/>
    <s v="90+"/>
    <n v="0"/>
    <s v="Sunita Rao"/>
    <n v="0"/>
  </r>
  <r>
    <s v="C20800"/>
    <s v="P-1275"/>
    <s v="City Care Clinic"/>
    <s v="Medicaid"/>
    <d v="2026-01-28T00:00:00"/>
    <d v="2026-02-08T00:00:00"/>
    <n v="7700"/>
    <n v="4282.12"/>
    <s v="Paid"/>
    <x v="1"/>
    <s v="Anjali T"/>
    <n v="249"/>
    <s v="90+"/>
    <n v="0"/>
    <s v="Deepak Nair"/>
    <n v="0"/>
  </r>
  <r>
    <s v="C20801"/>
    <s v="P-1031"/>
    <s v="City Care Clinic"/>
    <s v="UnitedHealthcare"/>
    <d v="2026-06-15T00:00:00"/>
    <d v="2026-06-25T00:00:00"/>
    <n v="5875"/>
    <n v="5527.89"/>
    <s v="Paid"/>
    <x v="1"/>
    <s v="Anjali T"/>
    <n v="112"/>
    <s v="90+"/>
    <n v="0"/>
    <s v="Deepak Nair"/>
    <n v="0"/>
  </r>
  <r>
    <s v="C20802"/>
    <s v="P-1049"/>
    <s v="Apex Ortho Center"/>
    <s v="UnitedHealthcare"/>
    <d v="2026-05-22T00:00:00"/>
    <d v="2026-05-29T00:00:00"/>
    <n v="4600"/>
    <n v="4400.4799999999996"/>
    <s v="Paid"/>
    <x v="1"/>
    <s v="Sandeep Y"/>
    <n v="139"/>
    <s v="90+"/>
    <n v="0"/>
    <s v="Sunita Rao"/>
    <n v="0"/>
  </r>
  <r>
    <s v="C20803"/>
    <s v="P-1477"/>
    <s v="Sunrise Hospital"/>
    <s v="Cigna"/>
    <d v="2026-07-12T00:00:00"/>
    <d v="2026-08-01T00:00:00"/>
    <n v="7225"/>
    <m/>
    <s v="Pending"/>
    <x v="1"/>
    <s v="Rohit B"/>
    <n v="75"/>
    <s v="61-90"/>
    <n v="7225"/>
    <s v="Deepak Nair"/>
    <n v="0"/>
  </r>
  <r>
    <s v="C20804"/>
    <s v="P-1029"/>
    <s v="City Care Clinic"/>
    <s v="UnitedHealthcare"/>
    <d v="2026-01-20T00:00:00"/>
    <d v="2026-02-09T00:00:00"/>
    <n v="13825"/>
    <m/>
    <s v="Pending"/>
    <x v="1"/>
    <s v="Anjali T"/>
    <n v="248"/>
    <s v="90+"/>
    <n v="13825"/>
    <s v="Deepak Nair"/>
    <n v="0"/>
  </r>
  <r>
    <s v="C20805"/>
    <s v="P-1070"/>
    <s v="Green Valley Health"/>
    <s v="Medicaid"/>
    <d v="2026-07-15T00:00:00"/>
    <d v="2026-08-02T00:00:00"/>
    <n v="11675"/>
    <m/>
    <s v="Pending"/>
    <x v="1"/>
    <s v="Rahul S"/>
    <n v="74"/>
    <s v="61-90"/>
    <n v="11675"/>
    <s v="Manish Arora"/>
    <n v="0"/>
  </r>
  <r>
    <s v="C20806"/>
    <s v="P-1013"/>
    <s v="Sunrise Hospital"/>
    <s v="Blue Cross"/>
    <d v="2026-02-22T00:00:00"/>
    <d v="2026-03-03T00:00:00"/>
    <n v="10475"/>
    <n v="10399.969999999999"/>
    <s v="Paid"/>
    <x v="1"/>
    <s v="Sandeep Y"/>
    <n v="226"/>
    <s v="90+"/>
    <n v="0"/>
    <s v="Sunita Rao"/>
    <n v="0"/>
  </r>
  <r>
    <s v="C20807"/>
    <s v="P-1328"/>
    <s v="City Care Clinic"/>
    <s v="Medicaid"/>
    <d v="2026-06-25T00:00:00"/>
    <d v="2026-07-07T00:00:00"/>
    <n v="7500"/>
    <n v="6644.43"/>
    <s v="Paid"/>
    <x v="1"/>
    <s v="Kavita D"/>
    <n v="100"/>
    <s v="90+"/>
    <n v="0"/>
    <s v="Deepak Nair"/>
    <n v="0"/>
  </r>
  <r>
    <s v="C20808"/>
    <s v="P-1286"/>
    <s v="Apex Ortho Center"/>
    <s v="Blue Cross"/>
    <d v="2026-06-21T00:00:00"/>
    <d v="2026-06-29T00:00:00"/>
    <n v="10100"/>
    <m/>
    <s v="Pending"/>
    <x v="1"/>
    <s v="Priya K"/>
    <n v="108"/>
    <s v="90+"/>
    <n v="10100"/>
    <s v="Manish Arora"/>
    <n v="0"/>
  </r>
  <r>
    <s v="C20809"/>
    <s v="P-1102"/>
    <s v="Sunrise Hospital"/>
    <s v="Blue Cross"/>
    <d v="2026-03-11T00:00:00"/>
    <d v="2026-03-22T00:00:00"/>
    <n v="1000"/>
    <m/>
    <s v="Pending"/>
    <x v="1"/>
    <s v="Priya K"/>
    <n v="207"/>
    <s v="90+"/>
    <n v="1000"/>
    <s v="Manish Arora"/>
    <n v="0"/>
  </r>
  <r>
    <s v="C20810"/>
    <s v="P-1204"/>
    <s v="Apex Ortho Center"/>
    <s v="Aetna"/>
    <d v="2026-02-09T00:00:00"/>
    <d v="2026-02-17T00:00:00"/>
    <n v="4725"/>
    <n v="2742.53"/>
    <s v="Paid"/>
    <x v="1"/>
    <s v="Priya K"/>
    <n v="240"/>
    <s v="90+"/>
    <n v="0"/>
    <s v="Manish Arora"/>
    <n v="0"/>
  </r>
  <r>
    <s v="C20811"/>
    <s v="P-1485"/>
    <s v="Sunrise Hospital"/>
    <s v="UnitedHealthcare"/>
    <d v="2026-06-11T00:00:00"/>
    <d v="2026-06-27T00:00:00"/>
    <n v="6425"/>
    <n v="3909.53"/>
    <s v="Paid"/>
    <x v="1"/>
    <s v="Kavita D"/>
    <n v="110"/>
    <s v="90+"/>
    <n v="0"/>
    <s v="Deepak Nair"/>
    <n v="0"/>
  </r>
  <r>
    <s v="C20812"/>
    <s v="P-1312"/>
    <s v="Green Valley Health"/>
    <s v="Humana"/>
    <d v="2026-09-15T00:00:00"/>
    <d v="2026-09-27T00:00:00"/>
    <n v="10825"/>
    <m/>
    <s v="Pending"/>
    <x v="1"/>
    <s v="Rohit B"/>
    <n v="18"/>
    <s v="0-30"/>
    <n v="10825"/>
    <s v="Deepak Nair"/>
    <n v="0"/>
  </r>
  <r>
    <s v="C20813"/>
    <s v="P-1037"/>
    <s v="City Care Clinic"/>
    <s v="UnitedHealthcare"/>
    <d v="2026-03-13T00:00:00"/>
    <d v="2026-03-24T00:00:00"/>
    <n v="10900"/>
    <n v="9136.06"/>
    <s v="Paid"/>
    <x v="1"/>
    <s v="Rohit B"/>
    <n v="205"/>
    <s v="90+"/>
    <n v="0"/>
    <s v="Deepak Nair"/>
    <n v="0"/>
  </r>
  <r>
    <s v="C20814"/>
    <s v="P-1048"/>
    <s v="Sunrise Hospital"/>
    <s v="Self Pay"/>
    <d v="2026-08-27T00:00:00"/>
    <d v="2026-09-09T00:00:00"/>
    <n v="7400"/>
    <m/>
    <s v="Pending"/>
    <x v="1"/>
    <s v="Kavita D"/>
    <n v="36"/>
    <s v="31-60"/>
    <n v="7400"/>
    <s v="Deepak Nair"/>
    <n v="0"/>
  </r>
  <r>
    <s v="C20815"/>
    <s v="P-1451"/>
    <s v="Sunrise Hospital"/>
    <s v="Medicare"/>
    <d v="2026-04-22T00:00:00"/>
    <d v="2026-04-28T00:00:00"/>
    <n v="10225"/>
    <n v="0"/>
    <s v="Denied"/>
    <x v="3"/>
    <s v="Amit V"/>
    <n v="170"/>
    <s v="90+"/>
    <n v="0"/>
    <s v="Manish Arora"/>
    <n v="10225"/>
  </r>
  <r>
    <s v="C20816"/>
    <s v="P-1433"/>
    <s v="City Care Clinic"/>
    <s v="Aetna"/>
    <d v="2026-03-21T00:00:00"/>
    <d v="2026-03-28T00:00:00"/>
    <n v="13925"/>
    <n v="0"/>
    <s v="Denied"/>
    <x v="5"/>
    <s v="Priya K"/>
    <n v="201"/>
    <s v="90+"/>
    <n v="0"/>
    <s v="Manish Arora"/>
    <n v="13925"/>
  </r>
  <r>
    <s v="C20817"/>
    <s v="P-1400"/>
    <s v="Apex Ortho Center"/>
    <s v="Blue Cross"/>
    <d v="2026-01-14T00:00:00"/>
    <d v="2026-02-01T00:00:00"/>
    <n v="6025"/>
    <n v="0"/>
    <s v="Denied"/>
    <x v="5"/>
    <s v="Rohit B"/>
    <n v="256"/>
    <s v="90+"/>
    <n v="0"/>
    <s v="Deepak Nair"/>
    <n v="6025"/>
  </r>
  <r>
    <s v="C20818"/>
    <s v="P-1390"/>
    <s v="City Care Clinic"/>
    <s v="Cigna"/>
    <d v="2026-09-17T00:00:00"/>
    <d v="2026-10-05T00:00:00"/>
    <n v="11675"/>
    <m/>
    <s v="Pending"/>
    <x v="1"/>
    <s v="Neha G"/>
    <n v="10"/>
    <s v="0-30"/>
    <n v="11675"/>
    <s v="Manish Arora"/>
    <n v="0"/>
  </r>
  <r>
    <s v="C20819"/>
    <s v="P-1071"/>
    <s v="Sunrise Hospital"/>
    <s v="UnitedHealthcare"/>
    <d v="2026-02-26T00:00:00"/>
    <d v="2026-03-04T00:00:00"/>
    <n v="13175"/>
    <n v="11726.77"/>
    <s v="Paid"/>
    <x v="1"/>
    <s v="Amit V"/>
    <n v="225"/>
    <s v="90+"/>
    <n v="0"/>
    <s v="Manish Arora"/>
    <n v="0"/>
  </r>
  <r>
    <s v="C20820"/>
    <s v="P-1354"/>
    <s v="Apex Ortho Center"/>
    <s v="UnitedHealthcare"/>
    <d v="2026-08-14T00:00:00"/>
    <d v="2026-08-27T00:00:00"/>
    <n v="7400"/>
    <n v="6191.4"/>
    <s v="Paid"/>
    <x v="1"/>
    <s v="Anjali T"/>
    <n v="49"/>
    <s v="31-60"/>
    <n v="0"/>
    <s v="Deepak Nair"/>
    <n v="0"/>
  </r>
  <r>
    <s v="C20821"/>
    <s v="P-1495"/>
    <s v="Apex Ortho Center"/>
    <s v="Medicare"/>
    <d v="2026-07-17T00:00:00"/>
    <d v="2026-08-05T00:00:00"/>
    <n v="12775"/>
    <m/>
    <s v="Pending"/>
    <x v="1"/>
    <s v="Priya K"/>
    <n v="71"/>
    <s v="61-90"/>
    <n v="12775"/>
    <s v="Manish Arora"/>
    <n v="0"/>
  </r>
  <r>
    <s v="C20822"/>
    <s v="P-1178"/>
    <s v="Sunrise Hospital"/>
    <s v="UnitedHealthcare"/>
    <d v="2026-06-29T00:00:00"/>
    <d v="2026-07-17T00:00:00"/>
    <n v="7175"/>
    <n v="6179.74"/>
    <s v="Paid"/>
    <x v="1"/>
    <s v="Vikas R"/>
    <n v="90"/>
    <s v="61-90"/>
    <n v="0"/>
    <s v="Sunita Rao"/>
    <n v="0"/>
  </r>
  <r>
    <s v="C20823"/>
    <s v="P-1473"/>
    <s v="Green Valley Health"/>
    <s v="UnitedHealthcare"/>
    <d v="2026-07-11T00:00:00"/>
    <d v="2026-07-18T00:00:00"/>
    <n v="6825"/>
    <m/>
    <s v="Pending"/>
    <x v="1"/>
    <s v="Rohit B"/>
    <n v="89"/>
    <s v="61-90"/>
    <n v="6825"/>
    <s v="Deepak Nair"/>
    <n v="0"/>
  </r>
  <r>
    <s v="C20824"/>
    <s v="P-1122"/>
    <s v="City Care Clinic"/>
    <s v="Cigna"/>
    <d v="2026-07-05T00:00:00"/>
    <d v="2026-07-25T00:00:00"/>
    <n v="14125"/>
    <m/>
    <s v="Pending"/>
    <x v="1"/>
    <s v="Priya K"/>
    <n v="82"/>
    <s v="61-90"/>
    <n v="14125"/>
    <s v="Manish Arora"/>
    <n v="0"/>
  </r>
  <r>
    <s v="C20825"/>
    <s v="P-1229"/>
    <s v="City Care Clinic"/>
    <s v="UnitedHealthcare"/>
    <d v="2026-06-22T00:00:00"/>
    <d v="2026-07-10T00:00:00"/>
    <n v="8225"/>
    <n v="0"/>
    <s v="Denied"/>
    <x v="6"/>
    <s v="Anjali T"/>
    <n v="97"/>
    <s v="90+"/>
    <n v="0"/>
    <s v="Deepak Nair"/>
    <n v="8225"/>
  </r>
  <r>
    <s v="C20826"/>
    <s v="P-1023"/>
    <s v="Sunrise Hospital"/>
    <s v="Aetna"/>
    <d v="2026-09-06T00:00:00"/>
    <d v="2026-09-14T00:00:00"/>
    <n v="11175"/>
    <m/>
    <s v="Pending"/>
    <x v="1"/>
    <s v="Pooja M"/>
    <n v="31"/>
    <s v="31-60"/>
    <n v="11175"/>
    <s v="Sunita Rao"/>
    <n v="0"/>
  </r>
  <r>
    <s v="C20827"/>
    <s v="P-1176"/>
    <s v="Apex Ortho Center"/>
    <s v="Cigna"/>
    <d v="2026-10-02T00:00:00"/>
    <d v="2026-10-05T00:00:00"/>
    <n v="1325"/>
    <n v="0"/>
    <s v="Denied"/>
    <x v="3"/>
    <s v="Rahul S"/>
    <n v="10"/>
    <s v="0-30"/>
    <n v="0"/>
    <s v="Manish Arora"/>
    <n v="1325"/>
  </r>
  <r>
    <s v="C20828"/>
    <s v="P-1126"/>
    <s v="Apex Ortho Center"/>
    <s v="Aetna"/>
    <d v="2026-07-06T00:00:00"/>
    <d v="2026-07-13T00:00:00"/>
    <n v="5525"/>
    <n v="0"/>
    <s v="Denied"/>
    <x v="7"/>
    <s v="Pooja M"/>
    <n v="94"/>
    <s v="90+"/>
    <n v="0"/>
    <s v="Sunita Rao"/>
    <n v="5525"/>
  </r>
  <r>
    <s v="C20829"/>
    <s v="P-1422"/>
    <s v="Sunrise Hospital"/>
    <s v="Medicaid"/>
    <d v="2026-05-19T00:00:00"/>
    <d v="2026-06-05T00:00:00"/>
    <n v="3200"/>
    <n v="0"/>
    <s v="Denied"/>
    <x v="0"/>
    <s v="Pooja M"/>
    <n v="132"/>
    <s v="90+"/>
    <n v="0"/>
    <s v="Sunita Rao"/>
    <n v="3200"/>
  </r>
  <r>
    <s v="C20830"/>
    <s v="P-1158"/>
    <s v="City Care Clinic"/>
    <s v="Aetna"/>
    <d v="2026-01-18T00:00:00"/>
    <d v="2026-02-02T00:00:00"/>
    <n v="5125"/>
    <n v="0"/>
    <s v="Denied"/>
    <x v="3"/>
    <s v="Kavita D"/>
    <n v="255"/>
    <s v="90+"/>
    <n v="0"/>
    <s v="Deepak Nair"/>
    <n v="5125"/>
  </r>
  <r>
    <s v="C20831"/>
    <s v="P-1126"/>
    <s v="City Care Clinic"/>
    <s v="Medicare"/>
    <d v="2026-07-22T00:00:00"/>
    <d v="2026-07-27T00:00:00"/>
    <n v="9975"/>
    <m/>
    <s v="Pending"/>
    <x v="1"/>
    <s v="Anjali T"/>
    <n v="80"/>
    <s v="61-90"/>
    <n v="9975"/>
    <s v="Deepak Nair"/>
    <n v="0"/>
  </r>
  <r>
    <s v="C20832"/>
    <s v="P-1058"/>
    <s v="City Care Clinic"/>
    <s v="Blue Cross"/>
    <d v="2026-05-16T00:00:00"/>
    <d v="2026-05-27T00:00:00"/>
    <n v="3700"/>
    <n v="2061.06"/>
    <s v="Paid"/>
    <x v="1"/>
    <s v="Anjali T"/>
    <n v="141"/>
    <s v="90+"/>
    <n v="0"/>
    <s v="Deepak Nair"/>
    <n v="0"/>
  </r>
  <r>
    <s v="C20833"/>
    <s v="P-1208"/>
    <s v="Apex Ortho Center"/>
    <s v="Blue Cross"/>
    <d v="2026-02-01T00:00:00"/>
    <d v="2026-02-20T00:00:00"/>
    <n v="5925"/>
    <n v="3760.68"/>
    <s v="Paid"/>
    <x v="1"/>
    <s v="Sandeep Y"/>
    <n v="237"/>
    <s v="90+"/>
    <n v="0"/>
    <s v="Sunita Rao"/>
    <n v="0"/>
  </r>
  <r>
    <s v="C20834"/>
    <s v="P-1166"/>
    <s v="Sunrise Hospital"/>
    <s v="Blue Cross"/>
    <d v="2026-08-20T00:00:00"/>
    <d v="2026-08-24T00:00:00"/>
    <n v="6825"/>
    <m/>
    <s v="Pending"/>
    <x v="1"/>
    <s v="Pooja M"/>
    <n v="52"/>
    <s v="31-60"/>
    <n v="6825"/>
    <s v="Sunita Rao"/>
    <n v="0"/>
  </r>
  <r>
    <s v="C20835"/>
    <s v="P-1289"/>
    <s v="Apex Ortho Center"/>
    <s v="Blue Cross"/>
    <d v="2026-09-18T00:00:00"/>
    <d v="2026-09-30T00:00:00"/>
    <n v="7250"/>
    <m/>
    <s v="Pending"/>
    <x v="1"/>
    <s v="Amit V"/>
    <n v="15"/>
    <s v="0-30"/>
    <n v="7250"/>
    <s v="Manish Arora"/>
    <n v="0"/>
  </r>
  <r>
    <s v="C20836"/>
    <s v="P-1098"/>
    <s v="City Care Clinic"/>
    <s v="Medicare"/>
    <d v="2026-02-27T00:00:00"/>
    <d v="2026-03-15T00:00:00"/>
    <n v="10625"/>
    <m/>
    <s v="Pending"/>
    <x v="1"/>
    <s v="Rohit B"/>
    <n v="214"/>
    <s v="90+"/>
    <n v="10625"/>
    <s v="Deepak Nair"/>
    <n v="0"/>
  </r>
  <r>
    <s v="C20837"/>
    <s v="P-1078"/>
    <s v="City Care Clinic"/>
    <s v="Medicaid"/>
    <d v="2026-08-19T00:00:00"/>
    <d v="2026-08-31T00:00:00"/>
    <n v="14850"/>
    <m/>
    <s v="Pending"/>
    <x v="1"/>
    <s v="Rahul S"/>
    <n v="45"/>
    <s v="31-60"/>
    <n v="14850"/>
    <s v="Manish Arora"/>
    <n v="0"/>
  </r>
  <r>
    <s v="C20838"/>
    <s v="P-1087"/>
    <s v="Apex Ortho Center"/>
    <s v="Cigna"/>
    <d v="2026-09-08T00:00:00"/>
    <d v="2026-09-17T00:00:00"/>
    <n v="12225"/>
    <n v="9985.14"/>
    <s v="Paid"/>
    <x v="1"/>
    <s v="Sandeep Y"/>
    <n v="28"/>
    <s v="0-30"/>
    <n v="0"/>
    <s v="Sunita Rao"/>
    <n v="0"/>
  </r>
  <r>
    <s v="C20839"/>
    <s v="P-1443"/>
    <s v="Apex Ortho Center"/>
    <s v="Blue Cross"/>
    <d v="2026-03-31T00:00:00"/>
    <d v="2026-04-11T00:00:00"/>
    <n v="12250"/>
    <m/>
    <s v="Pending"/>
    <x v="1"/>
    <s v="Neha G"/>
    <n v="187"/>
    <s v="90+"/>
    <n v="12250"/>
    <s v="Manish Arora"/>
    <n v="0"/>
  </r>
  <r>
    <s v="C20840"/>
    <s v="P-1311"/>
    <s v="Sunrise Hospital"/>
    <s v="Medicare"/>
    <d v="2026-02-22T00:00:00"/>
    <d v="2026-03-07T00:00:00"/>
    <n v="11275"/>
    <n v="7779.37"/>
    <s v="Paid"/>
    <x v="1"/>
    <s v="Sandeep Y"/>
    <n v="222"/>
    <s v="90+"/>
    <n v="0"/>
    <s v="Sunita Rao"/>
    <n v="0"/>
  </r>
  <r>
    <s v="C20841"/>
    <s v="P-1429"/>
    <s v="City Care Clinic"/>
    <s v="Medicare"/>
    <d v="2026-02-12T00:00:00"/>
    <d v="2026-02-23T00:00:00"/>
    <n v="5075"/>
    <n v="5074.8599999999997"/>
    <s v="Paid"/>
    <x v="1"/>
    <s v="Anjali T"/>
    <n v="234"/>
    <s v="90+"/>
    <n v="0"/>
    <s v="Deepak Nair"/>
    <n v="0"/>
  </r>
  <r>
    <s v="C20842"/>
    <s v="P-1439"/>
    <s v="Sunrise Hospital"/>
    <s v="UnitedHealthcare"/>
    <d v="2026-09-05T00:00:00"/>
    <d v="2026-09-10T00:00:00"/>
    <n v="1825"/>
    <m/>
    <s v="Pending"/>
    <x v="1"/>
    <s v="Sandeep Y"/>
    <n v="35"/>
    <s v="31-60"/>
    <n v="1825"/>
    <s v="Sunita Rao"/>
    <n v="0"/>
  </r>
  <r>
    <s v="C20843"/>
    <s v="P-1215"/>
    <s v="Green Valley Health"/>
    <s v="Humana"/>
    <d v="2025-12-30T00:00:00"/>
    <d v="2026-01-09T00:00:00"/>
    <n v="2425"/>
    <n v="2119.0100000000002"/>
    <s v="Paid"/>
    <x v="1"/>
    <s v="Rohit B"/>
    <n v="279"/>
    <s v="90+"/>
    <n v="0"/>
    <s v="Deepak Nair"/>
    <n v="0"/>
  </r>
  <r>
    <s v="C20844"/>
    <s v="P-1253"/>
    <s v="City Care Clinic"/>
    <s v="UnitedHealthcare"/>
    <d v="2026-06-10T00:00:00"/>
    <d v="2026-06-17T00:00:00"/>
    <n v="13500"/>
    <n v="10229.23"/>
    <s v="Paid"/>
    <x v="1"/>
    <s v="Rahul S"/>
    <n v="120"/>
    <s v="90+"/>
    <n v="0"/>
    <s v="Manish Arora"/>
    <n v="0"/>
  </r>
  <r>
    <s v="C20845"/>
    <s v="P-1379"/>
    <s v="Apex Ortho Center"/>
    <s v="Medicaid"/>
    <d v="2026-02-25T00:00:00"/>
    <d v="2026-03-13T00:00:00"/>
    <n v="12275"/>
    <n v="0"/>
    <s v="Denied"/>
    <x v="2"/>
    <s v="Neha G"/>
    <n v="216"/>
    <s v="90+"/>
    <n v="0"/>
    <s v="Manish Arora"/>
    <n v="12275"/>
  </r>
  <r>
    <s v="C20846"/>
    <s v="P-1497"/>
    <s v="Green Valley Health"/>
    <s v="Medicaid"/>
    <d v="2026-02-26T00:00:00"/>
    <d v="2026-03-17T00:00:00"/>
    <n v="2625"/>
    <m/>
    <s v="Pending"/>
    <x v="1"/>
    <s v="Vikas R"/>
    <n v="212"/>
    <s v="90+"/>
    <n v="2625"/>
    <s v="Sunita Rao"/>
    <n v="0"/>
  </r>
  <r>
    <s v="C20847"/>
    <s v="P-1401"/>
    <s v="City Care Clinic"/>
    <s v="UnitedHealthcare"/>
    <d v="2026-05-15T00:00:00"/>
    <d v="2026-05-29T00:00:00"/>
    <n v="7500"/>
    <n v="0"/>
    <s v="Denied"/>
    <x v="4"/>
    <s v="Anjali T"/>
    <n v="139"/>
    <s v="90+"/>
    <n v="0"/>
    <s v="Deepak Nair"/>
    <n v="7500"/>
  </r>
  <r>
    <s v="C20848"/>
    <s v="P-1181"/>
    <s v="Apex Ortho Center"/>
    <s v="Humana"/>
    <d v="2026-02-09T00:00:00"/>
    <d v="2026-02-13T00:00:00"/>
    <n v="12400"/>
    <n v="7054.01"/>
    <s v="Paid"/>
    <x v="1"/>
    <s v="Pooja M"/>
    <n v="244"/>
    <s v="90+"/>
    <n v="0"/>
    <s v="Sunita Rao"/>
    <n v="0"/>
  </r>
  <r>
    <s v="C20849"/>
    <s v="P-1020"/>
    <s v="Green Valley Health"/>
    <s v="Blue Cross"/>
    <d v="2026-06-09T00:00:00"/>
    <d v="2026-06-19T00:00:00"/>
    <n v="2700"/>
    <n v="0"/>
    <s v="Denied"/>
    <x v="4"/>
    <s v="Vikas R"/>
    <n v="118"/>
    <s v="90+"/>
    <n v="0"/>
    <s v="Sunita Rao"/>
    <n v="2700"/>
  </r>
  <r>
    <s v="C20850"/>
    <s v="P-1438"/>
    <s v="Sunrise Hospital"/>
    <s v="Humana"/>
    <d v="2026-02-11T00:00:00"/>
    <d v="2026-02-24T00:00:00"/>
    <n v="12725"/>
    <n v="8099.71"/>
    <s v="Paid"/>
    <x v="1"/>
    <s v="Priya K"/>
    <n v="233"/>
    <s v="90+"/>
    <n v="0"/>
    <s v="Manish Arora"/>
    <n v="0"/>
  </r>
  <r>
    <s v="C20851"/>
    <s v="P-1040"/>
    <s v="Green Valley Health"/>
    <s v="Aetna"/>
    <d v="2026-03-09T00:00:00"/>
    <d v="2026-03-20T00:00:00"/>
    <n v="6475"/>
    <n v="4902.2700000000004"/>
    <s v="Paid"/>
    <x v="1"/>
    <s v="Neha G"/>
    <n v="209"/>
    <s v="90+"/>
    <n v="0"/>
    <s v="Manish Arora"/>
    <n v="0"/>
  </r>
  <r>
    <s v="C20852"/>
    <s v="P-1263"/>
    <s v="City Care Clinic"/>
    <s v="Self Pay"/>
    <d v="2026-06-24T00:00:00"/>
    <d v="2026-07-12T00:00:00"/>
    <n v="4125"/>
    <m/>
    <s v="Pending"/>
    <x v="1"/>
    <s v="Rahul S"/>
    <n v="95"/>
    <s v="90+"/>
    <n v="4125"/>
    <s v="Manish Arora"/>
    <n v="0"/>
  </r>
  <r>
    <s v="C20853"/>
    <s v="P-1342"/>
    <s v="City Care Clinic"/>
    <s v="UnitedHealthcare"/>
    <d v="2026-05-28T00:00:00"/>
    <d v="2026-06-08T00:00:00"/>
    <n v="9575"/>
    <n v="8674.99"/>
    <s v="Paid"/>
    <x v="1"/>
    <s v="Rohit B"/>
    <n v="129"/>
    <s v="90+"/>
    <n v="0"/>
    <s v="Deepak Nair"/>
    <n v="0"/>
  </r>
  <r>
    <s v="C20854"/>
    <s v="P-1330"/>
    <s v="Green Valley Health"/>
    <s v="UnitedHealthcare"/>
    <d v="2026-02-18T00:00:00"/>
    <d v="2026-03-10T00:00:00"/>
    <n v="4425"/>
    <n v="4363.6899999999996"/>
    <s v="Paid"/>
    <x v="1"/>
    <s v="Priya K"/>
    <n v="219"/>
    <s v="90+"/>
    <n v="0"/>
    <s v="Manish Arora"/>
    <n v="0"/>
  </r>
  <r>
    <s v="C20855"/>
    <s v="P-1401"/>
    <s v="Sunrise Hospital"/>
    <s v="Cigna"/>
    <d v="2025-12-21T00:00:00"/>
    <d v="2026-01-10T00:00:00"/>
    <n v="1425"/>
    <n v="923.17"/>
    <s v="Paid"/>
    <x v="1"/>
    <s v="Rohit B"/>
    <n v="278"/>
    <s v="90+"/>
    <n v="0"/>
    <s v="Deepak Nair"/>
    <n v="0"/>
  </r>
  <r>
    <s v="C20856"/>
    <s v="P-1182"/>
    <s v="Green Valley Health"/>
    <s v="UnitedHealthcare"/>
    <d v="2026-07-23T00:00:00"/>
    <d v="2026-08-12T00:00:00"/>
    <n v="3350"/>
    <n v="2251.8200000000002"/>
    <s v="Paid"/>
    <x v="1"/>
    <s v="Pooja M"/>
    <n v="64"/>
    <s v="61-90"/>
    <n v="0"/>
    <s v="Sunita Rao"/>
    <n v="0"/>
  </r>
  <r>
    <s v="C20857"/>
    <s v="P-1069"/>
    <s v="Green Valley Health"/>
    <s v="Medicare"/>
    <d v="2026-06-28T00:00:00"/>
    <d v="2026-07-12T00:00:00"/>
    <n v="325"/>
    <n v="236.8"/>
    <s v="Paid"/>
    <x v="1"/>
    <s v="Sandeep Y"/>
    <n v="95"/>
    <s v="90+"/>
    <n v="0"/>
    <s v="Sunita Rao"/>
    <n v="0"/>
  </r>
  <r>
    <s v="C20858"/>
    <s v="P-1467"/>
    <s v="Apex Ortho Center"/>
    <s v="Aetna"/>
    <d v="2026-02-12T00:00:00"/>
    <d v="2026-02-15T00:00:00"/>
    <n v="4175"/>
    <n v="3286.42"/>
    <s v="Paid"/>
    <x v="1"/>
    <s v="Amit V"/>
    <n v="242"/>
    <s v="90+"/>
    <n v="0"/>
    <s v="Manish Arora"/>
    <n v="0"/>
  </r>
  <r>
    <s v="C20859"/>
    <s v="P-1103"/>
    <s v="City Care Clinic"/>
    <s v="UnitedHealthcare"/>
    <d v="2026-01-11T00:00:00"/>
    <d v="2026-01-22T00:00:00"/>
    <n v="5675"/>
    <m/>
    <s v="Pending"/>
    <x v="1"/>
    <s v="Rohit B"/>
    <n v="266"/>
    <s v="90+"/>
    <n v="5675"/>
    <s v="Deepak Nair"/>
    <n v="0"/>
  </r>
  <r>
    <s v="C20860"/>
    <s v="P-1345"/>
    <s v="Sunrise Hospital"/>
    <s v="Medicaid"/>
    <d v="2026-06-27T00:00:00"/>
    <d v="2026-07-14T00:00:00"/>
    <n v="14450"/>
    <n v="10776.45"/>
    <s v="Paid"/>
    <x v="1"/>
    <s v="Pooja M"/>
    <n v="93"/>
    <s v="90+"/>
    <n v="0"/>
    <s v="Sunita Rao"/>
    <n v="0"/>
  </r>
  <r>
    <s v="C20861"/>
    <s v="P-1119"/>
    <s v="Apex Ortho Center"/>
    <s v="Humana"/>
    <d v="2026-06-20T00:00:00"/>
    <d v="2026-07-08T00:00:00"/>
    <n v="4275"/>
    <n v="4159.72"/>
    <s v="Paid"/>
    <x v="1"/>
    <s v="Anjali T"/>
    <n v="99"/>
    <s v="90+"/>
    <n v="0"/>
    <s v="Deepak Nair"/>
    <n v="0"/>
  </r>
  <r>
    <s v="C20862"/>
    <s v="P-1403"/>
    <s v="Apex Ortho Center"/>
    <s v="Medicare"/>
    <d v="2026-06-05T00:00:00"/>
    <d v="2026-06-19T00:00:00"/>
    <n v="3300"/>
    <n v="1863.82"/>
    <s v="Paid"/>
    <x v="1"/>
    <s v="Rohit B"/>
    <n v="118"/>
    <s v="90+"/>
    <n v="0"/>
    <s v="Deepak Nair"/>
    <n v="0"/>
  </r>
  <r>
    <s v="C20863"/>
    <s v="P-1459"/>
    <s v="City Care Clinic"/>
    <s v="Medicaid"/>
    <d v="2026-03-08T00:00:00"/>
    <d v="2026-03-22T00:00:00"/>
    <n v="14700"/>
    <n v="13771.23"/>
    <s v="Paid"/>
    <x v="1"/>
    <s v="Rohit B"/>
    <n v="207"/>
    <s v="90+"/>
    <n v="0"/>
    <s v="Deepak Nair"/>
    <n v="0"/>
  </r>
  <r>
    <s v="C20864"/>
    <s v="P-1325"/>
    <s v="Sunrise Hospital"/>
    <s v="Humana"/>
    <d v="2026-07-18T00:00:00"/>
    <d v="2026-07-27T00:00:00"/>
    <n v="6875"/>
    <n v="5847.86"/>
    <s v="Paid"/>
    <x v="1"/>
    <s v="Anjali T"/>
    <n v="80"/>
    <s v="61-90"/>
    <n v="0"/>
    <s v="Deepak Nair"/>
    <n v="0"/>
  </r>
  <r>
    <s v="C20865"/>
    <s v="P-1165"/>
    <s v="Apex Ortho Center"/>
    <s v="Medicare"/>
    <d v="2026-09-28T00:00:00"/>
    <d v="2026-10-02T00:00:00"/>
    <n v="13875"/>
    <n v="10991.45"/>
    <s v="Paid"/>
    <x v="1"/>
    <s v="Rahul S"/>
    <n v="13"/>
    <s v="0-30"/>
    <n v="0"/>
    <s v="Manish Arora"/>
    <n v="0"/>
  </r>
  <r>
    <s v="C20866"/>
    <s v="P-1229"/>
    <s v="Green Valley Health"/>
    <s v="Medicaid"/>
    <d v="2026-01-20T00:00:00"/>
    <d v="2026-02-03T00:00:00"/>
    <n v="4375"/>
    <n v="4300.63"/>
    <s v="Paid"/>
    <x v="1"/>
    <s v="Amit V"/>
    <n v="254"/>
    <s v="90+"/>
    <n v="0"/>
    <s v="Manish Arora"/>
    <n v="0"/>
  </r>
  <r>
    <s v="C20867"/>
    <s v="P-1193"/>
    <s v="Apex Ortho Center"/>
    <s v="Medicaid"/>
    <d v="2026-01-19T00:00:00"/>
    <d v="2026-01-31T00:00:00"/>
    <n v="14825"/>
    <n v="11148.76"/>
    <s v="Paid"/>
    <x v="1"/>
    <s v="Sandeep Y"/>
    <n v="257"/>
    <s v="90+"/>
    <n v="0"/>
    <s v="Sunita Rao"/>
    <n v="0"/>
  </r>
  <r>
    <s v="C20868"/>
    <s v="P-1104"/>
    <s v="Green Valley Health"/>
    <s v="UnitedHealthcare"/>
    <d v="2026-06-05T00:00:00"/>
    <d v="2026-06-13T00:00:00"/>
    <n v="3550"/>
    <n v="0"/>
    <s v="Denied"/>
    <x v="0"/>
    <s v="Pooja M"/>
    <n v="124"/>
    <s v="90+"/>
    <n v="0"/>
    <s v="Sunita Rao"/>
    <n v="3550"/>
  </r>
  <r>
    <s v="C20869"/>
    <s v="P-1099"/>
    <s v="Apex Ortho Center"/>
    <s v="Blue Cross"/>
    <d v="2026-07-18T00:00:00"/>
    <d v="2026-08-01T00:00:00"/>
    <n v="5800"/>
    <m/>
    <s v="Pending"/>
    <x v="1"/>
    <s v="Anjali T"/>
    <n v="75"/>
    <s v="61-90"/>
    <n v="5800"/>
    <s v="Deepak Nair"/>
    <n v="0"/>
  </r>
  <r>
    <s v="C20870"/>
    <s v="P-1221"/>
    <s v="Apex Ortho Center"/>
    <s v="Medicare"/>
    <d v="2026-05-25T00:00:00"/>
    <d v="2026-05-29T00:00:00"/>
    <n v="4100"/>
    <n v="0"/>
    <s v="Denied"/>
    <x v="2"/>
    <s v="Amit V"/>
    <n v="139"/>
    <s v="90+"/>
    <n v="0"/>
    <s v="Manish Arora"/>
    <n v="4100"/>
  </r>
  <r>
    <s v="C20871"/>
    <s v="P-1395"/>
    <s v="Sunrise Hospital"/>
    <s v="Blue Cross"/>
    <d v="2026-02-22T00:00:00"/>
    <d v="2026-03-03T00:00:00"/>
    <n v="8000"/>
    <n v="5718.28"/>
    <s v="Paid"/>
    <x v="1"/>
    <s v="Amit V"/>
    <n v="226"/>
    <s v="90+"/>
    <n v="0"/>
    <s v="Manish Arora"/>
    <n v="0"/>
  </r>
  <r>
    <s v="C20872"/>
    <s v="P-1030"/>
    <s v="Sunrise Hospital"/>
    <s v="Humana"/>
    <d v="2026-01-12T00:00:00"/>
    <d v="2026-01-31T00:00:00"/>
    <n v="12075"/>
    <n v="6657.32"/>
    <s v="Paid"/>
    <x v="1"/>
    <s v="Rahul S"/>
    <n v="257"/>
    <s v="90+"/>
    <n v="0"/>
    <s v="Manish Arora"/>
    <n v="0"/>
  </r>
  <r>
    <s v="C20873"/>
    <s v="P-1395"/>
    <s v="Sunrise Hospital"/>
    <s v="Medicare"/>
    <d v="2026-07-21T00:00:00"/>
    <d v="2026-08-03T00:00:00"/>
    <n v="3575"/>
    <n v="0"/>
    <s v="Denied"/>
    <x v="3"/>
    <s v="Rahul S"/>
    <n v="73"/>
    <s v="61-90"/>
    <n v="0"/>
    <s v="Manish Arora"/>
    <n v="3575"/>
  </r>
  <r>
    <s v="C20874"/>
    <s v="P-1008"/>
    <s v="City Care Clinic"/>
    <s v="Blue Cross"/>
    <d v="2026-03-11T00:00:00"/>
    <d v="2026-03-15T00:00:00"/>
    <n v="2575"/>
    <n v="2090.37"/>
    <s v="Paid"/>
    <x v="1"/>
    <s v="Neha G"/>
    <n v="214"/>
    <s v="90+"/>
    <n v="0"/>
    <s v="Manish Arora"/>
    <n v="0"/>
  </r>
  <r>
    <s v="C20875"/>
    <s v="P-1357"/>
    <s v="Sunrise Hospital"/>
    <s v="Medicare"/>
    <d v="2026-01-08T00:00:00"/>
    <d v="2026-01-20T00:00:00"/>
    <n v="5325"/>
    <n v="3243.34"/>
    <s v="Paid"/>
    <x v="1"/>
    <s v="Amit V"/>
    <n v="268"/>
    <s v="90+"/>
    <n v="0"/>
    <s v="Manish Arora"/>
    <n v="0"/>
  </r>
  <r>
    <s v="C20876"/>
    <s v="P-1446"/>
    <s v="Green Valley Health"/>
    <s v="Medicare"/>
    <d v="2025-12-31T00:00:00"/>
    <d v="2026-01-06T00:00:00"/>
    <n v="8700"/>
    <n v="5980.2"/>
    <s v="Paid"/>
    <x v="1"/>
    <s v="Kavita D"/>
    <n v="282"/>
    <s v="90+"/>
    <n v="0"/>
    <s v="Deepak Nair"/>
    <n v="0"/>
  </r>
  <r>
    <s v="C20877"/>
    <s v="P-1499"/>
    <s v="Apex Ortho Center"/>
    <s v="Aetna"/>
    <d v="2026-03-18T00:00:00"/>
    <d v="2026-03-22T00:00:00"/>
    <n v="4275"/>
    <n v="2423.31"/>
    <s v="Paid"/>
    <x v="1"/>
    <s v="Vikas R"/>
    <n v="207"/>
    <s v="90+"/>
    <n v="0"/>
    <s v="Sunita Rao"/>
    <n v="0"/>
  </r>
  <r>
    <s v="C20878"/>
    <s v="P-1489"/>
    <s v="Apex Ortho Center"/>
    <s v="UnitedHealthcare"/>
    <d v="2026-07-23T00:00:00"/>
    <d v="2026-08-08T00:00:00"/>
    <n v="2500"/>
    <m/>
    <s v="Pending"/>
    <x v="1"/>
    <s v="Kavita D"/>
    <n v="68"/>
    <s v="61-90"/>
    <n v="2500"/>
    <s v="Deepak Nair"/>
    <n v="0"/>
  </r>
  <r>
    <s v="C20879"/>
    <s v="P-1104"/>
    <s v="Sunrise Hospital"/>
    <s v="Self Pay"/>
    <d v="2026-05-17T00:00:00"/>
    <d v="2026-06-05T00:00:00"/>
    <n v="11625"/>
    <n v="9827.57"/>
    <s v="Paid"/>
    <x v="1"/>
    <s v="Vikas R"/>
    <n v="132"/>
    <s v="90+"/>
    <n v="0"/>
    <s v="Sunita Rao"/>
    <n v="0"/>
  </r>
  <r>
    <s v="C20880"/>
    <s v="P-1162"/>
    <s v="Sunrise Hospital"/>
    <s v="Medicaid"/>
    <d v="2026-03-25T00:00:00"/>
    <d v="2026-04-07T00:00:00"/>
    <n v="7000"/>
    <n v="6293.38"/>
    <s v="Paid"/>
    <x v="1"/>
    <s v="Kavita D"/>
    <n v="191"/>
    <s v="90+"/>
    <n v="0"/>
    <s v="Deepak Nair"/>
    <n v="0"/>
  </r>
  <r>
    <s v="C20881"/>
    <s v="P-1204"/>
    <s v="Sunrise Hospital"/>
    <s v="Blue Cross"/>
    <d v="2026-04-02T00:00:00"/>
    <d v="2026-04-19T00:00:00"/>
    <n v="12375"/>
    <n v="8737.06"/>
    <s v="Paid"/>
    <x v="1"/>
    <s v="Neha G"/>
    <n v="179"/>
    <s v="90+"/>
    <n v="0"/>
    <s v="Manish Arora"/>
    <n v="0"/>
  </r>
  <r>
    <s v="C20882"/>
    <s v="P-1098"/>
    <s v="Apex Ortho Center"/>
    <s v="UnitedHealthcare"/>
    <d v="2026-09-10T00:00:00"/>
    <d v="2026-09-23T00:00:00"/>
    <n v="5575"/>
    <n v="5276.24"/>
    <s v="Paid"/>
    <x v="1"/>
    <s v="Neha G"/>
    <n v="22"/>
    <s v="0-30"/>
    <n v="0"/>
    <s v="Manish Arora"/>
    <n v="0"/>
  </r>
  <r>
    <s v="C20883"/>
    <s v="P-1079"/>
    <s v="Apex Ortho Center"/>
    <s v="Medicaid"/>
    <d v="2026-01-10T00:00:00"/>
    <d v="2026-01-24T00:00:00"/>
    <n v="8125"/>
    <m/>
    <s v="Pending"/>
    <x v="1"/>
    <s v="Anjali T"/>
    <n v="264"/>
    <s v="90+"/>
    <n v="8125"/>
    <s v="Deepak Nair"/>
    <n v="0"/>
  </r>
  <r>
    <s v="C20884"/>
    <s v="P-1075"/>
    <s v="Apex Ortho Center"/>
    <s v="UnitedHealthcare"/>
    <d v="2026-06-04T00:00:00"/>
    <d v="2026-06-21T00:00:00"/>
    <n v="7850"/>
    <n v="5635.58"/>
    <s v="Paid"/>
    <x v="1"/>
    <s v="Rahul S"/>
    <n v="116"/>
    <s v="90+"/>
    <n v="0"/>
    <s v="Manish Arora"/>
    <n v="0"/>
  </r>
  <r>
    <s v="C20885"/>
    <s v="P-1199"/>
    <s v="Apex Ortho Center"/>
    <s v="Medicare"/>
    <d v="2026-03-02T00:00:00"/>
    <d v="2026-03-16T00:00:00"/>
    <n v="9650"/>
    <n v="9023.26"/>
    <s v="Paid"/>
    <x v="1"/>
    <s v="Rahul S"/>
    <n v="213"/>
    <s v="90+"/>
    <n v="0"/>
    <s v="Manish Arora"/>
    <n v="0"/>
  </r>
  <r>
    <s v="C20886"/>
    <s v="P-1154"/>
    <s v="City Care Clinic"/>
    <s v="Medicare"/>
    <d v="2026-05-20T00:00:00"/>
    <d v="2026-06-03T00:00:00"/>
    <n v="13275"/>
    <n v="11963.53"/>
    <s v="Paid"/>
    <x v="1"/>
    <s v="Rahul S"/>
    <n v="134"/>
    <s v="90+"/>
    <n v="0"/>
    <s v="Manish Arora"/>
    <n v="0"/>
  </r>
  <r>
    <s v="C20887"/>
    <s v="P-1477"/>
    <s v="Apex Ortho Center"/>
    <s v="Cigna"/>
    <d v="2026-07-27T00:00:00"/>
    <d v="2026-08-14T00:00:00"/>
    <n v="5650"/>
    <n v="5542.24"/>
    <s v="Paid"/>
    <x v="1"/>
    <s v="Amit V"/>
    <n v="62"/>
    <s v="61-90"/>
    <n v="0"/>
    <s v="Manish Arora"/>
    <n v="0"/>
  </r>
  <r>
    <s v="C20888"/>
    <s v="P-1136"/>
    <s v="Apex Ortho Center"/>
    <s v="Cigna"/>
    <d v="2026-06-18T00:00:00"/>
    <d v="2026-06-23T00:00:00"/>
    <n v="9125"/>
    <n v="0"/>
    <s v="Denied"/>
    <x v="7"/>
    <s v="Kavita D"/>
    <n v="114"/>
    <s v="90+"/>
    <n v="0"/>
    <s v="Deepak Nair"/>
    <n v="9125"/>
  </r>
  <r>
    <s v="C20889"/>
    <s v="P-1360"/>
    <s v="City Care Clinic"/>
    <s v="Medicare"/>
    <d v="2026-06-04T00:00:00"/>
    <d v="2026-06-20T00:00:00"/>
    <n v="13875"/>
    <n v="0"/>
    <s v="Denied"/>
    <x v="0"/>
    <s v="Vikas R"/>
    <n v="117"/>
    <s v="90+"/>
    <n v="0"/>
    <s v="Sunita Rao"/>
    <n v="13875"/>
  </r>
  <r>
    <s v="C20890"/>
    <s v="P-1268"/>
    <s v="Apex Ortho Center"/>
    <s v="Blue Cross"/>
    <d v="2026-05-18T00:00:00"/>
    <d v="2026-06-01T00:00:00"/>
    <n v="11900"/>
    <n v="11786.6"/>
    <s v="Paid"/>
    <x v="1"/>
    <s v="Vikas R"/>
    <n v="136"/>
    <s v="90+"/>
    <n v="0"/>
    <s v="Sunita Rao"/>
    <n v="0"/>
  </r>
  <r>
    <s v="C20891"/>
    <s v="P-1376"/>
    <s v="Apex Ortho Center"/>
    <s v="Cigna"/>
    <d v="2026-08-12T00:00:00"/>
    <d v="2026-08-30T00:00:00"/>
    <n v="14875"/>
    <m/>
    <s v="Pending"/>
    <x v="1"/>
    <s v="Neha G"/>
    <n v="46"/>
    <s v="31-60"/>
    <n v="14875"/>
    <s v="Manish Arora"/>
    <n v="0"/>
  </r>
  <r>
    <s v="C20892"/>
    <s v="P-1497"/>
    <s v="Green Valley Health"/>
    <s v="Cigna"/>
    <d v="2026-02-25T00:00:00"/>
    <d v="2026-03-04T00:00:00"/>
    <n v="5575"/>
    <n v="3102.83"/>
    <s v="Paid"/>
    <x v="1"/>
    <s v="Neha G"/>
    <n v="225"/>
    <s v="90+"/>
    <n v="0"/>
    <s v="Manish Arora"/>
    <n v="0"/>
  </r>
  <r>
    <s v="C20893"/>
    <s v="P-1071"/>
    <s v="Green Valley Health"/>
    <s v="UnitedHealthcare"/>
    <d v="2026-05-21T00:00:00"/>
    <d v="2026-06-10T00:00:00"/>
    <n v="14400"/>
    <m/>
    <s v="Pending"/>
    <x v="1"/>
    <s v="Rohit B"/>
    <n v="127"/>
    <s v="90+"/>
    <n v="14400"/>
    <s v="Deepak Nair"/>
    <n v="0"/>
  </r>
  <r>
    <s v="C20894"/>
    <s v="P-1248"/>
    <s v="Sunrise Hospital"/>
    <s v="Cigna"/>
    <d v="2026-03-08T00:00:00"/>
    <d v="2026-03-19T00:00:00"/>
    <n v="1150"/>
    <n v="1132.0899999999999"/>
    <s v="Paid"/>
    <x v="1"/>
    <s v="Neha G"/>
    <n v="210"/>
    <s v="90+"/>
    <n v="0"/>
    <s v="Manish Arora"/>
    <n v="0"/>
  </r>
  <r>
    <s v="C20895"/>
    <s v="P-1357"/>
    <s v="Apex Ortho Center"/>
    <s v="Medicare"/>
    <d v="2026-05-26T00:00:00"/>
    <d v="2026-06-15T00:00:00"/>
    <n v="1000"/>
    <n v="869.72"/>
    <s v="Paid"/>
    <x v="1"/>
    <s v="Pooja M"/>
    <n v="122"/>
    <s v="90+"/>
    <n v="0"/>
    <s v="Sunita Rao"/>
    <n v="0"/>
  </r>
  <r>
    <s v="C20896"/>
    <s v="P-1440"/>
    <s v="Sunrise Hospital"/>
    <s v="UnitedHealthcare"/>
    <d v="2026-06-12T00:00:00"/>
    <d v="2026-06-21T00:00:00"/>
    <n v="4650"/>
    <m/>
    <s v="Pending"/>
    <x v="1"/>
    <s v="Amit V"/>
    <n v="116"/>
    <s v="90+"/>
    <n v="4650"/>
    <s v="Manish Arora"/>
    <n v="0"/>
  </r>
  <r>
    <s v="C20897"/>
    <s v="P-1384"/>
    <s v="Green Valley Health"/>
    <s v="Medicare"/>
    <d v="2026-03-13T00:00:00"/>
    <d v="2026-03-22T00:00:00"/>
    <n v="5725"/>
    <m/>
    <s v="Pending"/>
    <x v="1"/>
    <s v="Pooja M"/>
    <n v="207"/>
    <s v="90+"/>
    <n v="5725"/>
    <s v="Sunita Rao"/>
    <n v="0"/>
  </r>
  <r>
    <s v="C20898"/>
    <s v="P-1324"/>
    <s v="City Care Clinic"/>
    <s v="Aetna"/>
    <d v="2026-02-23T00:00:00"/>
    <d v="2026-03-13T00:00:00"/>
    <n v="4850"/>
    <n v="4307.18"/>
    <s v="Paid"/>
    <x v="1"/>
    <s v="Priya K"/>
    <n v="216"/>
    <s v="90+"/>
    <n v="0"/>
    <s v="Manish Arora"/>
    <n v="0"/>
  </r>
  <r>
    <s v="C20899"/>
    <s v="P-1360"/>
    <s v="Green Valley Health"/>
    <s v="Medicare"/>
    <d v="2026-08-25T00:00:00"/>
    <d v="2026-09-12T00:00:00"/>
    <n v="3650"/>
    <n v="3606.55"/>
    <s v="Paid"/>
    <x v="1"/>
    <s v="Neha G"/>
    <n v="33"/>
    <s v="31-60"/>
    <n v="0"/>
    <s v="Manish Arora"/>
    <n v="0"/>
  </r>
  <r>
    <s v="C20900"/>
    <s v="P-1105"/>
    <s v="Green Valley Health"/>
    <s v="Humana"/>
    <d v="2026-03-23T00:00:00"/>
    <d v="2026-03-26T00:00:00"/>
    <n v="2425"/>
    <n v="2290.85"/>
    <s v="Paid"/>
    <x v="1"/>
    <s v="Pooja M"/>
    <n v="203"/>
    <s v="90+"/>
    <n v="0"/>
    <s v="Sunita Rao"/>
    <n v="0"/>
  </r>
  <r>
    <s v="C20901"/>
    <s v="P-1428"/>
    <s v="Sunrise Hospital"/>
    <s v="UnitedHealthcare"/>
    <d v="2026-08-19T00:00:00"/>
    <d v="2026-09-05T00:00:00"/>
    <n v="7200"/>
    <m/>
    <s v="Pending"/>
    <x v="1"/>
    <s v="Vikas R"/>
    <n v="40"/>
    <s v="31-60"/>
    <n v="7200"/>
    <s v="Sunita Rao"/>
    <n v="0"/>
  </r>
  <r>
    <s v="C20902"/>
    <s v="P-1283"/>
    <s v="City Care Clinic"/>
    <s v="Medicare"/>
    <d v="2026-01-12T00:00:00"/>
    <d v="2026-01-25T00:00:00"/>
    <n v="10575"/>
    <m/>
    <s v="Pending"/>
    <x v="1"/>
    <s v="Amit V"/>
    <n v="263"/>
    <s v="90+"/>
    <n v="10575"/>
    <s v="Manish Arora"/>
    <n v="0"/>
  </r>
  <r>
    <s v="C20903"/>
    <s v="P-1381"/>
    <s v="Green Valley Health"/>
    <s v="UnitedHealthcare"/>
    <d v="2026-05-10T00:00:00"/>
    <d v="2026-05-23T00:00:00"/>
    <n v="2175"/>
    <n v="2116.62"/>
    <s v="Paid"/>
    <x v="1"/>
    <s v="Rohit B"/>
    <n v="145"/>
    <s v="90+"/>
    <n v="0"/>
    <s v="Deepak Nair"/>
    <n v="0"/>
  </r>
  <r>
    <s v="C20904"/>
    <s v="P-1299"/>
    <s v="Sunrise Hospital"/>
    <s v="Blue Cross"/>
    <d v="2026-04-25T00:00:00"/>
    <d v="2026-05-12T00:00:00"/>
    <n v="11000"/>
    <n v="6923.9"/>
    <s v="Paid"/>
    <x v="1"/>
    <s v="Rahul S"/>
    <n v="156"/>
    <s v="90+"/>
    <n v="0"/>
    <s v="Manish Arora"/>
    <n v="0"/>
  </r>
  <r>
    <s v="C20905"/>
    <s v="P-1495"/>
    <s v="Apex Ortho Center"/>
    <s v="Aetna"/>
    <d v="2026-03-15T00:00:00"/>
    <d v="2026-03-24T00:00:00"/>
    <n v="14600"/>
    <m/>
    <s v="Pending"/>
    <x v="1"/>
    <s v="Pooja M"/>
    <n v="205"/>
    <s v="90+"/>
    <n v="14600"/>
    <s v="Sunita Rao"/>
    <n v="0"/>
  </r>
  <r>
    <s v="C20906"/>
    <s v="P-1060"/>
    <s v="Apex Ortho Center"/>
    <s v="Medicare"/>
    <d v="2026-02-10T00:00:00"/>
    <d v="2026-02-26T00:00:00"/>
    <n v="4675"/>
    <n v="3458.54"/>
    <s v="Paid"/>
    <x v="1"/>
    <s v="Neha G"/>
    <n v="231"/>
    <s v="90+"/>
    <n v="0"/>
    <s v="Manish Arora"/>
    <n v="0"/>
  </r>
  <r>
    <s v="C20907"/>
    <s v="P-1287"/>
    <s v="City Care Clinic"/>
    <s v="Aetna"/>
    <d v="2026-05-04T00:00:00"/>
    <d v="2026-05-23T00:00:00"/>
    <n v="6675"/>
    <n v="0"/>
    <s v="Denied"/>
    <x v="5"/>
    <s v="Amit V"/>
    <n v="145"/>
    <s v="90+"/>
    <n v="0"/>
    <s v="Manish Arora"/>
    <n v="6675"/>
  </r>
  <r>
    <s v="C20908"/>
    <s v="P-1106"/>
    <s v="City Care Clinic"/>
    <s v="Humana"/>
    <d v="2026-01-09T00:00:00"/>
    <d v="2026-01-13T00:00:00"/>
    <n v="13500"/>
    <n v="11425.11"/>
    <s v="Paid"/>
    <x v="1"/>
    <s v="Neha G"/>
    <n v="275"/>
    <s v="90+"/>
    <n v="0"/>
    <s v="Manish Arora"/>
    <n v="0"/>
  </r>
  <r>
    <s v="C20909"/>
    <s v="P-1030"/>
    <s v="City Care Clinic"/>
    <s v="Cigna"/>
    <d v="2026-09-10T00:00:00"/>
    <d v="2026-09-30T00:00:00"/>
    <n v="5100"/>
    <n v="3043.72"/>
    <s v="Paid"/>
    <x v="1"/>
    <s v="Kavita D"/>
    <n v="15"/>
    <s v="0-30"/>
    <n v="0"/>
    <s v="Deepak Nair"/>
    <n v="0"/>
  </r>
  <r>
    <s v="C20910"/>
    <s v="P-1384"/>
    <s v="City Care Clinic"/>
    <s v="Medicare"/>
    <d v="2026-04-06T00:00:00"/>
    <d v="2026-04-25T00:00:00"/>
    <n v="975"/>
    <m/>
    <s v="Pending"/>
    <x v="1"/>
    <s v="Anjali T"/>
    <n v="173"/>
    <s v="90+"/>
    <n v="975"/>
    <s v="Deepak Nair"/>
    <n v="0"/>
  </r>
  <r>
    <s v="C20911"/>
    <s v="P-1316"/>
    <s v="Apex Ortho Center"/>
    <s v="Medicare"/>
    <d v="2026-03-13T00:00:00"/>
    <d v="2026-03-20T00:00:00"/>
    <n v="12350"/>
    <n v="10022.16"/>
    <s v="Paid"/>
    <x v="1"/>
    <s v="Rahul S"/>
    <n v="209"/>
    <s v="90+"/>
    <n v="0"/>
    <s v="Manish Arora"/>
    <n v="0"/>
  </r>
  <r>
    <s v="C20912"/>
    <s v="P-1393"/>
    <s v="City Care Clinic"/>
    <s v="Medicaid"/>
    <d v="2026-03-05T00:00:00"/>
    <d v="2026-03-22T00:00:00"/>
    <n v="13300"/>
    <m/>
    <s v="Pending"/>
    <x v="1"/>
    <s v="Rahul S"/>
    <n v="207"/>
    <s v="90+"/>
    <n v="13300"/>
    <s v="Manish Arora"/>
    <n v="0"/>
  </r>
  <r>
    <s v="C20913"/>
    <s v="P-1260"/>
    <s v="Apex Ortho Center"/>
    <s v="Medicaid"/>
    <d v="2026-07-30T00:00:00"/>
    <d v="2026-08-14T00:00:00"/>
    <n v="11700"/>
    <m/>
    <s v="Pending"/>
    <x v="1"/>
    <s v="Vikas R"/>
    <n v="62"/>
    <s v="61-90"/>
    <n v="11700"/>
    <s v="Sunita Rao"/>
    <n v="0"/>
  </r>
  <r>
    <s v="C20914"/>
    <s v="P-1187"/>
    <s v="Sunrise Hospital"/>
    <s v="Medicare"/>
    <d v="2026-02-15T00:00:00"/>
    <d v="2026-02-24T00:00:00"/>
    <n v="2050"/>
    <n v="1552.65"/>
    <s v="Paid"/>
    <x v="1"/>
    <s v="Kavita D"/>
    <n v="233"/>
    <s v="90+"/>
    <n v="0"/>
    <s v="Deepak Nair"/>
    <n v="0"/>
  </r>
  <r>
    <s v="C20915"/>
    <s v="P-1064"/>
    <s v="City Care Clinic"/>
    <s v="Humana"/>
    <d v="2026-03-10T00:00:00"/>
    <d v="2026-03-24T00:00:00"/>
    <n v="3600"/>
    <n v="0"/>
    <s v="Denied"/>
    <x v="2"/>
    <s v="Kavita D"/>
    <n v="205"/>
    <s v="90+"/>
    <n v="0"/>
    <s v="Deepak Nair"/>
    <n v="3600"/>
  </r>
  <r>
    <s v="C20916"/>
    <s v="P-1136"/>
    <s v="Apex Ortho Center"/>
    <s v="Cigna"/>
    <d v="2026-01-26T00:00:00"/>
    <d v="2026-02-14T00:00:00"/>
    <n v="8650"/>
    <n v="6173.82"/>
    <s v="Paid"/>
    <x v="1"/>
    <s v="Priya K"/>
    <n v="243"/>
    <s v="90+"/>
    <n v="0"/>
    <s v="Manish Arora"/>
    <n v="0"/>
  </r>
  <r>
    <s v="C20917"/>
    <s v="P-1371"/>
    <s v="Sunrise Hospital"/>
    <s v="Humana"/>
    <d v="2026-06-08T00:00:00"/>
    <d v="2026-06-24T00:00:00"/>
    <n v="14400"/>
    <m/>
    <s v="Pending"/>
    <x v="1"/>
    <s v="Priya K"/>
    <n v="113"/>
    <s v="90+"/>
    <n v="14400"/>
    <s v="Manish Arora"/>
    <n v="0"/>
  </r>
  <r>
    <s v="C20918"/>
    <s v="P-1082"/>
    <s v="Sunrise Hospital"/>
    <s v="UnitedHealthcare"/>
    <d v="2026-01-29T00:00:00"/>
    <d v="2026-02-12T00:00:00"/>
    <n v="3825"/>
    <m/>
    <s v="Pending"/>
    <x v="1"/>
    <s v="Sandeep Y"/>
    <n v="245"/>
    <s v="90+"/>
    <n v="3825"/>
    <s v="Sunita Rao"/>
    <n v="0"/>
  </r>
  <r>
    <s v="C20919"/>
    <s v="P-1165"/>
    <s v="Sunrise Hospital"/>
    <s v="UnitedHealthcare"/>
    <d v="2026-03-07T00:00:00"/>
    <d v="2026-03-14T00:00:00"/>
    <n v="12975"/>
    <n v="12189"/>
    <s v="Paid"/>
    <x v="1"/>
    <s v="Pooja M"/>
    <n v="215"/>
    <s v="90+"/>
    <n v="0"/>
    <s v="Sunita Rao"/>
    <n v="0"/>
  </r>
  <r>
    <s v="C20920"/>
    <s v="P-1216"/>
    <s v="Apex Ortho Center"/>
    <s v="Medicare"/>
    <d v="2026-07-27T00:00:00"/>
    <d v="2026-08-04T00:00:00"/>
    <n v="1950"/>
    <n v="1728.06"/>
    <s v="Paid"/>
    <x v="1"/>
    <s v="Sandeep Y"/>
    <n v="72"/>
    <s v="61-90"/>
    <n v="0"/>
    <s v="Sunita Rao"/>
    <n v="0"/>
  </r>
  <r>
    <s v="C20921"/>
    <s v="P-1301"/>
    <s v="Green Valley Health"/>
    <s v="UnitedHealthcare"/>
    <d v="2026-04-08T00:00:00"/>
    <d v="2026-04-28T00:00:00"/>
    <n v="10825"/>
    <m/>
    <s v="Pending"/>
    <x v="1"/>
    <s v="Kavita D"/>
    <n v="170"/>
    <s v="90+"/>
    <n v="10825"/>
    <s v="Deepak Nair"/>
    <n v="0"/>
  </r>
  <r>
    <s v="C20922"/>
    <s v="P-1129"/>
    <s v="City Care Clinic"/>
    <s v="Medicare"/>
    <d v="2026-08-28T00:00:00"/>
    <d v="2026-08-31T00:00:00"/>
    <n v="13275"/>
    <m/>
    <s v="Pending"/>
    <x v="1"/>
    <s v="Vikas R"/>
    <n v="45"/>
    <s v="31-60"/>
    <n v="13275"/>
    <s v="Sunita Rao"/>
    <n v="0"/>
  </r>
  <r>
    <s v="C20923"/>
    <s v="P-1317"/>
    <s v="Green Valley Health"/>
    <s v="Humana"/>
    <d v="2026-06-09T00:00:00"/>
    <d v="2026-06-24T00:00:00"/>
    <n v="5625"/>
    <n v="3836.94"/>
    <s v="Paid"/>
    <x v="1"/>
    <s v="Pooja M"/>
    <n v="113"/>
    <s v="90+"/>
    <n v="0"/>
    <s v="Sunita Rao"/>
    <n v="0"/>
  </r>
  <r>
    <s v="C20924"/>
    <s v="P-1011"/>
    <s v="Sunrise Hospital"/>
    <s v="UnitedHealthcare"/>
    <d v="2026-02-28T00:00:00"/>
    <d v="2026-03-12T00:00:00"/>
    <n v="1100"/>
    <n v="0"/>
    <s v="Denied"/>
    <x v="4"/>
    <s v="Neha G"/>
    <n v="217"/>
    <s v="90+"/>
    <n v="0"/>
    <s v="Manish Arora"/>
    <n v="1100"/>
  </r>
  <r>
    <s v="C20925"/>
    <s v="P-1424"/>
    <s v="City Care Clinic"/>
    <s v="Cigna"/>
    <d v="2026-04-01T00:00:00"/>
    <d v="2026-04-19T00:00:00"/>
    <n v="5625"/>
    <n v="3492.55"/>
    <s v="Paid"/>
    <x v="1"/>
    <s v="Anjali T"/>
    <n v="179"/>
    <s v="90+"/>
    <n v="0"/>
    <s v="Deepak Nair"/>
    <n v="0"/>
  </r>
  <r>
    <s v="C20926"/>
    <s v="P-1017"/>
    <s v="Green Valley Health"/>
    <s v="Blue Cross"/>
    <d v="2026-03-16T00:00:00"/>
    <d v="2026-04-03T00:00:00"/>
    <n v="14675"/>
    <n v="12120.34"/>
    <s v="Paid"/>
    <x v="1"/>
    <s v="Sandeep Y"/>
    <n v="195"/>
    <s v="90+"/>
    <n v="0"/>
    <s v="Sunita Rao"/>
    <n v="0"/>
  </r>
  <r>
    <s v="C20927"/>
    <s v="P-1145"/>
    <s v="Apex Ortho Center"/>
    <s v="Blue Cross"/>
    <d v="2026-04-01T00:00:00"/>
    <d v="2026-04-10T00:00:00"/>
    <n v="11350"/>
    <n v="9674.01"/>
    <s v="Paid"/>
    <x v="1"/>
    <s v="Sandeep Y"/>
    <n v="188"/>
    <s v="90+"/>
    <n v="0"/>
    <s v="Sunita Rao"/>
    <n v="0"/>
  </r>
  <r>
    <s v="C20928"/>
    <s v="P-1334"/>
    <s v="Sunrise Hospital"/>
    <s v="Aetna"/>
    <d v="2026-05-13T00:00:00"/>
    <d v="2026-05-19T00:00:00"/>
    <n v="750"/>
    <n v="638.25"/>
    <s v="Paid"/>
    <x v="1"/>
    <s v="Kavita D"/>
    <n v="149"/>
    <s v="90+"/>
    <n v="0"/>
    <s v="Deepak Nair"/>
    <n v="0"/>
  </r>
  <r>
    <s v="C20929"/>
    <s v="P-1232"/>
    <s v="City Care Clinic"/>
    <s v="Cigna"/>
    <d v="2026-01-07T00:00:00"/>
    <d v="2026-01-26T00:00:00"/>
    <n v="8450"/>
    <n v="7510.44"/>
    <s v="Paid"/>
    <x v="1"/>
    <s v="Anjali T"/>
    <n v="262"/>
    <s v="90+"/>
    <n v="0"/>
    <s v="Deepak Nair"/>
    <n v="0"/>
  </r>
  <r>
    <s v="C20930"/>
    <s v="P-1138"/>
    <s v="Sunrise Hospital"/>
    <s v="UnitedHealthcare"/>
    <d v="2026-03-02T00:00:00"/>
    <d v="2026-03-05T00:00:00"/>
    <n v="12775"/>
    <n v="10055.59"/>
    <s v="Paid"/>
    <x v="1"/>
    <s v="Pooja M"/>
    <n v="224"/>
    <s v="90+"/>
    <n v="0"/>
    <s v="Sunita Rao"/>
    <n v="0"/>
  </r>
  <r>
    <s v="C20931"/>
    <s v="P-1178"/>
    <s v="Apex Ortho Center"/>
    <s v="Medicaid"/>
    <d v="2026-06-13T00:00:00"/>
    <d v="2026-06-22T00:00:00"/>
    <n v="6675"/>
    <n v="4190.4799999999996"/>
    <s v="Paid"/>
    <x v="1"/>
    <s v="Priya K"/>
    <n v="115"/>
    <s v="90+"/>
    <n v="0"/>
    <s v="Manish Arora"/>
    <n v="0"/>
  </r>
  <r>
    <s v="C20932"/>
    <s v="P-1438"/>
    <s v="Apex Ortho Center"/>
    <s v="Cigna"/>
    <d v="2026-08-17T00:00:00"/>
    <d v="2026-09-05T00:00:00"/>
    <n v="6050"/>
    <n v="0"/>
    <s v="Denied"/>
    <x v="7"/>
    <s v="Vikas R"/>
    <n v="40"/>
    <s v="31-60"/>
    <n v="0"/>
    <s v="Sunita Rao"/>
    <n v="6050"/>
  </r>
  <r>
    <s v="C20933"/>
    <s v="P-1332"/>
    <s v="Apex Ortho Center"/>
    <s v="Cigna"/>
    <d v="2026-02-15T00:00:00"/>
    <d v="2026-02-20T00:00:00"/>
    <n v="1725"/>
    <n v="1162.3399999999999"/>
    <s v="Paid"/>
    <x v="1"/>
    <s v="Priya K"/>
    <n v="237"/>
    <s v="90+"/>
    <n v="0"/>
    <s v="Manish Arora"/>
    <n v="0"/>
  </r>
  <r>
    <s v="C20934"/>
    <s v="P-1175"/>
    <s v="Green Valley Health"/>
    <s v="Medicare"/>
    <d v="2026-03-05T00:00:00"/>
    <d v="2026-03-15T00:00:00"/>
    <n v="6325"/>
    <m/>
    <s v="Pending"/>
    <x v="1"/>
    <s v="Vikas R"/>
    <n v="214"/>
    <s v="90+"/>
    <n v="6325"/>
    <s v="Sunita Rao"/>
    <n v="0"/>
  </r>
  <r>
    <s v="C20935"/>
    <s v="P-1235"/>
    <s v="City Care Clinic"/>
    <s v="Cigna"/>
    <d v="2026-04-30T00:00:00"/>
    <d v="2026-05-14T00:00:00"/>
    <n v="7050"/>
    <n v="6440.9"/>
    <s v="Paid"/>
    <x v="1"/>
    <s v="Pooja M"/>
    <n v="154"/>
    <s v="90+"/>
    <n v="0"/>
    <s v="Sunita Rao"/>
    <n v="0"/>
  </r>
  <r>
    <s v="C20936"/>
    <s v="P-1402"/>
    <s v="City Care Clinic"/>
    <s v="Unknown"/>
    <d v="2026-07-23T00:00:00"/>
    <d v="2026-08-05T00:00:00"/>
    <n v="11825"/>
    <m/>
    <s v="Pending"/>
    <x v="1"/>
    <s v="Amit V"/>
    <n v="71"/>
    <s v="61-90"/>
    <n v="11825"/>
    <s v="Manish Arora"/>
    <n v="0"/>
  </r>
  <r>
    <s v="C20937"/>
    <s v="P-1177"/>
    <s v="Green Valley Health"/>
    <s v="Medicaid"/>
    <d v="2026-07-12T00:00:00"/>
    <d v="2026-07-21T00:00:00"/>
    <n v="4075"/>
    <m/>
    <s v="Pending"/>
    <x v="1"/>
    <s v="Rahul S"/>
    <n v="86"/>
    <s v="61-90"/>
    <n v="4075"/>
    <s v="Manish Arora"/>
    <n v="0"/>
  </r>
  <r>
    <s v="C20938"/>
    <s v="P-1209"/>
    <s v="Sunrise Hospital"/>
    <s v="Blue Cross"/>
    <d v="2026-03-22T00:00:00"/>
    <d v="2026-04-08T00:00:00"/>
    <n v="14950"/>
    <m/>
    <s v="Pending"/>
    <x v="1"/>
    <s v="Vikas R"/>
    <n v="190"/>
    <s v="90+"/>
    <n v="14950"/>
    <s v="Sunita Rao"/>
    <n v="0"/>
  </r>
  <r>
    <s v="C20939"/>
    <s v="P-1066"/>
    <s v="Sunrise Hospital"/>
    <s v="Medicare"/>
    <d v="2026-01-06T00:00:00"/>
    <d v="2026-01-14T00:00:00"/>
    <n v="10700"/>
    <n v="9231.33"/>
    <s v="Paid"/>
    <x v="1"/>
    <s v="Priya K"/>
    <n v="274"/>
    <s v="90+"/>
    <n v="0"/>
    <s v="Manish Arora"/>
    <n v="0"/>
  </r>
  <r>
    <s v="C20940"/>
    <s v="P-1192"/>
    <s v="Green Valley Health"/>
    <s v="Medicare"/>
    <d v="2026-08-25T00:00:00"/>
    <d v="2026-09-03T00:00:00"/>
    <n v="5200"/>
    <m/>
    <s v="Pending"/>
    <x v="1"/>
    <s v="Anjali T"/>
    <n v="42"/>
    <s v="31-60"/>
    <n v="5200"/>
    <s v="Deepak Nair"/>
    <n v="0"/>
  </r>
  <r>
    <s v="C20941"/>
    <s v="P-1116"/>
    <s v="Sunrise Hospital"/>
    <s v="Aetna"/>
    <d v="2026-08-24T00:00:00"/>
    <d v="2026-09-12T00:00:00"/>
    <n v="2325"/>
    <m/>
    <s v="Pending"/>
    <x v="1"/>
    <s v="Amit V"/>
    <n v="33"/>
    <s v="31-60"/>
    <n v="2325"/>
    <s v="Manish Arora"/>
    <n v="0"/>
  </r>
  <r>
    <s v="C20942"/>
    <s v="P-1250"/>
    <s v="City Care Clinic"/>
    <s v="Aetna"/>
    <d v="2026-06-21T00:00:00"/>
    <d v="2026-07-08T00:00:00"/>
    <n v="2100"/>
    <m/>
    <s v="Pending"/>
    <x v="1"/>
    <s v="Pooja M"/>
    <n v="99"/>
    <s v="90+"/>
    <n v="2100"/>
    <s v="Sunita Rao"/>
    <n v="0"/>
  </r>
  <r>
    <s v="C20943"/>
    <s v="P-1384"/>
    <s v="Green Valley Health"/>
    <s v="Blue Cross"/>
    <d v="2026-08-23T00:00:00"/>
    <d v="2026-08-26T00:00:00"/>
    <n v="1900"/>
    <m/>
    <s v="Pending"/>
    <x v="1"/>
    <s v="Sandeep Y"/>
    <n v="50"/>
    <s v="31-60"/>
    <n v="1900"/>
    <s v="Sunita Rao"/>
    <n v="0"/>
  </r>
  <r>
    <s v="C20944"/>
    <s v="P-1009"/>
    <s v="Green Valley Health"/>
    <s v="Self Pay"/>
    <d v="2026-04-13T00:00:00"/>
    <d v="2026-04-27T00:00:00"/>
    <n v="1625"/>
    <n v="1187.83"/>
    <s v="Paid"/>
    <x v="1"/>
    <s v="Kavita D"/>
    <n v="171"/>
    <s v="90+"/>
    <n v="0"/>
    <s v="Deepak Nair"/>
    <n v="0"/>
  </r>
  <r>
    <s v="C20945"/>
    <s v="P-1349"/>
    <s v="City Care Clinic"/>
    <s v="Medicare"/>
    <d v="2026-07-02T00:00:00"/>
    <d v="2026-07-16T00:00:00"/>
    <n v="5575"/>
    <n v="5250.56"/>
    <s v="Paid"/>
    <x v="1"/>
    <s v="Kavita D"/>
    <n v="91"/>
    <s v="90+"/>
    <n v="0"/>
    <s v="Deepak Nair"/>
    <n v="0"/>
  </r>
  <r>
    <s v="C20946"/>
    <s v="P-1062"/>
    <s v="Green Valley Health"/>
    <s v="UnitedHealthcare"/>
    <d v="2026-04-25T00:00:00"/>
    <d v="2026-05-02T00:00:00"/>
    <n v="3075"/>
    <n v="2385.85"/>
    <s v="Paid"/>
    <x v="1"/>
    <s v="Priya K"/>
    <n v="166"/>
    <s v="90+"/>
    <n v="0"/>
    <s v="Manish Arora"/>
    <n v="0"/>
  </r>
  <r>
    <s v="C20947"/>
    <s v="P-1422"/>
    <s v="City Care Clinic"/>
    <s v="Blue Cross"/>
    <d v="2026-02-07T00:00:00"/>
    <d v="2026-02-26T00:00:00"/>
    <n v="2200"/>
    <n v="1809.4"/>
    <s v="Paid"/>
    <x v="1"/>
    <s v="Pooja M"/>
    <n v="231"/>
    <s v="90+"/>
    <n v="0"/>
    <s v="Sunita Rao"/>
    <n v="0"/>
  </r>
  <r>
    <s v="C20948"/>
    <s v="P-1444"/>
    <s v="Green Valley Health"/>
    <s v="Medicare"/>
    <d v="2026-02-14T00:00:00"/>
    <d v="2026-03-03T00:00:00"/>
    <n v="12125"/>
    <n v="7282.91"/>
    <s v="Paid"/>
    <x v="1"/>
    <s v="Priya K"/>
    <n v="226"/>
    <s v="90+"/>
    <n v="0"/>
    <s v="Manish Arora"/>
    <n v="0"/>
  </r>
  <r>
    <s v="C20949"/>
    <s v="P-1301"/>
    <s v="Green Valley Health"/>
    <s v="Aetna"/>
    <d v="2026-08-12T00:00:00"/>
    <d v="2026-08-23T00:00:00"/>
    <n v="9275"/>
    <m/>
    <s v="Pending"/>
    <x v="1"/>
    <s v="Amit V"/>
    <n v="53"/>
    <s v="31-60"/>
    <n v="9275"/>
    <s v="Manish Arora"/>
    <n v="0"/>
  </r>
  <r>
    <s v="C20950"/>
    <s v="P-1423"/>
    <s v="Sunrise Hospital"/>
    <s v="Medicare"/>
    <d v="2026-09-20T00:00:00"/>
    <d v="2026-10-01T00:00:00"/>
    <n v="6075"/>
    <n v="5190.4799999999996"/>
    <s v="Paid"/>
    <x v="1"/>
    <s v="Pooja M"/>
    <n v="14"/>
    <s v="0-30"/>
    <n v="0"/>
    <s v="Sunita Rao"/>
    <n v="0"/>
  </r>
  <r>
    <s v="C20951"/>
    <s v="P-1473"/>
    <s v="Apex Ortho Center"/>
    <s v="Blue Cross"/>
    <d v="2026-07-06T00:00:00"/>
    <d v="2026-07-19T00:00:00"/>
    <n v="3300"/>
    <m/>
    <s v="Pending"/>
    <x v="1"/>
    <s v="Vikas R"/>
    <n v="88"/>
    <s v="61-90"/>
    <n v="3300"/>
    <s v="Sunita Rao"/>
    <n v="0"/>
  </r>
  <r>
    <s v="C20952"/>
    <s v="P-1400"/>
    <s v="Apex Ortho Center"/>
    <s v="Blue Cross"/>
    <d v="2026-08-24T00:00:00"/>
    <d v="2026-09-03T00:00:00"/>
    <n v="2500"/>
    <m/>
    <s v="Pending"/>
    <x v="1"/>
    <s v="Kavita D"/>
    <n v="42"/>
    <s v="31-60"/>
    <n v="2500"/>
    <s v="Deepak Nair"/>
    <n v="0"/>
  </r>
  <r>
    <s v="C20953"/>
    <s v="P-1291"/>
    <s v="Apex Ortho Center"/>
    <s v="Self Pay"/>
    <d v="2026-03-05T00:00:00"/>
    <d v="2026-03-17T00:00:00"/>
    <n v="11300"/>
    <m/>
    <s v="Pending"/>
    <x v="1"/>
    <s v="Rohit B"/>
    <n v="212"/>
    <s v="90+"/>
    <n v="11300"/>
    <s v="Deepak Nair"/>
    <n v="0"/>
  </r>
  <r>
    <s v="C20954"/>
    <s v="P-1430"/>
    <s v="Sunrise Hospital"/>
    <s v="Medicare"/>
    <d v="2026-05-16T00:00:00"/>
    <d v="2026-06-01T00:00:00"/>
    <n v="13025"/>
    <n v="11269.74"/>
    <s v="Paid"/>
    <x v="1"/>
    <s v="Kavita D"/>
    <n v="136"/>
    <s v="90+"/>
    <n v="0"/>
    <s v="Deepak Nair"/>
    <n v="0"/>
  </r>
  <r>
    <s v="C20955"/>
    <s v="P-1158"/>
    <s v="Sunrise Hospital"/>
    <s v="Humana"/>
    <d v="2026-06-02T00:00:00"/>
    <d v="2026-06-08T00:00:00"/>
    <n v="8300"/>
    <n v="7963.09"/>
    <s v="Paid"/>
    <x v="1"/>
    <s v="Pooja M"/>
    <n v="129"/>
    <s v="90+"/>
    <n v="0"/>
    <s v="Sunita Rao"/>
    <n v="0"/>
  </r>
  <r>
    <s v="C20956"/>
    <s v="P-1293"/>
    <s v="City Care Clinic"/>
    <s v="Humana"/>
    <d v="2026-06-04T00:00:00"/>
    <d v="2026-06-15T00:00:00"/>
    <n v="3600"/>
    <n v="2898.72"/>
    <s v="Paid"/>
    <x v="1"/>
    <s v="Neha G"/>
    <n v="122"/>
    <s v="90+"/>
    <n v="0"/>
    <s v="Manish Arora"/>
    <n v="0"/>
  </r>
  <r>
    <s v="C20957"/>
    <s v="P-1294"/>
    <s v="Sunrise Hospital"/>
    <s v="Medicare"/>
    <d v="2026-08-07T00:00:00"/>
    <d v="2026-08-25T00:00:00"/>
    <n v="7375"/>
    <m/>
    <s v="Pending"/>
    <x v="1"/>
    <s v="Vikas R"/>
    <n v="51"/>
    <s v="31-60"/>
    <n v="7375"/>
    <s v="Sunita Rao"/>
    <n v="0"/>
  </r>
  <r>
    <s v="C20958"/>
    <s v="P-1349"/>
    <s v="Sunrise Hospital"/>
    <s v="Blue Cross"/>
    <d v="2026-02-21T00:00:00"/>
    <d v="2026-03-01T00:00:00"/>
    <n v="1550"/>
    <n v="864.69"/>
    <s v="Paid"/>
    <x v="1"/>
    <s v="Neha G"/>
    <n v="228"/>
    <s v="90+"/>
    <n v="0"/>
    <s v="Manish Arora"/>
    <n v="0"/>
  </r>
  <r>
    <s v="C20959"/>
    <s v="P-1405"/>
    <s v="Green Valley Health"/>
    <s v="UnitedHealthcare"/>
    <d v="2026-06-11T00:00:00"/>
    <d v="2026-06-28T00:00:00"/>
    <n v="1550"/>
    <n v="1142.74"/>
    <s v="Paid"/>
    <x v="1"/>
    <s v="Vikas R"/>
    <n v="109"/>
    <s v="90+"/>
    <n v="0"/>
    <s v="Sunita Rao"/>
    <n v="0"/>
  </r>
  <r>
    <s v="C20960"/>
    <s v="P-1245"/>
    <s v="Sunrise Hospital"/>
    <s v="UnitedHealthcare"/>
    <d v="2026-04-20T00:00:00"/>
    <d v="2026-04-27T00:00:00"/>
    <n v="13100"/>
    <n v="11706.86"/>
    <s v="Paid"/>
    <x v="1"/>
    <s v="Neha G"/>
    <n v="171"/>
    <s v="90+"/>
    <n v="0"/>
    <s v="Manish Arora"/>
    <n v="0"/>
  </r>
  <r>
    <s v="C20961"/>
    <s v="P-1034"/>
    <s v="Apex Ortho Center"/>
    <s v="Blue Cross"/>
    <d v="2026-02-10T00:00:00"/>
    <d v="2026-03-02T00:00:00"/>
    <n v="13100"/>
    <n v="0"/>
    <s v="Denied"/>
    <x v="3"/>
    <s v="Neha G"/>
    <n v="227"/>
    <s v="90+"/>
    <n v="0"/>
    <s v="Manish Arora"/>
    <n v="13100"/>
  </r>
  <r>
    <s v="C20962"/>
    <s v="P-1427"/>
    <s v="Apex Ortho Center"/>
    <s v="UnitedHealthcare"/>
    <d v="2026-05-13T00:00:00"/>
    <d v="2026-05-23T00:00:00"/>
    <n v="14700"/>
    <n v="11192.65"/>
    <s v="Paid"/>
    <x v="1"/>
    <s v="Rohit B"/>
    <n v="145"/>
    <s v="90+"/>
    <n v="0"/>
    <s v="Deepak Nair"/>
    <n v="0"/>
  </r>
  <r>
    <s v="C20963"/>
    <s v="P-1280"/>
    <s v="City Care Clinic"/>
    <s v="UnitedHealthcare"/>
    <d v="2026-07-12T00:00:00"/>
    <d v="2026-07-16T00:00:00"/>
    <n v="9525"/>
    <n v="5728.88"/>
    <s v="Paid"/>
    <x v="1"/>
    <s v="Priya K"/>
    <n v="91"/>
    <s v="90+"/>
    <n v="0"/>
    <s v="Manish Arora"/>
    <n v="0"/>
  </r>
  <r>
    <s v="C20964"/>
    <s v="P-1108"/>
    <s v="Sunrise Hospital"/>
    <s v="Medicaid"/>
    <d v="2026-09-07T00:00:00"/>
    <d v="2026-09-22T00:00:00"/>
    <n v="13750"/>
    <n v="0"/>
    <s v="Denied"/>
    <x v="4"/>
    <s v="Priya K"/>
    <n v="23"/>
    <s v="0-30"/>
    <n v="0"/>
    <s v="Manish Arora"/>
    <n v="13750"/>
  </r>
  <r>
    <s v="C20965"/>
    <s v="P-1029"/>
    <s v="Sunrise Hospital"/>
    <s v="Medicare"/>
    <d v="2026-01-20T00:00:00"/>
    <d v="2026-02-07T00:00:00"/>
    <n v="8675"/>
    <n v="7723.79"/>
    <s v="Paid"/>
    <x v="1"/>
    <s v="Rohit B"/>
    <n v="250"/>
    <s v="90+"/>
    <n v="0"/>
    <s v="Deepak Nair"/>
    <n v="0"/>
  </r>
  <r>
    <s v="C20966"/>
    <s v="P-1208"/>
    <s v="City Care Clinic"/>
    <s v="Aetna"/>
    <d v="2026-01-03T00:00:00"/>
    <d v="2026-01-19T00:00:00"/>
    <n v="14775"/>
    <n v="12363.2"/>
    <s v="Paid"/>
    <x v="1"/>
    <s v="Neha G"/>
    <n v="269"/>
    <s v="90+"/>
    <n v="0"/>
    <s v="Manish Arora"/>
    <n v="0"/>
  </r>
  <r>
    <s v="C20967"/>
    <s v="P-1135"/>
    <s v="Apex Ortho Center"/>
    <s v="UnitedHealthcare"/>
    <d v="2026-02-14T00:00:00"/>
    <d v="2026-02-21T00:00:00"/>
    <n v="2925"/>
    <m/>
    <s v="Pending"/>
    <x v="1"/>
    <s v="Priya K"/>
    <n v="236"/>
    <s v="90+"/>
    <n v="2925"/>
    <s v="Manish Arora"/>
    <n v="0"/>
  </r>
  <r>
    <s v="C20968"/>
    <s v="P-1358"/>
    <s v="Green Valley Health"/>
    <s v="Medicare"/>
    <d v="2026-04-22T00:00:00"/>
    <d v="2026-04-28T00:00:00"/>
    <n v="9950"/>
    <n v="6349.17"/>
    <s v="Paid"/>
    <x v="1"/>
    <s v="Kavita D"/>
    <n v="170"/>
    <s v="90+"/>
    <n v="0"/>
    <s v="Deepak Nair"/>
    <n v="0"/>
  </r>
  <r>
    <s v="C20969"/>
    <s v="P-1107"/>
    <s v="Apex Ortho Center"/>
    <s v="UnitedHealthcare"/>
    <d v="2026-01-07T00:00:00"/>
    <d v="2026-01-12T00:00:00"/>
    <n v="10775"/>
    <n v="8975.9"/>
    <s v="Paid"/>
    <x v="1"/>
    <s v="Rohit B"/>
    <n v="276"/>
    <s v="90+"/>
    <n v="0"/>
    <s v="Deepak Nair"/>
    <n v="0"/>
  </r>
  <r>
    <s v="C20970"/>
    <s v="P-1262"/>
    <s v="Green Valley Health"/>
    <s v="Medicaid"/>
    <d v="2026-03-02T00:00:00"/>
    <d v="2026-03-15T00:00:00"/>
    <n v="13425"/>
    <n v="8666.9500000000007"/>
    <s v="Paid"/>
    <x v="1"/>
    <s v="Neha G"/>
    <n v="214"/>
    <s v="90+"/>
    <n v="0"/>
    <s v="Manish Arora"/>
    <n v="0"/>
  </r>
  <r>
    <s v="C20971"/>
    <s v="P-1436"/>
    <s v="Green Valley Health"/>
    <s v="Cigna"/>
    <d v="2026-04-09T00:00:00"/>
    <d v="2026-04-18T00:00:00"/>
    <n v="10250"/>
    <n v="9687.32"/>
    <s v="Paid"/>
    <x v="1"/>
    <s v="Neha G"/>
    <n v="180"/>
    <s v="90+"/>
    <n v="0"/>
    <s v="Manish Arora"/>
    <n v="0"/>
  </r>
  <r>
    <s v="C20972"/>
    <s v="P-1089"/>
    <s v="City Care Clinic"/>
    <s v="Blue Cross"/>
    <d v="2026-06-15T00:00:00"/>
    <d v="2026-06-30T00:00:00"/>
    <n v="10600"/>
    <n v="8645.41"/>
    <s v="Paid"/>
    <x v="1"/>
    <s v="Neha G"/>
    <n v="107"/>
    <s v="90+"/>
    <n v="0"/>
    <s v="Manish Arora"/>
    <n v="0"/>
  </r>
  <r>
    <s v="C20973"/>
    <s v="P-1443"/>
    <s v="Green Valley Health"/>
    <s v="Blue Cross"/>
    <d v="2026-07-11T00:00:00"/>
    <d v="2026-07-23T00:00:00"/>
    <n v="9950"/>
    <m/>
    <s v="Pending"/>
    <x v="1"/>
    <s v="Rohit B"/>
    <n v="84"/>
    <s v="61-90"/>
    <n v="9950"/>
    <s v="Deepak Nair"/>
    <n v="0"/>
  </r>
  <r>
    <s v="C20974"/>
    <s v="P-1374"/>
    <s v="Sunrise Hospital"/>
    <s v="Medicare"/>
    <d v="2026-05-23T00:00:00"/>
    <d v="2026-06-01T00:00:00"/>
    <n v="4575"/>
    <n v="2979.49"/>
    <s v="Paid"/>
    <x v="1"/>
    <s v="Rahul S"/>
    <n v="136"/>
    <s v="90+"/>
    <n v="0"/>
    <s v="Manish Arora"/>
    <n v="0"/>
  </r>
  <r>
    <s v="C20975"/>
    <s v="P-1358"/>
    <s v="Green Valley Health"/>
    <s v="Medicaid"/>
    <d v="2026-05-20T00:00:00"/>
    <d v="2026-05-23T00:00:00"/>
    <n v="3775"/>
    <n v="2970.61"/>
    <s v="Paid"/>
    <x v="1"/>
    <s v="Vikas R"/>
    <n v="145"/>
    <s v="90+"/>
    <n v="0"/>
    <s v="Sunita Rao"/>
    <n v="0"/>
  </r>
  <r>
    <s v="C20976"/>
    <s v="P-1174"/>
    <s v="Green Valley Health"/>
    <s v="Medicaid"/>
    <d v="2026-03-19T00:00:00"/>
    <d v="2026-03-25T00:00:00"/>
    <n v="6625"/>
    <n v="6013.01"/>
    <s v="Paid"/>
    <x v="1"/>
    <s v="Priya K"/>
    <n v="204"/>
    <s v="90+"/>
    <n v="0"/>
    <s v="Manish Arora"/>
    <n v="0"/>
  </r>
  <r>
    <s v="C20977"/>
    <s v="P-1294"/>
    <s v="City Care Clinic"/>
    <s v="UnitedHealthcare"/>
    <d v="2026-01-06T00:00:00"/>
    <d v="2026-01-17T00:00:00"/>
    <n v="9575"/>
    <n v="0"/>
    <s v="Denied"/>
    <x v="6"/>
    <s v="Priya K"/>
    <n v="271"/>
    <s v="90+"/>
    <n v="0"/>
    <s v="Manish Arora"/>
    <n v="9575"/>
  </r>
  <r>
    <s v="C20978"/>
    <s v="P-1447"/>
    <s v="Green Valley Health"/>
    <s v="Medicare"/>
    <d v="2026-01-07T00:00:00"/>
    <d v="2026-01-12T00:00:00"/>
    <n v="7675"/>
    <n v="4472.6099999999997"/>
    <s v="Paid"/>
    <x v="1"/>
    <s v="Kavita D"/>
    <n v="276"/>
    <s v="90+"/>
    <n v="0"/>
    <s v="Deepak Nair"/>
    <n v="0"/>
  </r>
  <r>
    <s v="C20979"/>
    <s v="P-1362"/>
    <s v="City Care Clinic"/>
    <s v="Medicare"/>
    <d v="2026-03-11T00:00:00"/>
    <d v="2026-03-17T00:00:00"/>
    <n v="11775"/>
    <n v="0"/>
    <s v="Denied"/>
    <x v="3"/>
    <s v="Vikas R"/>
    <n v="212"/>
    <s v="90+"/>
    <n v="0"/>
    <s v="Sunita Rao"/>
    <n v="11775"/>
  </r>
  <r>
    <s v="C20980"/>
    <s v="P-1154"/>
    <s v="Green Valley Health"/>
    <s v="Medicare"/>
    <d v="2026-09-05T00:00:00"/>
    <d v="2026-09-10T00:00:00"/>
    <n v="10925"/>
    <m/>
    <s v="Pending"/>
    <x v="1"/>
    <s v="Neha G"/>
    <n v="35"/>
    <s v="31-60"/>
    <n v="10925"/>
    <s v="Manish Arora"/>
    <n v="0"/>
  </r>
  <r>
    <s v="C20981"/>
    <s v="P-1052"/>
    <s v="Apex Ortho Center"/>
    <s v="Medicaid"/>
    <d v="2026-06-24T00:00:00"/>
    <d v="2026-06-27T00:00:00"/>
    <n v="2525"/>
    <m/>
    <s v="Pending"/>
    <x v="1"/>
    <s v="Vikas R"/>
    <n v="110"/>
    <s v="90+"/>
    <n v="2525"/>
    <s v="Sunita Rao"/>
    <n v="0"/>
  </r>
  <r>
    <s v="C20982"/>
    <s v="P-1076"/>
    <s v="Apex Ortho Center"/>
    <s v="Unknown"/>
    <d v="2026-04-13T00:00:00"/>
    <d v="2026-05-02T00:00:00"/>
    <n v="3675"/>
    <n v="2266.71"/>
    <s v="Paid"/>
    <x v="1"/>
    <s v="Sandeep Y"/>
    <n v="166"/>
    <s v="90+"/>
    <n v="0"/>
    <s v="Sunita Rao"/>
    <n v="0"/>
  </r>
  <r>
    <s v="C20983"/>
    <s v="P-1399"/>
    <s v="Green Valley Health"/>
    <s v="Medicare"/>
    <d v="2026-09-12T00:00:00"/>
    <d v="2026-09-26T00:00:00"/>
    <n v="11775"/>
    <m/>
    <s v="Pending"/>
    <x v="1"/>
    <s v="Neha G"/>
    <n v="19"/>
    <s v="0-30"/>
    <n v="11775"/>
    <s v="Manish Arora"/>
    <n v="0"/>
  </r>
  <r>
    <s v="C20984"/>
    <s v="P-1160"/>
    <s v="Sunrise Hospital"/>
    <s v="Medicaid"/>
    <d v="2026-04-28T00:00:00"/>
    <d v="2026-05-14T00:00:00"/>
    <n v="11850"/>
    <m/>
    <s v="Pending"/>
    <x v="1"/>
    <s v="Priya K"/>
    <n v="154"/>
    <s v="90+"/>
    <n v="11850"/>
    <s v="Manish Arora"/>
    <n v="0"/>
  </r>
  <r>
    <s v="C20985"/>
    <s v="P-1386"/>
    <s v="Green Valley Health"/>
    <s v="UnitedHealthcare"/>
    <d v="2026-04-11T00:00:00"/>
    <d v="2026-04-14T00:00:00"/>
    <n v="4600"/>
    <n v="0"/>
    <s v="Denied"/>
    <x v="7"/>
    <s v="Anjali T"/>
    <n v="184"/>
    <s v="90+"/>
    <n v="0"/>
    <s v="Deepak Nair"/>
    <n v="4600"/>
  </r>
  <r>
    <s v="C20986"/>
    <s v="P-1199"/>
    <s v="Green Valley Health"/>
    <s v="UnitedHealthcare"/>
    <d v="2026-03-29T00:00:00"/>
    <d v="2026-04-08T00:00:00"/>
    <n v="4400"/>
    <m/>
    <s v="Pending"/>
    <x v="1"/>
    <s v="Rohit B"/>
    <n v="190"/>
    <s v="90+"/>
    <n v="4400"/>
    <s v="Deepak Nair"/>
    <n v="0"/>
  </r>
  <r>
    <s v="C20987"/>
    <s v="P-1342"/>
    <s v="Sunrise Hospital"/>
    <s v="Medicaid"/>
    <d v="2026-02-14T00:00:00"/>
    <d v="2026-02-17T00:00:00"/>
    <n v="1100"/>
    <n v="0"/>
    <s v="Denied"/>
    <x v="5"/>
    <s v="Neha G"/>
    <n v="240"/>
    <s v="90+"/>
    <n v="0"/>
    <s v="Manish Arora"/>
    <n v="1100"/>
  </r>
  <r>
    <s v="C20988"/>
    <s v="P-1265"/>
    <s v="Sunrise Hospital"/>
    <s v="Medicare"/>
    <d v="2026-02-28T00:00:00"/>
    <d v="2026-03-11T00:00:00"/>
    <n v="12200"/>
    <n v="0"/>
    <s v="Denied"/>
    <x v="5"/>
    <s v="Neha G"/>
    <n v="218"/>
    <s v="90+"/>
    <n v="0"/>
    <s v="Manish Arora"/>
    <n v="12200"/>
  </r>
  <r>
    <s v="C20989"/>
    <s v="P-1360"/>
    <s v="Apex Ortho Center"/>
    <s v="Medicare"/>
    <d v="2025-12-23T00:00:00"/>
    <d v="2026-01-04T00:00:00"/>
    <n v="14600"/>
    <n v="12010.52"/>
    <s v="Paid"/>
    <x v="1"/>
    <s v="Vikas R"/>
    <n v="284"/>
    <s v="90+"/>
    <n v="0"/>
    <s v="Sunita Rao"/>
    <n v="0"/>
  </r>
  <r>
    <s v="C20990"/>
    <s v="P-1499"/>
    <s v="Sunrise Hospital"/>
    <s v="Medicare"/>
    <d v="2026-05-14T00:00:00"/>
    <d v="2026-05-18T00:00:00"/>
    <n v="13425"/>
    <m/>
    <s v="Pending"/>
    <x v="1"/>
    <s v="Vikas R"/>
    <n v="150"/>
    <s v="90+"/>
    <n v="13425"/>
    <s v="Sunita Rao"/>
    <n v="0"/>
  </r>
  <r>
    <s v="C20991"/>
    <s v="P-1293"/>
    <s v="Green Valley Health"/>
    <s v="Blue Cross"/>
    <d v="2026-08-05T00:00:00"/>
    <d v="2026-08-08T00:00:00"/>
    <n v="2350"/>
    <n v="1945.94"/>
    <s v="Paid"/>
    <x v="1"/>
    <s v="Kavita D"/>
    <n v="68"/>
    <s v="61-90"/>
    <n v="0"/>
    <s v="Deepak Nair"/>
    <n v="0"/>
  </r>
  <r>
    <s v="C20992"/>
    <s v="P-1084"/>
    <s v="City Care Clinic"/>
    <s v="Aetna"/>
    <d v="2026-05-11T00:00:00"/>
    <d v="2026-05-20T00:00:00"/>
    <n v="10150"/>
    <n v="8605.6"/>
    <s v="Paid"/>
    <x v="1"/>
    <s v="Pooja M"/>
    <n v="148"/>
    <s v="90+"/>
    <n v="0"/>
    <s v="Sunita Rao"/>
    <n v="0"/>
  </r>
  <r>
    <s v="C20993"/>
    <s v="P-1163"/>
    <s v="Green Valley Health"/>
    <s v="Aetna"/>
    <d v="2026-03-28T00:00:00"/>
    <d v="2026-04-08T00:00:00"/>
    <n v="7225"/>
    <n v="6980.14"/>
    <s v="Paid"/>
    <x v="1"/>
    <s v="Sandeep Y"/>
    <n v="190"/>
    <s v="90+"/>
    <n v="0"/>
    <s v="Sunita Rao"/>
    <n v="0"/>
  </r>
  <r>
    <s v="C20994"/>
    <s v="P-1292"/>
    <s v="Green Valley Health"/>
    <s v="Cigna"/>
    <d v="2026-04-13T00:00:00"/>
    <d v="2026-04-21T00:00:00"/>
    <n v="10675"/>
    <m/>
    <s v="Pending"/>
    <x v="1"/>
    <s v="Rahul S"/>
    <n v="177"/>
    <s v="90+"/>
    <n v="10675"/>
    <s v="Manish Arora"/>
    <n v="0"/>
  </r>
  <r>
    <s v="C20995"/>
    <s v="P-1128"/>
    <s v="City Care Clinic"/>
    <s v="Medicaid"/>
    <d v="2026-07-16T00:00:00"/>
    <d v="2026-07-27T00:00:00"/>
    <n v="3375"/>
    <m/>
    <s v="Pending"/>
    <x v="1"/>
    <s v="Pooja M"/>
    <n v="80"/>
    <s v="61-90"/>
    <n v="3375"/>
    <s v="Sunita Rao"/>
    <n v="0"/>
  </r>
  <r>
    <s v="C20996"/>
    <s v="P-1323"/>
    <s v="City Care Clinic"/>
    <s v="UnitedHealthcare"/>
    <d v="2026-03-13T00:00:00"/>
    <d v="2026-03-22T00:00:00"/>
    <n v="13125"/>
    <m/>
    <s v="Pending"/>
    <x v="1"/>
    <s v="Amit V"/>
    <n v="207"/>
    <s v="90+"/>
    <n v="13125"/>
    <s v="Manish Arora"/>
    <n v="0"/>
  </r>
  <r>
    <s v="C20997"/>
    <s v="P-1078"/>
    <s v="Sunrise Hospital"/>
    <s v="Medicare"/>
    <d v="2026-08-03T00:00:00"/>
    <d v="2026-08-06T00:00:00"/>
    <n v="2125"/>
    <m/>
    <s v="Pending"/>
    <x v="1"/>
    <s v="Sandeep Y"/>
    <n v="70"/>
    <s v="61-90"/>
    <n v="2125"/>
    <s v="Sunita Rao"/>
    <n v="0"/>
  </r>
  <r>
    <s v="C20998"/>
    <s v="P-1362"/>
    <s v="Apex Ortho Center"/>
    <s v="Blue Cross"/>
    <d v="2026-02-28T00:00:00"/>
    <d v="2026-03-18T00:00:00"/>
    <n v="14550"/>
    <n v="0"/>
    <s v="Denied"/>
    <x v="6"/>
    <s v="Amit V"/>
    <n v="211"/>
    <s v="90+"/>
    <n v="0"/>
    <s v="Manish Arora"/>
    <n v="14550"/>
  </r>
  <r>
    <s v="C20999"/>
    <s v="P-1008"/>
    <s v="Green Valley Health"/>
    <s v="UnitedHealthcare"/>
    <d v="2026-01-15T00:00:00"/>
    <d v="2026-01-31T00:00:00"/>
    <n v="8075"/>
    <n v="5615.26"/>
    <s v="Paid"/>
    <x v="1"/>
    <s v="Amit V"/>
    <n v="257"/>
    <s v="90+"/>
    <n v="0"/>
    <s v="Manish Arora"/>
    <n v="0"/>
  </r>
  <r>
    <s v="C21000"/>
    <s v="P-1328"/>
    <s v="Apex Ortho Center"/>
    <s v="Cigna"/>
    <d v="2026-09-17T00:00:00"/>
    <d v="2026-09-26T00:00:00"/>
    <n v="5800"/>
    <n v="4717.97"/>
    <s v="Paid"/>
    <x v="1"/>
    <s v="Rahul S"/>
    <n v="19"/>
    <s v="0-30"/>
    <n v="0"/>
    <s v="Manish Arora"/>
    <n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C20001"/>
    <s v="P-1411"/>
    <s v="Green Valley Health"/>
    <x v="0"/>
    <d v="2026-07-31T00:00:00"/>
    <d v="2026-08-20T00:00:00"/>
    <n v="12200"/>
    <n v="0"/>
    <s v="Denied"/>
    <s v="Duplicate Claim"/>
    <s v="Amit V"/>
    <n v="56"/>
    <x v="0"/>
    <n v="0"/>
    <s v="Manish Arora"/>
  </r>
  <r>
    <s v="C20002"/>
    <s v="P-1324"/>
    <s v="City Care Clinic"/>
    <x v="0"/>
    <d v="2026-02-01T00:00:00"/>
    <d v="2026-02-18T00:00:00"/>
    <n v="8050"/>
    <n v="7652.9"/>
    <s v="Paid"/>
    <s v=""/>
    <s v="Vikas R"/>
    <n v="239"/>
    <x v="1"/>
    <n v="0"/>
    <s v="Sunita Rao"/>
  </r>
  <r>
    <s v="C20003"/>
    <s v="P-1032"/>
    <s v="City Care Clinic"/>
    <x v="1"/>
    <d v="2026-08-12T00:00:00"/>
    <d v="2026-08-20T00:00:00"/>
    <n v="675"/>
    <m/>
    <s v="Pending"/>
    <s v=""/>
    <s v="Neha G"/>
    <n v="56"/>
    <x v="0"/>
    <n v="675"/>
    <s v="Manish Arora"/>
  </r>
  <r>
    <s v="C20004"/>
    <s v="P-1327"/>
    <s v="Apex Ortho Center"/>
    <x v="0"/>
    <d v="2025-12-30T00:00:00"/>
    <d v="2026-01-16T00:00:00"/>
    <n v="8650"/>
    <n v="0"/>
    <s v="Denied"/>
    <s v="Coding Error"/>
    <s v="Priya K"/>
    <n v="272"/>
    <x v="1"/>
    <n v="0"/>
    <s v="Manish Arora"/>
  </r>
  <r>
    <s v="C20005"/>
    <s v="P-1477"/>
    <s v="City Care Clinic"/>
    <x v="2"/>
    <d v="2026-08-12T00:00:00"/>
    <d v="2026-08-23T00:00:00"/>
    <n v="10700"/>
    <m/>
    <s v="Pending"/>
    <s v=""/>
    <s v="Pooja M"/>
    <n v="53"/>
    <x v="0"/>
    <n v="10700"/>
    <s v="Sunita Rao"/>
  </r>
  <r>
    <s v="C20006"/>
    <s v="P-1055"/>
    <s v="Apex Ortho Center"/>
    <x v="3"/>
    <d v="2026-04-09T00:00:00"/>
    <d v="2026-04-28T00:00:00"/>
    <n v="7675"/>
    <n v="4594"/>
    <s v="Paid"/>
    <s v=""/>
    <s v="Rahul S"/>
    <n v="170"/>
    <x v="1"/>
    <n v="0"/>
    <s v="Manish Arora"/>
  </r>
  <r>
    <s v="C20007"/>
    <s v="P-1026"/>
    <s v="Green Valley Health"/>
    <x v="3"/>
    <d v="2025-12-23T00:00:00"/>
    <d v="2026-01-01T00:00:00"/>
    <n v="5650"/>
    <m/>
    <s v="Pending"/>
    <s v=""/>
    <s v="Vikas R"/>
    <n v="287"/>
    <x v="1"/>
    <n v="5650"/>
    <s v="Sunita Rao"/>
  </r>
  <r>
    <s v="C20008"/>
    <s v="P-1398"/>
    <s v="Apex Ortho Center"/>
    <x v="4"/>
    <d v="2026-07-29T00:00:00"/>
    <d v="2026-08-03T00:00:00"/>
    <n v="14775"/>
    <m/>
    <s v="Pending"/>
    <s v=""/>
    <s v="Sandeep Y"/>
    <n v="73"/>
    <x v="2"/>
    <n v="14775"/>
    <s v="Sunita Rao"/>
  </r>
  <r>
    <s v="C20009"/>
    <s v="P-1051"/>
    <s v="City Care Clinic"/>
    <x v="1"/>
    <d v="2026-06-17T00:00:00"/>
    <d v="2026-06-20T00:00:00"/>
    <n v="10775"/>
    <n v="7120.92"/>
    <s v="Paid"/>
    <s v=""/>
    <s v="Anjali T"/>
    <n v="117"/>
    <x v="1"/>
    <n v="0"/>
    <s v="Deepak Nair"/>
  </r>
  <r>
    <s v="C20010"/>
    <s v="P-1067"/>
    <s v="Green Valley Health"/>
    <x v="2"/>
    <d v="2026-03-12T00:00:00"/>
    <d v="2026-04-01T00:00:00"/>
    <n v="5100"/>
    <n v="4484.7"/>
    <s v="Paid"/>
    <s v=""/>
    <s v="Priya K"/>
    <n v="197"/>
    <x v="1"/>
    <n v="0"/>
    <s v="Manish Arora"/>
  </r>
  <r>
    <s v="C20011"/>
    <s v="P-1303"/>
    <s v="Apex Ortho Center"/>
    <x v="5"/>
    <d v="2026-07-06T00:00:00"/>
    <d v="2026-07-22T00:00:00"/>
    <n v="5725"/>
    <n v="0"/>
    <s v="Denied"/>
    <s v="Incorrect Patient Info"/>
    <s v="Rahul S"/>
    <n v="85"/>
    <x v="2"/>
    <n v="0"/>
    <s v="Manish Arora"/>
  </r>
  <r>
    <s v="C20012"/>
    <s v="P-1308"/>
    <s v="City Care Clinic"/>
    <x v="1"/>
    <d v="2026-04-10T00:00:00"/>
    <d v="2026-04-18T00:00:00"/>
    <n v="10375"/>
    <m/>
    <s v="Pending"/>
    <s v=""/>
    <s v="Amit V"/>
    <n v="180"/>
    <x v="1"/>
    <n v="10375"/>
    <s v="Manish Arora"/>
  </r>
  <r>
    <s v="C20013"/>
    <s v="P-1197"/>
    <s v="City Care Clinic"/>
    <x v="1"/>
    <d v="2026-04-03T00:00:00"/>
    <d v="2026-04-20T00:00:00"/>
    <n v="6900"/>
    <n v="6373.05"/>
    <s v="Paid"/>
    <s v=""/>
    <s v="Neha G"/>
    <n v="178"/>
    <x v="1"/>
    <n v="0"/>
    <s v="Manish Arora"/>
  </r>
  <r>
    <s v="C20014"/>
    <s v="P-1247"/>
    <s v="Sunrise Hospital"/>
    <x v="6"/>
    <d v="2026-05-02T00:00:00"/>
    <d v="2026-05-05T00:00:00"/>
    <n v="9725"/>
    <n v="9546.16"/>
    <s v="Paid"/>
    <s v=""/>
    <s v="Amit V"/>
    <n v="163"/>
    <x v="1"/>
    <n v="0"/>
    <s v="Manish Arora"/>
  </r>
  <r>
    <s v="C20015"/>
    <s v="P-1127"/>
    <s v="Sunrise Hospital"/>
    <x v="1"/>
    <d v="2026-03-08T00:00:00"/>
    <d v="2026-03-20T00:00:00"/>
    <n v="6125"/>
    <m/>
    <s v="Pending"/>
    <s v=""/>
    <s v="Rohit B"/>
    <n v="209"/>
    <x v="1"/>
    <n v="6125"/>
    <s v="Deepak Nair"/>
  </r>
  <r>
    <s v="C20016"/>
    <s v="P-1019"/>
    <s v="Apex Ortho Center"/>
    <x v="4"/>
    <d v="2026-03-27T00:00:00"/>
    <d v="2026-04-11T00:00:00"/>
    <n v="12650"/>
    <n v="7548.61"/>
    <s v="Paid"/>
    <s v=""/>
    <s v="Vikas R"/>
    <n v="187"/>
    <x v="1"/>
    <n v="0"/>
    <s v="Sunita Rao"/>
  </r>
  <r>
    <s v="C20017"/>
    <s v="P-1035"/>
    <s v="Sunrise Hospital"/>
    <x v="4"/>
    <d v="2026-04-26T00:00:00"/>
    <d v="2026-05-12T00:00:00"/>
    <n v="12850"/>
    <n v="11232.94"/>
    <s v="Paid"/>
    <s v=""/>
    <s v="Rohit B"/>
    <n v="156"/>
    <x v="1"/>
    <n v="0"/>
    <s v="Deepak Nair"/>
  </r>
  <r>
    <s v="C20018"/>
    <s v="P-1104"/>
    <s v="City Care Clinic"/>
    <x v="1"/>
    <d v="2026-01-27T00:00:00"/>
    <d v="2026-02-07T00:00:00"/>
    <n v="5725"/>
    <m/>
    <s v="Pending"/>
    <s v=""/>
    <s v="Vikas R"/>
    <n v="250"/>
    <x v="1"/>
    <n v="5725"/>
    <s v="Sunita Rao"/>
  </r>
  <r>
    <s v="C20019"/>
    <s v="P-1498"/>
    <s v="Sunrise Hospital"/>
    <x v="1"/>
    <d v="2026-08-07T00:00:00"/>
    <d v="2026-08-17T00:00:00"/>
    <n v="1825"/>
    <n v="1439.84"/>
    <s v="Paid"/>
    <s v=""/>
    <s v="Amit V"/>
    <n v="59"/>
    <x v="0"/>
    <n v="0"/>
    <s v="Manish Arora"/>
  </r>
  <r>
    <s v="C20020"/>
    <s v="P-1071"/>
    <s v="City Care Clinic"/>
    <x v="7"/>
    <d v="2026-08-06T00:00:00"/>
    <d v="2026-08-19T00:00:00"/>
    <n v="13650"/>
    <m/>
    <s v="Pending"/>
    <s v=""/>
    <s v="Anjali T"/>
    <n v="57"/>
    <x v="0"/>
    <n v="13650"/>
    <s v="Deepak Nair"/>
  </r>
  <r>
    <s v="C20021"/>
    <s v="P-1374"/>
    <s v="Apex Ortho Center"/>
    <x v="4"/>
    <d v="2026-06-21T00:00:00"/>
    <d v="2026-07-03T00:00:00"/>
    <n v="1150"/>
    <n v="882.06"/>
    <s v="Paid"/>
    <s v=""/>
    <s v="Priya K"/>
    <n v="104"/>
    <x v="1"/>
    <n v="0"/>
    <s v="Manish Arora"/>
  </r>
  <r>
    <s v="C20022"/>
    <s v="P-1377"/>
    <s v="Sunrise Hospital"/>
    <x v="6"/>
    <d v="2026-01-22T00:00:00"/>
    <d v="2026-02-08T00:00:00"/>
    <n v="14275"/>
    <n v="13865.48"/>
    <s v="Paid"/>
    <s v=""/>
    <s v="Pooja M"/>
    <n v="249"/>
    <x v="1"/>
    <n v="0"/>
    <s v="Sunita Rao"/>
  </r>
  <r>
    <s v="C20023"/>
    <s v="P-1446"/>
    <s v="Green Valley Health"/>
    <x v="7"/>
    <d v="2026-06-25T00:00:00"/>
    <d v="2026-06-30T00:00:00"/>
    <n v="12400"/>
    <m/>
    <s v="Pending"/>
    <s v=""/>
    <s v="Rahul S"/>
    <n v="107"/>
    <x v="1"/>
    <n v="12400"/>
    <s v="Manish Arora"/>
  </r>
  <r>
    <s v="C20024"/>
    <s v="P-1006"/>
    <s v="City Care Clinic"/>
    <x v="1"/>
    <d v="2026-09-10T00:00:00"/>
    <d v="2026-09-13T00:00:00"/>
    <n v="10075"/>
    <m/>
    <s v="Pending"/>
    <s v=""/>
    <s v="Priya K"/>
    <n v="32"/>
    <x v="0"/>
    <n v="10075"/>
    <s v="Manish Arora"/>
  </r>
  <r>
    <s v="C20025"/>
    <s v="P-1225"/>
    <s v="Green Valley Health"/>
    <x v="6"/>
    <d v="2026-04-26T00:00:00"/>
    <d v="2026-05-12T00:00:00"/>
    <n v="8750"/>
    <n v="7100"/>
    <s v="Paid"/>
    <s v=""/>
    <s v="Priya K"/>
    <n v="156"/>
    <x v="1"/>
    <n v="0"/>
    <s v="Manish Arora"/>
  </r>
  <r>
    <s v="C20026"/>
    <s v="P-1044"/>
    <s v="Green Valley Health"/>
    <x v="1"/>
    <d v="2026-09-04T00:00:00"/>
    <d v="2026-09-23T00:00:00"/>
    <n v="1050"/>
    <m/>
    <s v="Pending"/>
    <s v=""/>
    <s v="Priya K"/>
    <n v="22"/>
    <x v="3"/>
    <n v="1050"/>
    <s v="Manish Arora"/>
  </r>
  <r>
    <s v="C20027"/>
    <s v="P-1188"/>
    <s v="Apex Ortho Center"/>
    <x v="1"/>
    <d v="2026-08-25T00:00:00"/>
    <d v="2026-09-12T00:00:00"/>
    <n v="6825"/>
    <m/>
    <s v="Pending"/>
    <s v=""/>
    <s v="Kavita D"/>
    <n v="33"/>
    <x v="0"/>
    <n v="6825"/>
    <s v="Deepak Nair"/>
  </r>
  <r>
    <s v="C20028"/>
    <s v="P-1255"/>
    <s v="Sunrise Hospital"/>
    <x v="4"/>
    <d v="2026-03-26T00:00:00"/>
    <d v="2026-04-14T00:00:00"/>
    <n v="4625"/>
    <n v="4479.9399999999996"/>
    <s v="Paid"/>
    <s v=""/>
    <s v="Sandeep Y"/>
    <n v="184"/>
    <x v="1"/>
    <n v="0"/>
    <s v="Sunita Rao"/>
  </r>
  <r>
    <s v="C20029"/>
    <s v="P-1196"/>
    <s v="Sunrise Hospital"/>
    <x v="0"/>
    <d v="2026-03-27T00:00:00"/>
    <d v="2026-04-12T00:00:00"/>
    <n v="5425"/>
    <m/>
    <s v="Pending"/>
    <s v=""/>
    <s v="Pooja M"/>
    <n v="186"/>
    <x v="1"/>
    <n v="5425"/>
    <s v="Sunita Rao"/>
  </r>
  <r>
    <s v="C20030"/>
    <s v="P-1364"/>
    <s v="City Care Clinic"/>
    <x v="7"/>
    <d v="2026-04-11T00:00:00"/>
    <d v="2026-04-18T00:00:00"/>
    <n v="3725"/>
    <n v="0"/>
    <s v="Denied"/>
    <s v="Medical Necessity Not Met"/>
    <s v="Sandeep Y"/>
    <n v="180"/>
    <x v="1"/>
    <n v="0"/>
    <s v="Sunita Rao"/>
  </r>
  <r>
    <s v="C20031"/>
    <s v="P-1195"/>
    <s v="Green Valley Health"/>
    <x v="2"/>
    <d v="2026-03-22T00:00:00"/>
    <d v="2026-03-28T00:00:00"/>
    <n v="11825"/>
    <n v="0"/>
    <s v="Denied"/>
    <s v="Medical Necessity Not Met"/>
    <s v="Kavita D"/>
    <n v="201"/>
    <x v="1"/>
    <n v="0"/>
    <s v="Deepak Nair"/>
  </r>
  <r>
    <s v="C20032"/>
    <s v="P-1142"/>
    <s v="City Care Clinic"/>
    <x v="2"/>
    <d v="2026-08-07T00:00:00"/>
    <d v="2026-08-20T00:00:00"/>
    <n v="2200"/>
    <m/>
    <s v="Pending"/>
    <s v=""/>
    <s v="Sandeep Y"/>
    <n v="56"/>
    <x v="0"/>
    <n v="2200"/>
    <s v="Sunita Rao"/>
  </r>
  <r>
    <s v="C20033"/>
    <s v="P-1012"/>
    <s v="Apex Ortho Center"/>
    <x v="4"/>
    <d v="2026-06-19T00:00:00"/>
    <d v="2026-07-01T00:00:00"/>
    <n v="14725"/>
    <n v="11112.58"/>
    <s v="Paid"/>
    <s v=""/>
    <s v="Amit V"/>
    <n v="106"/>
    <x v="1"/>
    <n v="0"/>
    <s v="Manish Arora"/>
  </r>
  <r>
    <s v="C20034"/>
    <s v="P-1188"/>
    <s v="City Care Clinic"/>
    <x v="2"/>
    <d v="2026-01-19T00:00:00"/>
    <d v="2026-01-25T00:00:00"/>
    <n v="11725"/>
    <n v="9825.11"/>
    <s v="Paid"/>
    <s v=""/>
    <s v="Neha G"/>
    <n v="263"/>
    <x v="1"/>
    <n v="0"/>
    <s v="Manish Arora"/>
  </r>
  <r>
    <s v="C20035"/>
    <s v="P-1386"/>
    <s v="Green Valley Health"/>
    <x v="0"/>
    <d v="2026-08-21T00:00:00"/>
    <d v="2026-09-01T00:00:00"/>
    <n v="4850"/>
    <m/>
    <s v="Pending"/>
    <s v=""/>
    <s v="Rahul S"/>
    <n v="44"/>
    <x v="0"/>
    <n v="4850"/>
    <s v="Manish Arora"/>
  </r>
  <r>
    <s v="C20036"/>
    <s v="P-1256"/>
    <s v="Sunrise Hospital"/>
    <x v="3"/>
    <d v="2026-03-23T00:00:00"/>
    <d v="2026-04-02T00:00:00"/>
    <n v="7250"/>
    <n v="7076.5"/>
    <s v="Paid"/>
    <s v=""/>
    <s v="Neha G"/>
    <n v="196"/>
    <x v="1"/>
    <n v="0"/>
    <s v="Manish Arora"/>
  </r>
  <r>
    <s v="C20037"/>
    <s v="P-1465"/>
    <s v="City Care Clinic"/>
    <x v="3"/>
    <d v="2026-01-29T00:00:00"/>
    <d v="2026-02-14T00:00:00"/>
    <n v="10225"/>
    <n v="8502.0499999999993"/>
    <s v="Paid"/>
    <s v=""/>
    <s v="Kavita D"/>
    <n v="243"/>
    <x v="1"/>
    <n v="0"/>
    <s v="Deepak Nair"/>
  </r>
  <r>
    <s v="C20038"/>
    <s v="P-1104"/>
    <s v="City Care Clinic"/>
    <x v="2"/>
    <d v="2026-09-02T00:00:00"/>
    <d v="2026-09-15T00:00:00"/>
    <n v="12150"/>
    <m/>
    <s v="Pending"/>
    <s v=""/>
    <s v="Priya K"/>
    <n v="30"/>
    <x v="3"/>
    <n v="12150"/>
    <s v="Manish Arora"/>
  </r>
  <r>
    <s v="C20039"/>
    <s v="P-1500"/>
    <s v="Apex Ortho Center"/>
    <x v="0"/>
    <d v="2026-04-10T00:00:00"/>
    <d v="2026-04-20T00:00:00"/>
    <n v="10275"/>
    <m/>
    <s v="Pending"/>
    <s v=""/>
    <s v="Pooja M"/>
    <n v="178"/>
    <x v="1"/>
    <n v="10275"/>
    <s v="Sunita Rao"/>
  </r>
  <r>
    <s v="C20040"/>
    <s v="P-1215"/>
    <s v="Apex Ortho Center"/>
    <x v="0"/>
    <d v="2026-05-12T00:00:00"/>
    <d v="2026-05-15T00:00:00"/>
    <n v="9200"/>
    <n v="6476.1"/>
    <s v="Paid"/>
    <s v=""/>
    <s v="Rahul S"/>
    <n v="153"/>
    <x v="1"/>
    <n v="0"/>
    <s v="Manish Arora"/>
  </r>
  <r>
    <s v="C20041"/>
    <s v="P-1403"/>
    <s v="Sunrise Hospital"/>
    <x v="3"/>
    <d v="2026-04-17T00:00:00"/>
    <d v="2026-04-22T00:00:00"/>
    <n v="11275"/>
    <n v="7900.98"/>
    <s v="Paid"/>
    <s v=""/>
    <s v="Rohit B"/>
    <n v="176"/>
    <x v="1"/>
    <n v="0"/>
    <s v="Deepak Nair"/>
  </r>
  <r>
    <s v="C20042"/>
    <s v="P-1352"/>
    <s v="City Care Clinic"/>
    <x v="6"/>
    <d v="2026-09-06T00:00:00"/>
    <d v="2026-09-23T00:00:00"/>
    <n v="12900"/>
    <m/>
    <s v="Pending"/>
    <s v=""/>
    <s v="Anjali T"/>
    <n v="22"/>
    <x v="3"/>
    <n v="12900"/>
    <s v="Deepak Nair"/>
  </r>
  <r>
    <s v="C20043"/>
    <s v="P-1287"/>
    <s v="Sunrise Hospital"/>
    <x v="0"/>
    <d v="2026-09-07T00:00:00"/>
    <d v="2026-09-27T00:00:00"/>
    <n v="7725"/>
    <m/>
    <s v="Pending"/>
    <s v=""/>
    <s v="Rohit B"/>
    <n v="18"/>
    <x v="3"/>
    <n v="7725"/>
    <s v="Deepak Nair"/>
  </r>
  <r>
    <s v="C20044"/>
    <s v="P-1445"/>
    <s v="Sunrise Hospital"/>
    <x v="4"/>
    <d v="2026-04-30T00:00:00"/>
    <d v="2026-05-12T00:00:00"/>
    <n v="10050"/>
    <m/>
    <s v="Pending"/>
    <s v=""/>
    <s v="Amit V"/>
    <n v="156"/>
    <x v="1"/>
    <n v="10050"/>
    <s v="Manish Arora"/>
  </r>
  <r>
    <s v="C20045"/>
    <s v="P-1210"/>
    <s v="City Care Clinic"/>
    <x v="0"/>
    <d v="2026-09-15T00:00:00"/>
    <d v="2026-09-26T00:00:00"/>
    <n v="14950"/>
    <m/>
    <s v="Pending"/>
    <s v=""/>
    <s v="Kavita D"/>
    <n v="19"/>
    <x v="3"/>
    <n v="14950"/>
    <s v="Deepak Nair"/>
  </r>
  <r>
    <s v="C20046"/>
    <s v="P-1264"/>
    <s v="Green Valley Health"/>
    <x v="0"/>
    <d v="2026-07-10T00:00:00"/>
    <d v="2026-07-13T00:00:00"/>
    <n v="14075"/>
    <m/>
    <s v="Pending"/>
    <s v=""/>
    <s v="Kavita D"/>
    <n v="94"/>
    <x v="1"/>
    <n v="14075"/>
    <s v="Deepak Nair"/>
  </r>
  <r>
    <s v="C20047"/>
    <s v="P-1211"/>
    <s v="Green Valley Health"/>
    <x v="4"/>
    <d v="2026-02-14T00:00:00"/>
    <d v="2026-03-04T00:00:00"/>
    <n v="2675"/>
    <n v="2119.73"/>
    <s v="Paid"/>
    <s v=""/>
    <s v="Anjali T"/>
    <n v="225"/>
    <x v="1"/>
    <n v="0"/>
    <s v="Deepak Nair"/>
  </r>
  <r>
    <s v="C20048"/>
    <s v="P-1417"/>
    <s v="Green Valley Health"/>
    <x v="0"/>
    <d v="2026-09-03T00:00:00"/>
    <d v="2026-09-10T00:00:00"/>
    <n v="8975"/>
    <m/>
    <s v="Pending"/>
    <s v=""/>
    <s v="Priya K"/>
    <n v="35"/>
    <x v="0"/>
    <n v="8975"/>
    <s v="Manish Arora"/>
  </r>
  <r>
    <s v="C20049"/>
    <s v="P-1066"/>
    <s v="City Care Clinic"/>
    <x v="1"/>
    <d v="2026-03-24T00:00:00"/>
    <d v="2026-04-09T00:00:00"/>
    <n v="1050"/>
    <m/>
    <s v="Pending"/>
    <s v=""/>
    <s v="Amit V"/>
    <n v="189"/>
    <x v="1"/>
    <n v="1050"/>
    <s v="Manish Arora"/>
  </r>
  <r>
    <s v="C20050"/>
    <s v="P-1053"/>
    <s v="Green Valley Health"/>
    <x v="2"/>
    <d v="2026-04-24T00:00:00"/>
    <d v="2026-04-27T00:00:00"/>
    <n v="7550"/>
    <n v="6258.16"/>
    <s v="Paid"/>
    <s v=""/>
    <s v="Priya K"/>
    <n v="171"/>
    <x v="1"/>
    <n v="0"/>
    <s v="Manish Arora"/>
  </r>
  <r>
    <s v="C20051"/>
    <s v="P-1449"/>
    <s v="Green Valley Health"/>
    <x v="1"/>
    <d v="2026-09-08T00:00:00"/>
    <d v="2026-09-19T00:00:00"/>
    <n v="5350"/>
    <m/>
    <s v="Pending"/>
    <s v=""/>
    <s v="Vikas R"/>
    <n v="26"/>
    <x v="3"/>
    <n v="5350"/>
    <s v="Sunita Rao"/>
  </r>
  <r>
    <s v="C20052"/>
    <s v="P-1271"/>
    <s v="Sunrise Hospital"/>
    <x v="6"/>
    <d v="2026-09-21T00:00:00"/>
    <d v="2026-09-29T00:00:00"/>
    <n v="14075"/>
    <n v="11785.14"/>
    <s v="Paid"/>
    <s v=""/>
    <s v="Kavita D"/>
    <n v="16"/>
    <x v="3"/>
    <n v="0"/>
    <s v="Deepak Nair"/>
  </r>
  <r>
    <s v="C20053"/>
    <s v="P-1161"/>
    <s v="Apex Ortho Center"/>
    <x v="7"/>
    <d v="2026-03-01T00:00:00"/>
    <d v="2026-03-11T00:00:00"/>
    <n v="9175"/>
    <m/>
    <s v="Pending"/>
    <s v=""/>
    <s v="Neha G"/>
    <n v="218"/>
    <x v="1"/>
    <n v="9175"/>
    <s v="Manish Arora"/>
  </r>
  <r>
    <s v="C20054"/>
    <s v="P-1132"/>
    <s v="Green Valley Health"/>
    <x v="1"/>
    <d v="2026-04-13T00:00:00"/>
    <d v="2026-04-22T00:00:00"/>
    <n v="2775"/>
    <n v="2433.56"/>
    <s v="Paid"/>
    <s v=""/>
    <s v="Vikas R"/>
    <n v="176"/>
    <x v="1"/>
    <n v="0"/>
    <s v="Sunita Rao"/>
  </r>
  <r>
    <s v="C20055"/>
    <s v="P-1291"/>
    <s v="Apex Ortho Center"/>
    <x v="7"/>
    <d v="2026-02-25T00:00:00"/>
    <d v="2026-03-06T00:00:00"/>
    <n v="10600"/>
    <n v="6288.19"/>
    <s v="Paid"/>
    <s v=""/>
    <s v="Pooja M"/>
    <n v="223"/>
    <x v="1"/>
    <n v="0"/>
    <s v="Sunita Rao"/>
  </r>
  <r>
    <s v="C20056"/>
    <s v="P-1036"/>
    <s v="Green Valley Health"/>
    <x v="1"/>
    <d v="2026-02-10T00:00:00"/>
    <d v="2026-03-01T00:00:00"/>
    <n v="9075"/>
    <n v="5763.11"/>
    <s v="Paid"/>
    <s v=""/>
    <s v="Rahul S"/>
    <n v="228"/>
    <x v="1"/>
    <n v="0"/>
    <s v="Manish Arora"/>
  </r>
  <r>
    <s v="C20057"/>
    <s v="P-1080"/>
    <s v="Apex Ortho Center"/>
    <x v="7"/>
    <d v="2026-09-03T00:00:00"/>
    <d v="2026-09-21T00:00:00"/>
    <n v="4050"/>
    <n v="2541.87"/>
    <s v="Paid"/>
    <s v=""/>
    <s v="Priya K"/>
    <n v="24"/>
    <x v="3"/>
    <n v="0"/>
    <s v="Manish Arora"/>
  </r>
  <r>
    <s v="C20058"/>
    <s v="P-1218"/>
    <s v="Apex Ortho Center"/>
    <x v="3"/>
    <d v="2026-01-25T00:00:00"/>
    <d v="2026-02-01T00:00:00"/>
    <n v="12125"/>
    <n v="8801.51"/>
    <s v="Paid"/>
    <s v=""/>
    <s v="Kavita D"/>
    <n v="256"/>
    <x v="1"/>
    <n v="0"/>
    <s v="Deepak Nair"/>
  </r>
  <r>
    <s v="C20059"/>
    <s v="P-1092"/>
    <s v="Green Valley Health"/>
    <x v="3"/>
    <d v="2026-07-08T00:00:00"/>
    <d v="2026-07-11T00:00:00"/>
    <n v="1325"/>
    <m/>
    <s v="Pending"/>
    <s v=""/>
    <s v="Pooja M"/>
    <n v="96"/>
    <x v="1"/>
    <n v="1325"/>
    <s v="Sunita Rao"/>
  </r>
  <r>
    <s v="C20060"/>
    <s v="P-1043"/>
    <s v="Green Valley Health"/>
    <x v="0"/>
    <d v="2026-07-18T00:00:00"/>
    <d v="2026-07-27T00:00:00"/>
    <n v="4525"/>
    <n v="3147.88"/>
    <s v="Paid"/>
    <s v=""/>
    <s v="Neha G"/>
    <n v="80"/>
    <x v="2"/>
    <n v="0"/>
    <s v="Manish Arora"/>
  </r>
  <r>
    <s v="C20061"/>
    <s v="P-1059"/>
    <s v="Sunrise Hospital"/>
    <x v="6"/>
    <d v="2026-09-03T00:00:00"/>
    <d v="2026-09-16T00:00:00"/>
    <n v="6900"/>
    <m/>
    <s v="Pending"/>
    <s v=""/>
    <s v="Vikas R"/>
    <n v="29"/>
    <x v="3"/>
    <n v="6900"/>
    <s v="Sunita Rao"/>
  </r>
  <r>
    <s v="C20062"/>
    <s v="P-1207"/>
    <s v="Sunrise Hospital"/>
    <x v="2"/>
    <d v="2026-02-25T00:00:00"/>
    <d v="2026-03-10T00:00:00"/>
    <n v="14075"/>
    <n v="12588.02"/>
    <s v="Paid"/>
    <s v=""/>
    <s v="Priya K"/>
    <n v="219"/>
    <x v="1"/>
    <n v="0"/>
    <s v="Manish Arora"/>
  </r>
  <r>
    <s v="C20063"/>
    <s v="P-1462"/>
    <s v="City Care Clinic"/>
    <x v="4"/>
    <d v="2026-06-12T00:00:00"/>
    <d v="2026-06-24T00:00:00"/>
    <n v="12300"/>
    <n v="0"/>
    <s v="Denied"/>
    <s v="Incorrect Patient Info"/>
    <s v="Sandeep Y"/>
    <n v="113"/>
    <x v="1"/>
    <n v="0"/>
    <s v="Sunita Rao"/>
  </r>
  <r>
    <s v="C20064"/>
    <s v="P-1254"/>
    <s v="Sunrise Hospital"/>
    <x v="2"/>
    <d v="2026-06-13T00:00:00"/>
    <d v="2026-06-22T00:00:00"/>
    <n v="10675"/>
    <n v="7742.76"/>
    <s v="Paid"/>
    <s v=""/>
    <s v="Vikas R"/>
    <n v="115"/>
    <x v="1"/>
    <n v="0"/>
    <s v="Sunita Rao"/>
  </r>
  <r>
    <s v="C20065"/>
    <s v="P-1025"/>
    <s v="Sunrise Hospital"/>
    <x v="2"/>
    <d v="2026-01-06T00:00:00"/>
    <d v="2026-01-12T00:00:00"/>
    <n v="3050"/>
    <n v="2228.64"/>
    <s v="Paid"/>
    <s v=""/>
    <s v="Rahul S"/>
    <n v="276"/>
    <x v="1"/>
    <n v="0"/>
    <s v="Manish Arora"/>
  </r>
  <r>
    <s v="C20066"/>
    <s v="P-1212"/>
    <s v="City Care Clinic"/>
    <x v="0"/>
    <d v="2026-02-09T00:00:00"/>
    <d v="2026-02-20T00:00:00"/>
    <n v="6700"/>
    <n v="5314.57"/>
    <s v="Paid"/>
    <s v=""/>
    <s v="Priya K"/>
    <n v="237"/>
    <x v="1"/>
    <n v="0"/>
    <s v="Manish Arora"/>
  </r>
  <r>
    <s v="C20067"/>
    <s v="P-1277"/>
    <s v="City Care Clinic"/>
    <x v="3"/>
    <d v="2026-01-09T00:00:00"/>
    <d v="2026-01-24T00:00:00"/>
    <n v="4375"/>
    <n v="0"/>
    <s v="Denied"/>
    <s v="Medical Necessity Not Met"/>
    <s v="Anjali T"/>
    <n v="264"/>
    <x v="1"/>
    <n v="0"/>
    <s v="Deepak Nair"/>
  </r>
  <r>
    <s v="C20068"/>
    <s v="P-1247"/>
    <s v="Apex Ortho Center"/>
    <x v="0"/>
    <d v="2026-07-23T00:00:00"/>
    <d v="2026-08-04T00:00:00"/>
    <n v="13775"/>
    <n v="10864.12"/>
    <s v="Paid"/>
    <s v=""/>
    <s v="Sandeep Y"/>
    <n v="72"/>
    <x v="2"/>
    <n v="0"/>
    <s v="Sunita Rao"/>
  </r>
  <r>
    <s v="C20069"/>
    <s v="P-1209"/>
    <s v="Green Valley Health"/>
    <x v="1"/>
    <d v="2026-05-29T00:00:00"/>
    <d v="2026-06-01T00:00:00"/>
    <n v="650"/>
    <n v="542.65"/>
    <s v="Paid"/>
    <s v=""/>
    <s v="Pooja M"/>
    <n v="136"/>
    <x v="1"/>
    <n v="0"/>
    <s v="Sunita Rao"/>
  </r>
  <r>
    <s v="C20070"/>
    <s v="P-1244"/>
    <s v="Apex Ortho Center"/>
    <x v="5"/>
    <d v="2026-07-19T00:00:00"/>
    <d v="2026-07-23T00:00:00"/>
    <n v="8450"/>
    <n v="0"/>
    <s v="Denied"/>
    <s v="Coding Error"/>
    <s v="Neha G"/>
    <n v="84"/>
    <x v="2"/>
    <n v="0"/>
    <s v="Manish Arora"/>
  </r>
  <r>
    <s v="C20071"/>
    <s v="P-1370"/>
    <s v="Green Valley Health"/>
    <x v="1"/>
    <d v="2026-01-05T00:00:00"/>
    <d v="2026-01-24T00:00:00"/>
    <n v="2800"/>
    <m/>
    <s v="Pending"/>
    <s v=""/>
    <s v="Neha G"/>
    <n v="264"/>
    <x v="1"/>
    <n v="2800"/>
    <s v="Manish Arora"/>
  </r>
  <r>
    <s v="C20072"/>
    <s v="P-1270"/>
    <s v="Sunrise Hospital"/>
    <x v="1"/>
    <d v="2026-02-24T00:00:00"/>
    <d v="2026-02-28T00:00:00"/>
    <n v="10975"/>
    <n v="6293.34"/>
    <s v="Paid"/>
    <s v=""/>
    <s v="Anjali T"/>
    <n v="229"/>
    <x v="1"/>
    <n v="0"/>
    <s v="Deepak Nair"/>
  </r>
  <r>
    <s v="C20073"/>
    <s v="P-1186"/>
    <s v="Sunrise Hospital"/>
    <x v="7"/>
    <d v="2026-02-25T00:00:00"/>
    <d v="2026-03-13T00:00:00"/>
    <n v="11950"/>
    <n v="10239.99"/>
    <s v="Paid"/>
    <s v=""/>
    <s v="Amit V"/>
    <n v="216"/>
    <x v="1"/>
    <n v="0"/>
    <s v="Manish Arora"/>
  </r>
  <r>
    <s v="C20074"/>
    <s v="P-1433"/>
    <s v="Apex Ortho Center"/>
    <x v="4"/>
    <d v="2026-04-15T00:00:00"/>
    <d v="2026-05-03T00:00:00"/>
    <n v="3200"/>
    <n v="2490.59"/>
    <s v="Paid"/>
    <s v=""/>
    <s v="Kavita D"/>
    <n v="165"/>
    <x v="1"/>
    <n v="0"/>
    <s v="Deepak Nair"/>
  </r>
  <r>
    <s v="C20075"/>
    <s v="P-1468"/>
    <s v="Sunrise Hospital"/>
    <x v="6"/>
    <d v="2026-03-28T00:00:00"/>
    <d v="2026-04-08T00:00:00"/>
    <n v="6425"/>
    <n v="6366.37"/>
    <s v="Paid"/>
    <s v=""/>
    <s v="Rahul S"/>
    <n v="190"/>
    <x v="1"/>
    <n v="0"/>
    <s v="Manish Arora"/>
  </r>
  <r>
    <s v="C20076"/>
    <s v="P-1113"/>
    <s v="Apex Ortho Center"/>
    <x v="1"/>
    <d v="2026-01-29T00:00:00"/>
    <d v="2026-02-01T00:00:00"/>
    <n v="7225"/>
    <n v="4097.4399999999996"/>
    <s v="Paid"/>
    <s v=""/>
    <s v="Priya K"/>
    <n v="256"/>
    <x v="1"/>
    <n v="0"/>
    <s v="Manish Arora"/>
  </r>
  <r>
    <s v="C20077"/>
    <s v="P-1107"/>
    <s v="Apex Ortho Center"/>
    <x v="4"/>
    <d v="2026-03-04T00:00:00"/>
    <d v="2026-03-24T00:00:00"/>
    <n v="6300"/>
    <n v="4821.7"/>
    <s v="Paid"/>
    <s v=""/>
    <s v="Amit V"/>
    <n v="205"/>
    <x v="1"/>
    <n v="0"/>
    <s v="Manish Arora"/>
  </r>
  <r>
    <s v="C20078"/>
    <s v="P-1319"/>
    <s v="Sunrise Hospital"/>
    <x v="3"/>
    <d v="2026-02-02T00:00:00"/>
    <d v="2026-02-08T00:00:00"/>
    <n v="11750"/>
    <m/>
    <s v="Pending"/>
    <s v=""/>
    <s v="Sandeep Y"/>
    <n v="249"/>
    <x v="1"/>
    <n v="11750"/>
    <s v="Sunita Rao"/>
  </r>
  <r>
    <s v="C20079"/>
    <s v="P-1148"/>
    <s v="Sunrise Hospital"/>
    <x v="3"/>
    <d v="2026-07-12T00:00:00"/>
    <d v="2026-07-19T00:00:00"/>
    <n v="9725"/>
    <n v="0"/>
    <s v="Denied"/>
    <s v="Coding Error"/>
    <s v="Pooja M"/>
    <n v="88"/>
    <x v="2"/>
    <n v="0"/>
    <s v="Sunita Rao"/>
  </r>
  <r>
    <s v="C20080"/>
    <s v="P-1248"/>
    <s v="Green Valley Health"/>
    <x v="4"/>
    <d v="2026-02-02T00:00:00"/>
    <d v="2026-02-19T00:00:00"/>
    <n v="8575"/>
    <n v="6893.42"/>
    <s v="Paid"/>
    <s v=""/>
    <s v="Rahul S"/>
    <n v="238"/>
    <x v="1"/>
    <n v="0"/>
    <s v="Manish Arora"/>
  </r>
  <r>
    <s v="C20081"/>
    <s v="P-1309"/>
    <s v="City Care Clinic"/>
    <x v="2"/>
    <d v="2026-01-27T00:00:00"/>
    <d v="2026-02-08T00:00:00"/>
    <n v="5750"/>
    <m/>
    <s v="Pending"/>
    <s v=""/>
    <s v="Anjali T"/>
    <n v="249"/>
    <x v="1"/>
    <n v="5750"/>
    <s v="Deepak Nair"/>
  </r>
  <r>
    <s v="C20082"/>
    <s v="P-1464"/>
    <s v="City Care Clinic"/>
    <x v="4"/>
    <d v="2026-06-05T00:00:00"/>
    <d v="2026-06-17T00:00:00"/>
    <n v="3950"/>
    <n v="2753.86"/>
    <s v="Paid"/>
    <s v=""/>
    <s v="Anjali T"/>
    <n v="120"/>
    <x v="1"/>
    <n v="0"/>
    <s v="Deepak Nair"/>
  </r>
  <r>
    <s v="C20083"/>
    <s v="P-1156"/>
    <s v="Green Valley Health"/>
    <x v="4"/>
    <d v="2026-05-06T00:00:00"/>
    <d v="2026-05-23T00:00:00"/>
    <n v="13850"/>
    <m/>
    <s v="Pending"/>
    <s v=""/>
    <s v="Vikas R"/>
    <n v="145"/>
    <x v="1"/>
    <n v="13850"/>
    <s v="Sunita Rao"/>
  </r>
  <r>
    <s v="C20084"/>
    <s v="P-1187"/>
    <s v="City Care Clinic"/>
    <x v="3"/>
    <d v="2026-09-12T00:00:00"/>
    <d v="2026-09-22T00:00:00"/>
    <n v="2450"/>
    <m/>
    <s v="Pending"/>
    <s v=""/>
    <s v="Vikas R"/>
    <n v="23"/>
    <x v="3"/>
    <n v="2450"/>
    <s v="Sunita Rao"/>
  </r>
  <r>
    <s v="C20085"/>
    <s v="P-1302"/>
    <s v="Sunrise Hospital"/>
    <x v="1"/>
    <d v="2026-07-09T00:00:00"/>
    <d v="2026-07-18T00:00:00"/>
    <n v="14725"/>
    <n v="9124.4"/>
    <s v="Paid"/>
    <s v=""/>
    <s v="Anjali T"/>
    <n v="89"/>
    <x v="2"/>
    <n v="0"/>
    <s v="Deepak Nair"/>
  </r>
  <r>
    <s v="C20086"/>
    <s v="P-1494"/>
    <s v="City Care Clinic"/>
    <x v="2"/>
    <d v="2026-05-22T00:00:00"/>
    <d v="2026-05-25T00:00:00"/>
    <n v="5950"/>
    <n v="4791.88"/>
    <s v="Paid"/>
    <s v=""/>
    <s v="Vikas R"/>
    <n v="143"/>
    <x v="1"/>
    <n v="0"/>
    <s v="Sunita Rao"/>
  </r>
  <r>
    <s v="C20087"/>
    <s v="P-1377"/>
    <s v="City Care Clinic"/>
    <x v="7"/>
    <d v="2026-01-13T00:00:00"/>
    <d v="2026-02-02T00:00:00"/>
    <n v="8100"/>
    <n v="4752.7"/>
    <s v="Paid"/>
    <s v=""/>
    <s v="Priya K"/>
    <n v="255"/>
    <x v="1"/>
    <n v="0"/>
    <s v="Manish Arora"/>
  </r>
  <r>
    <s v="C20088"/>
    <s v="P-1112"/>
    <s v="Green Valley Health"/>
    <x v="6"/>
    <d v="2026-01-07T00:00:00"/>
    <d v="2026-01-14T00:00:00"/>
    <n v="2775"/>
    <n v="1832.76"/>
    <s v="Paid"/>
    <s v=""/>
    <s v="Rohit B"/>
    <n v="274"/>
    <x v="1"/>
    <n v="0"/>
    <s v="Deepak Nair"/>
  </r>
  <r>
    <s v="C20089"/>
    <s v="P-1069"/>
    <s v="Green Valley Health"/>
    <x v="0"/>
    <d v="2026-06-06T00:00:00"/>
    <d v="2026-06-23T00:00:00"/>
    <n v="10375"/>
    <n v="7260.79"/>
    <s v="Paid"/>
    <s v=""/>
    <s v="Priya K"/>
    <n v="114"/>
    <x v="1"/>
    <n v="0"/>
    <s v="Manish Arora"/>
  </r>
  <r>
    <s v="C20090"/>
    <s v="P-1412"/>
    <s v="Green Valley Health"/>
    <x v="6"/>
    <d v="2026-01-08T00:00:00"/>
    <d v="2026-01-24T00:00:00"/>
    <n v="9225"/>
    <m/>
    <s v="Pending"/>
    <s v=""/>
    <s v="Anjali T"/>
    <n v="264"/>
    <x v="1"/>
    <n v="9225"/>
    <s v="Deepak Nair"/>
  </r>
  <r>
    <s v="C20091"/>
    <s v="P-1005"/>
    <s v="City Care Clinic"/>
    <x v="3"/>
    <d v="2026-10-02T00:00:00"/>
    <d v="2026-10-05T00:00:00"/>
    <n v="13700"/>
    <m/>
    <s v="Pending"/>
    <s v=""/>
    <s v="Vikas R"/>
    <n v="10"/>
    <x v="3"/>
    <n v="13700"/>
    <s v="Sunita Rao"/>
  </r>
  <r>
    <s v="C20092"/>
    <s v="P-1192"/>
    <s v="Sunrise Hospital"/>
    <x v="4"/>
    <d v="2026-03-06T00:00:00"/>
    <d v="2026-03-16T00:00:00"/>
    <n v="4450"/>
    <m/>
    <s v="Pending"/>
    <s v=""/>
    <s v="Vikas R"/>
    <n v="213"/>
    <x v="1"/>
    <n v="4450"/>
    <s v="Sunita Rao"/>
  </r>
  <r>
    <s v="C20093"/>
    <s v="P-1374"/>
    <s v="City Care Clinic"/>
    <x v="4"/>
    <d v="2026-07-18T00:00:00"/>
    <d v="2026-08-06T00:00:00"/>
    <n v="7775"/>
    <n v="0"/>
    <s v="Denied"/>
    <s v="Coding Error"/>
    <s v="Amit V"/>
    <n v="70"/>
    <x v="2"/>
    <n v="0"/>
    <s v="Manish Arora"/>
  </r>
  <r>
    <s v="C20094"/>
    <s v="P-1160"/>
    <s v="City Care Clinic"/>
    <x v="1"/>
    <d v="2026-03-29T00:00:00"/>
    <d v="2026-04-02T00:00:00"/>
    <n v="12025"/>
    <n v="10944.93"/>
    <s v="Paid"/>
    <s v=""/>
    <s v="Pooja M"/>
    <n v="196"/>
    <x v="1"/>
    <n v="0"/>
    <s v="Sunita Rao"/>
  </r>
  <r>
    <s v="C20095"/>
    <s v="P-1143"/>
    <s v="Green Valley Health"/>
    <x v="1"/>
    <d v="2026-04-12T00:00:00"/>
    <d v="2026-04-22T00:00:00"/>
    <n v="12375"/>
    <n v="7836.4"/>
    <s v="Paid"/>
    <s v=""/>
    <s v="Sandeep Y"/>
    <n v="176"/>
    <x v="1"/>
    <n v="0"/>
    <s v="Sunita Rao"/>
  </r>
  <r>
    <s v="C20096"/>
    <s v="P-1468"/>
    <s v="Apex Ortho Center"/>
    <x v="2"/>
    <d v="2026-08-23T00:00:00"/>
    <d v="2026-09-03T00:00:00"/>
    <n v="12700"/>
    <m/>
    <s v="Pending"/>
    <s v=""/>
    <s v="Priya K"/>
    <n v="42"/>
    <x v="0"/>
    <n v="12700"/>
    <s v="Manish Arora"/>
  </r>
  <r>
    <s v="C20097"/>
    <s v="P-1197"/>
    <s v="Apex Ortho Center"/>
    <x v="6"/>
    <d v="2026-08-26T00:00:00"/>
    <d v="2026-09-05T00:00:00"/>
    <n v="10525"/>
    <n v="0"/>
    <s v="Denied"/>
    <s v="Medical Necessity Not Met"/>
    <s v="Rahul S"/>
    <n v="40"/>
    <x v="0"/>
    <n v="0"/>
    <s v="Manish Arora"/>
  </r>
  <r>
    <s v="C20098"/>
    <s v="P-1230"/>
    <s v="Sunrise Hospital"/>
    <x v="2"/>
    <d v="2026-04-29T00:00:00"/>
    <d v="2026-05-02T00:00:00"/>
    <n v="12375"/>
    <m/>
    <s v="Pending"/>
    <s v=""/>
    <s v="Kavita D"/>
    <n v="166"/>
    <x v="1"/>
    <n v="12375"/>
    <s v="Deepak Nair"/>
  </r>
  <r>
    <s v="C20099"/>
    <s v="P-1414"/>
    <s v="Sunrise Hospital"/>
    <x v="0"/>
    <d v="2026-03-06T00:00:00"/>
    <d v="2026-03-22T00:00:00"/>
    <n v="4300"/>
    <n v="4122.18"/>
    <s v="Paid"/>
    <s v=""/>
    <s v="Kavita D"/>
    <n v="207"/>
    <x v="1"/>
    <n v="0"/>
    <s v="Deepak Nair"/>
  </r>
  <r>
    <s v="C20100"/>
    <s v="P-1104"/>
    <s v="Sunrise Hospital"/>
    <x v="6"/>
    <d v="2026-04-28T00:00:00"/>
    <d v="2026-05-17T00:00:00"/>
    <n v="13975"/>
    <n v="8807.5300000000007"/>
    <s v="Paid"/>
    <s v=""/>
    <s v="Priya K"/>
    <n v="151"/>
    <x v="1"/>
    <n v="0"/>
    <s v="Manish Arora"/>
  </r>
  <r>
    <s v="C20101"/>
    <s v="P-1489"/>
    <s v="Apex Ortho Center"/>
    <x v="1"/>
    <d v="2026-06-19T00:00:00"/>
    <d v="2026-06-30T00:00:00"/>
    <n v="13800"/>
    <n v="10500.4"/>
    <s v="Paid"/>
    <s v=""/>
    <s v="Neha G"/>
    <n v="107"/>
    <x v="1"/>
    <n v="0"/>
    <s v="Manish Arora"/>
  </r>
  <r>
    <s v="C20102"/>
    <s v="P-1225"/>
    <s v="Sunrise Hospital"/>
    <x v="1"/>
    <d v="2026-07-24T00:00:00"/>
    <d v="2026-08-02T00:00:00"/>
    <n v="2625"/>
    <m/>
    <s v="Pending"/>
    <s v=""/>
    <s v="Vikas R"/>
    <n v="74"/>
    <x v="2"/>
    <n v="2625"/>
    <s v="Sunita Rao"/>
  </r>
  <r>
    <s v="C20103"/>
    <s v="P-1493"/>
    <s v="Apex Ortho Center"/>
    <x v="8"/>
    <d v="2026-09-09T00:00:00"/>
    <d v="2026-09-27T00:00:00"/>
    <n v="4325"/>
    <m/>
    <s v="Pending"/>
    <s v=""/>
    <s v="Vikas R"/>
    <n v="18"/>
    <x v="3"/>
    <n v="4325"/>
    <s v="Sunita Rao"/>
  </r>
  <r>
    <s v="C20104"/>
    <s v="P-1341"/>
    <s v="City Care Clinic"/>
    <x v="4"/>
    <d v="2026-01-19T00:00:00"/>
    <d v="2026-02-08T00:00:00"/>
    <n v="8125"/>
    <m/>
    <s v="Pending"/>
    <s v=""/>
    <s v="Amit V"/>
    <n v="249"/>
    <x v="1"/>
    <n v="8125"/>
    <s v="Manish Arora"/>
  </r>
  <r>
    <s v="C20105"/>
    <s v="P-1227"/>
    <s v="City Care Clinic"/>
    <x v="6"/>
    <d v="2026-02-09T00:00:00"/>
    <d v="2026-02-24T00:00:00"/>
    <n v="12100"/>
    <n v="7318.71"/>
    <s v="Paid"/>
    <s v=""/>
    <s v="Anjali T"/>
    <n v="233"/>
    <x v="1"/>
    <n v="0"/>
    <s v="Deepak Nair"/>
  </r>
  <r>
    <s v="C20106"/>
    <s v="P-1432"/>
    <s v="Sunrise Hospital"/>
    <x v="7"/>
    <d v="2026-04-20T00:00:00"/>
    <d v="2026-05-02T00:00:00"/>
    <n v="14725"/>
    <n v="13771.26"/>
    <s v="Paid"/>
    <s v=""/>
    <s v="Amit V"/>
    <n v="166"/>
    <x v="1"/>
    <n v="0"/>
    <s v="Manish Arora"/>
  </r>
  <r>
    <s v="C20107"/>
    <s v="P-1284"/>
    <s v="City Care Clinic"/>
    <x v="4"/>
    <d v="2026-05-14T00:00:00"/>
    <d v="2026-05-29T00:00:00"/>
    <n v="14100"/>
    <n v="0"/>
    <s v="Denied"/>
    <s v="Patient Not Eligible"/>
    <s v="Neha G"/>
    <n v="139"/>
    <x v="1"/>
    <n v="0"/>
    <s v="Manish Arora"/>
  </r>
  <r>
    <s v="C20108"/>
    <s v="P-1327"/>
    <s v="Apex Ortho Center"/>
    <x v="3"/>
    <d v="2026-07-06T00:00:00"/>
    <d v="2026-07-12T00:00:00"/>
    <n v="8725"/>
    <n v="6643.38"/>
    <s v="Paid"/>
    <s v=""/>
    <s v="Vikas R"/>
    <n v="95"/>
    <x v="1"/>
    <n v="0"/>
    <s v="Sunita Rao"/>
  </r>
  <r>
    <s v="C20109"/>
    <s v="P-1091"/>
    <s v="Sunrise Hospital"/>
    <x v="1"/>
    <d v="2026-02-11T00:00:00"/>
    <d v="2026-02-17T00:00:00"/>
    <n v="3900"/>
    <n v="3251.34"/>
    <s v="Paid"/>
    <s v=""/>
    <s v="Rahul S"/>
    <n v="240"/>
    <x v="1"/>
    <n v="0"/>
    <s v="Manish Arora"/>
  </r>
  <r>
    <s v="C20110"/>
    <s v="P-1208"/>
    <s v="City Care Clinic"/>
    <x v="4"/>
    <d v="2026-08-21T00:00:00"/>
    <d v="2026-08-26T00:00:00"/>
    <n v="2850"/>
    <n v="1726.67"/>
    <s v="Paid"/>
    <s v=""/>
    <s v="Vikas R"/>
    <n v="50"/>
    <x v="0"/>
    <n v="0"/>
    <s v="Sunita Rao"/>
  </r>
  <r>
    <s v="C20111"/>
    <s v="P-1420"/>
    <s v="Green Valley Health"/>
    <x v="0"/>
    <d v="2026-09-12T00:00:00"/>
    <d v="2026-09-19T00:00:00"/>
    <n v="5550"/>
    <m/>
    <s v="Pending"/>
    <s v=""/>
    <s v="Vikas R"/>
    <n v="26"/>
    <x v="3"/>
    <n v="5550"/>
    <s v="Sunita Rao"/>
  </r>
  <r>
    <s v="C20112"/>
    <s v="P-1404"/>
    <s v="Sunrise Hospital"/>
    <x v="2"/>
    <d v="2025-12-24T00:00:00"/>
    <d v="2026-01-08T00:00:00"/>
    <n v="8425"/>
    <m/>
    <s v="Pending"/>
    <s v=""/>
    <s v="Kavita D"/>
    <n v="280"/>
    <x v="1"/>
    <n v="8425"/>
    <s v="Deepak Nair"/>
  </r>
  <r>
    <s v="C20113"/>
    <s v="P-1175"/>
    <s v="Apex Ortho Center"/>
    <x v="2"/>
    <d v="2026-09-26T00:00:00"/>
    <d v="2026-09-29T00:00:00"/>
    <n v="6950"/>
    <m/>
    <s v="Pending"/>
    <s v=""/>
    <s v="Priya K"/>
    <n v="16"/>
    <x v="3"/>
    <n v="6950"/>
    <s v="Manish Arora"/>
  </r>
  <r>
    <s v="C20114"/>
    <s v="P-1365"/>
    <s v="Sunrise Hospital"/>
    <x v="4"/>
    <d v="2026-07-04T00:00:00"/>
    <d v="2026-07-13T00:00:00"/>
    <n v="13325"/>
    <n v="7944.34"/>
    <s v="Paid"/>
    <s v=""/>
    <s v="Rohit B"/>
    <n v="94"/>
    <x v="1"/>
    <n v="0"/>
    <s v="Deepak Nair"/>
  </r>
  <r>
    <s v="C20115"/>
    <s v="P-1365"/>
    <s v="Sunrise Hospital"/>
    <x v="5"/>
    <d v="2026-05-13T00:00:00"/>
    <d v="2026-06-02T00:00:00"/>
    <n v="6275"/>
    <n v="3851.53"/>
    <s v="Paid"/>
    <s v=""/>
    <s v="Rohit B"/>
    <n v="135"/>
    <x v="1"/>
    <n v="0"/>
    <s v="Deepak Nair"/>
  </r>
  <r>
    <s v="C20116"/>
    <s v="P-1213"/>
    <s v="Apex Ortho Center"/>
    <x v="4"/>
    <d v="2026-04-08T00:00:00"/>
    <d v="2026-04-11T00:00:00"/>
    <n v="5350"/>
    <n v="4093.01"/>
    <s v="Paid"/>
    <s v=""/>
    <s v="Pooja M"/>
    <n v="187"/>
    <x v="1"/>
    <n v="0"/>
    <s v="Sunita Rao"/>
  </r>
  <r>
    <s v="C20117"/>
    <s v="P-1291"/>
    <s v="City Care Clinic"/>
    <x v="0"/>
    <d v="2026-04-30T00:00:00"/>
    <d v="2026-05-17T00:00:00"/>
    <n v="3475"/>
    <n v="2284.41"/>
    <s v="Paid"/>
    <s v=""/>
    <s v="Sandeep Y"/>
    <n v="151"/>
    <x v="1"/>
    <n v="0"/>
    <s v="Sunita Rao"/>
  </r>
  <r>
    <s v="C20118"/>
    <s v="P-1459"/>
    <s v="Apex Ortho Center"/>
    <x v="4"/>
    <d v="2026-03-15T00:00:00"/>
    <d v="2026-03-28T00:00:00"/>
    <n v="4025"/>
    <n v="2736.44"/>
    <s v="Paid"/>
    <s v=""/>
    <s v="Kavita D"/>
    <n v="201"/>
    <x v="1"/>
    <n v="0"/>
    <s v="Deepak Nair"/>
  </r>
  <r>
    <s v="C20119"/>
    <s v="P-1206"/>
    <s v="Sunrise Hospital"/>
    <x v="6"/>
    <d v="2026-06-27T00:00:00"/>
    <d v="2026-07-05T00:00:00"/>
    <n v="5050"/>
    <n v="3810.01"/>
    <s v="Paid"/>
    <s v=""/>
    <s v="Amit V"/>
    <n v="102"/>
    <x v="1"/>
    <n v="0"/>
    <s v="Manish Arora"/>
  </r>
  <r>
    <s v="C20120"/>
    <s v="P-1270"/>
    <s v="Green Valley Health"/>
    <x v="1"/>
    <d v="2026-05-23T00:00:00"/>
    <d v="2026-06-07T00:00:00"/>
    <n v="700"/>
    <n v="395.41"/>
    <s v="Paid"/>
    <s v=""/>
    <s v="Vikas R"/>
    <n v="130"/>
    <x v="1"/>
    <n v="0"/>
    <s v="Sunita Rao"/>
  </r>
  <r>
    <s v="C20121"/>
    <s v="P-1027"/>
    <s v="City Care Clinic"/>
    <x v="2"/>
    <d v="2026-03-17T00:00:00"/>
    <d v="2026-03-30T00:00:00"/>
    <n v="13600"/>
    <n v="13182.05"/>
    <s v="Paid"/>
    <s v=""/>
    <s v="Amit V"/>
    <n v="199"/>
    <x v="1"/>
    <n v="0"/>
    <s v="Manish Arora"/>
  </r>
  <r>
    <s v="C20122"/>
    <s v="P-1352"/>
    <s v="Green Valley Health"/>
    <x v="6"/>
    <d v="2026-07-08T00:00:00"/>
    <d v="2026-07-26T00:00:00"/>
    <n v="2900"/>
    <n v="2409.06"/>
    <s v="Paid"/>
    <s v=""/>
    <s v="Anjali T"/>
    <n v="81"/>
    <x v="2"/>
    <n v="0"/>
    <s v="Deepak Nair"/>
  </r>
  <r>
    <s v="C20123"/>
    <s v="P-1169"/>
    <s v="Green Valley Health"/>
    <x v="3"/>
    <d v="2026-08-10T00:00:00"/>
    <d v="2026-08-26T00:00:00"/>
    <n v="11400"/>
    <n v="11086.74"/>
    <s v="Paid"/>
    <s v=""/>
    <s v="Rahul S"/>
    <n v="50"/>
    <x v="0"/>
    <n v="0"/>
    <s v="Manish Arora"/>
  </r>
  <r>
    <s v="C20124"/>
    <s v="P-1305"/>
    <s v="Apex Ortho Center"/>
    <x v="6"/>
    <d v="2026-06-10T00:00:00"/>
    <d v="2026-06-14T00:00:00"/>
    <n v="7875"/>
    <n v="0"/>
    <s v="Denied"/>
    <s v="Patient Not Eligible"/>
    <s v="Sandeep Y"/>
    <n v="123"/>
    <x v="1"/>
    <n v="0"/>
    <s v="Sunita Rao"/>
  </r>
  <r>
    <s v="C20125"/>
    <s v="P-1124"/>
    <s v="Green Valley Health"/>
    <x v="5"/>
    <d v="2026-01-26T00:00:00"/>
    <d v="2026-02-05T00:00:00"/>
    <n v="3475"/>
    <m/>
    <s v="Pending"/>
    <s v=""/>
    <s v="Anjali T"/>
    <n v="252"/>
    <x v="1"/>
    <n v="3475"/>
    <s v="Deepak Nair"/>
  </r>
  <r>
    <s v="C20126"/>
    <s v="P-1450"/>
    <s v="City Care Clinic"/>
    <x v="5"/>
    <d v="2026-02-04T00:00:00"/>
    <d v="2026-02-23T00:00:00"/>
    <n v="6400"/>
    <n v="6227.9"/>
    <s v="Paid"/>
    <s v=""/>
    <s v="Pooja M"/>
    <n v="234"/>
    <x v="1"/>
    <n v="0"/>
    <s v="Sunita Rao"/>
  </r>
  <r>
    <s v="C20127"/>
    <s v="P-1215"/>
    <s v="City Care Clinic"/>
    <x v="7"/>
    <d v="2026-07-27T00:00:00"/>
    <d v="2026-08-04T00:00:00"/>
    <n v="5975"/>
    <m/>
    <s v="Pending"/>
    <s v=""/>
    <s v="Priya K"/>
    <n v="72"/>
    <x v="2"/>
    <n v="5975"/>
    <s v="Manish Arora"/>
  </r>
  <r>
    <s v="C20128"/>
    <s v="P-1294"/>
    <s v="Green Valley Health"/>
    <x v="1"/>
    <d v="2026-09-17T00:00:00"/>
    <d v="2026-09-24T00:00:00"/>
    <n v="3450"/>
    <m/>
    <s v="Pending"/>
    <s v=""/>
    <s v="Neha G"/>
    <n v="21"/>
    <x v="3"/>
    <n v="3450"/>
    <s v="Manish Arora"/>
  </r>
  <r>
    <s v="C20129"/>
    <s v="P-1271"/>
    <s v="Green Valley Health"/>
    <x v="1"/>
    <d v="2026-05-31T00:00:00"/>
    <d v="2026-06-03T00:00:00"/>
    <n v="8600"/>
    <n v="6471.65"/>
    <s v="Paid"/>
    <s v=""/>
    <s v="Kavita D"/>
    <n v="134"/>
    <x v="1"/>
    <n v="0"/>
    <s v="Deepak Nair"/>
  </r>
  <r>
    <s v="C20130"/>
    <s v="P-1255"/>
    <s v="Sunrise Hospital"/>
    <x v="7"/>
    <d v="2026-04-25T00:00:00"/>
    <d v="2026-04-29T00:00:00"/>
    <n v="8125"/>
    <n v="0"/>
    <s v="Denied"/>
    <s v="Timely Filing Exceeded"/>
    <s v="Anjali T"/>
    <n v="169"/>
    <x v="1"/>
    <n v="0"/>
    <s v="Deepak Nair"/>
  </r>
  <r>
    <s v="C20131"/>
    <s v="P-1354"/>
    <s v="City Care Clinic"/>
    <x v="1"/>
    <d v="2026-04-07T00:00:00"/>
    <d v="2026-04-16T00:00:00"/>
    <n v="7850"/>
    <m/>
    <s v="Pending"/>
    <s v=""/>
    <s v="Pooja M"/>
    <n v="182"/>
    <x v="1"/>
    <n v="7850"/>
    <s v="Sunita Rao"/>
  </r>
  <r>
    <s v="C20132"/>
    <s v="P-1357"/>
    <s v="Sunrise Hospital"/>
    <x v="0"/>
    <d v="2026-08-27T00:00:00"/>
    <d v="2026-08-30T00:00:00"/>
    <n v="4700"/>
    <m/>
    <s v="Pending"/>
    <s v=""/>
    <s v="Neha G"/>
    <n v="46"/>
    <x v="0"/>
    <n v="4700"/>
    <s v="Manish Arora"/>
  </r>
  <r>
    <s v="C20133"/>
    <s v="P-1140"/>
    <s v="Green Valley Health"/>
    <x v="2"/>
    <d v="2026-04-05T00:00:00"/>
    <d v="2026-04-09T00:00:00"/>
    <n v="3000"/>
    <n v="2947.83"/>
    <s v="Paid"/>
    <s v=""/>
    <s v="Amit V"/>
    <n v="189"/>
    <x v="1"/>
    <n v="0"/>
    <s v="Manish Arora"/>
  </r>
  <r>
    <s v="C20134"/>
    <s v="P-1363"/>
    <s v="Sunrise Hospital"/>
    <x v="4"/>
    <d v="2026-06-04T00:00:00"/>
    <d v="2026-06-21T00:00:00"/>
    <n v="10925"/>
    <n v="7518.84"/>
    <s v="Paid"/>
    <s v=""/>
    <s v="Neha G"/>
    <n v="116"/>
    <x v="1"/>
    <n v="0"/>
    <s v="Manish Arora"/>
  </r>
  <r>
    <s v="C20135"/>
    <s v="P-1338"/>
    <s v="City Care Clinic"/>
    <x v="0"/>
    <d v="2026-09-02T00:00:00"/>
    <d v="2026-09-14T00:00:00"/>
    <n v="7275"/>
    <m/>
    <s v="Pending"/>
    <s v=""/>
    <s v="Neha G"/>
    <n v="31"/>
    <x v="0"/>
    <n v="7275"/>
    <s v="Manish Arora"/>
  </r>
  <r>
    <s v="C20136"/>
    <s v="P-1039"/>
    <s v="Green Valley Health"/>
    <x v="7"/>
    <d v="2026-05-27T00:00:00"/>
    <d v="2026-06-04T00:00:00"/>
    <n v="6075"/>
    <n v="3587.24"/>
    <s v="Paid"/>
    <s v=""/>
    <s v="Priya K"/>
    <n v="133"/>
    <x v="1"/>
    <n v="0"/>
    <s v="Manish Arora"/>
  </r>
  <r>
    <s v="C20137"/>
    <s v="P-1145"/>
    <s v="Apex Ortho Center"/>
    <x v="3"/>
    <d v="2026-09-25T00:00:00"/>
    <d v="2026-09-29T00:00:00"/>
    <n v="475"/>
    <m/>
    <s v="Pending"/>
    <s v=""/>
    <s v="Kavita D"/>
    <n v="16"/>
    <x v="3"/>
    <n v="475"/>
    <s v="Deepak Nair"/>
  </r>
  <r>
    <s v="C20138"/>
    <s v="P-1097"/>
    <s v="Sunrise Hospital"/>
    <x v="1"/>
    <d v="2026-02-06T00:00:00"/>
    <d v="2026-02-14T00:00:00"/>
    <n v="7575"/>
    <m/>
    <s v="Pending"/>
    <s v=""/>
    <s v="Rohit B"/>
    <n v="243"/>
    <x v="1"/>
    <n v="7575"/>
    <s v="Deepak Nair"/>
  </r>
  <r>
    <s v="C20139"/>
    <s v="P-1017"/>
    <s v="Green Valley Health"/>
    <x v="7"/>
    <d v="2026-01-07T00:00:00"/>
    <d v="2026-01-15T00:00:00"/>
    <n v="4150"/>
    <m/>
    <s v="Pending"/>
    <s v=""/>
    <s v="Kavita D"/>
    <n v="273"/>
    <x v="1"/>
    <n v="4150"/>
    <s v="Deepak Nair"/>
  </r>
  <r>
    <s v="C20140"/>
    <s v="P-1465"/>
    <s v="Apex Ortho Center"/>
    <x v="4"/>
    <d v="2026-07-13T00:00:00"/>
    <d v="2026-07-16T00:00:00"/>
    <n v="13075"/>
    <n v="11761.56"/>
    <s v="Paid"/>
    <s v=""/>
    <s v="Anjali T"/>
    <n v="91"/>
    <x v="1"/>
    <n v="0"/>
    <s v="Deepak Nair"/>
  </r>
  <r>
    <s v="C20141"/>
    <s v="P-1266"/>
    <s v="Sunrise Hospital"/>
    <x v="0"/>
    <d v="2025-12-29T00:00:00"/>
    <d v="2026-01-17T00:00:00"/>
    <n v="7750"/>
    <n v="0"/>
    <s v="Denied"/>
    <s v="Patient Not Eligible"/>
    <s v="Amit V"/>
    <n v="271"/>
    <x v="1"/>
    <n v="0"/>
    <s v="Manish Arora"/>
  </r>
  <r>
    <s v="C20142"/>
    <s v="P-1366"/>
    <s v="Sunrise Hospital"/>
    <x v="4"/>
    <d v="2026-02-11T00:00:00"/>
    <d v="2026-02-27T00:00:00"/>
    <n v="6300"/>
    <n v="4191.2299999999996"/>
    <s v="Paid"/>
    <s v=""/>
    <s v="Rohit B"/>
    <n v="230"/>
    <x v="1"/>
    <n v="0"/>
    <s v="Deepak Nair"/>
  </r>
  <r>
    <s v="C20143"/>
    <s v="P-1293"/>
    <s v="Green Valley Health"/>
    <x v="6"/>
    <d v="2026-04-06T00:00:00"/>
    <d v="2026-04-24T00:00:00"/>
    <n v="6975"/>
    <n v="6079.58"/>
    <s v="Paid"/>
    <s v=""/>
    <s v="Amit V"/>
    <n v="174"/>
    <x v="1"/>
    <n v="0"/>
    <s v="Manish Arora"/>
  </r>
  <r>
    <s v="C20144"/>
    <s v="P-1370"/>
    <s v="Apex Ortho Center"/>
    <x v="6"/>
    <d v="2026-06-09T00:00:00"/>
    <d v="2026-06-16T00:00:00"/>
    <n v="750"/>
    <n v="582.5"/>
    <s v="Paid"/>
    <s v=""/>
    <s v="Rahul S"/>
    <n v="121"/>
    <x v="1"/>
    <n v="0"/>
    <s v="Manish Arora"/>
  </r>
  <r>
    <s v="C20145"/>
    <s v="P-1121"/>
    <s v="Sunrise Hospital"/>
    <x v="1"/>
    <d v="2026-02-01T00:00:00"/>
    <d v="2026-02-07T00:00:00"/>
    <n v="4850"/>
    <n v="4395.18"/>
    <s v="Paid"/>
    <s v=""/>
    <s v="Vikas R"/>
    <n v="250"/>
    <x v="1"/>
    <n v="0"/>
    <s v="Sunita Rao"/>
  </r>
  <r>
    <s v="C20146"/>
    <s v="P-1332"/>
    <s v="Sunrise Hospital"/>
    <x v="3"/>
    <d v="2026-01-09T00:00:00"/>
    <d v="2026-01-22T00:00:00"/>
    <n v="13750"/>
    <n v="10646.01"/>
    <s v="Paid"/>
    <s v=""/>
    <s v="Neha G"/>
    <n v="266"/>
    <x v="1"/>
    <n v="0"/>
    <s v="Manish Arora"/>
  </r>
  <r>
    <s v="C20147"/>
    <s v="P-1110"/>
    <s v="City Care Clinic"/>
    <x v="1"/>
    <d v="2026-03-05T00:00:00"/>
    <d v="2026-03-23T00:00:00"/>
    <n v="11925"/>
    <n v="8514.32"/>
    <s v="Paid"/>
    <s v=""/>
    <s v="Kavita D"/>
    <n v="206"/>
    <x v="1"/>
    <n v="0"/>
    <s v="Deepak Nair"/>
  </r>
  <r>
    <s v="C20148"/>
    <s v="P-1209"/>
    <s v="Sunrise Hospital"/>
    <x v="1"/>
    <d v="2026-03-03T00:00:00"/>
    <d v="2026-03-10T00:00:00"/>
    <n v="11950"/>
    <n v="0"/>
    <s v="Denied"/>
    <s v="Missing Prior Authorization"/>
    <s v="Rohit B"/>
    <n v="219"/>
    <x v="1"/>
    <n v="0"/>
    <s v="Deepak Nair"/>
  </r>
  <r>
    <s v="C20149"/>
    <s v="P-1497"/>
    <s v="City Care Clinic"/>
    <x v="2"/>
    <d v="2026-05-15T00:00:00"/>
    <d v="2026-06-02T00:00:00"/>
    <n v="11150"/>
    <m/>
    <s v="Pending"/>
    <s v=""/>
    <s v="Kavita D"/>
    <n v="135"/>
    <x v="1"/>
    <n v="11150"/>
    <s v="Deepak Nair"/>
  </r>
  <r>
    <s v="C20150"/>
    <s v="P-1044"/>
    <s v="Sunrise Hospital"/>
    <x v="3"/>
    <d v="2026-04-16T00:00:00"/>
    <d v="2026-04-28T00:00:00"/>
    <n v="6775"/>
    <n v="0"/>
    <s v="Denied"/>
    <s v="Timely Filing Exceeded"/>
    <s v="Pooja M"/>
    <n v="170"/>
    <x v="1"/>
    <n v="0"/>
    <s v="Sunita Rao"/>
  </r>
  <r>
    <s v="C20151"/>
    <s v="P-1175"/>
    <s v="Sunrise Hospital"/>
    <x v="3"/>
    <d v="2026-04-18T00:00:00"/>
    <d v="2026-04-22T00:00:00"/>
    <n v="4400"/>
    <n v="2535.87"/>
    <s v="Paid"/>
    <s v=""/>
    <s v="Vikas R"/>
    <n v="176"/>
    <x v="1"/>
    <n v="0"/>
    <s v="Sunita Rao"/>
  </r>
  <r>
    <s v="C20152"/>
    <s v="P-1094"/>
    <s v="Sunrise Hospital"/>
    <x v="0"/>
    <d v="2026-04-05T00:00:00"/>
    <d v="2026-04-20T00:00:00"/>
    <n v="9975"/>
    <n v="7045.7"/>
    <s v="Paid"/>
    <s v=""/>
    <s v="Vikas R"/>
    <n v="178"/>
    <x v="1"/>
    <n v="0"/>
    <s v="Sunita Rao"/>
  </r>
  <r>
    <s v="C20153"/>
    <s v="P-1092"/>
    <s v="Green Valley Health"/>
    <x v="1"/>
    <d v="2026-04-03T00:00:00"/>
    <d v="2026-04-20T00:00:00"/>
    <n v="8175"/>
    <n v="6801.55"/>
    <s v="Paid"/>
    <s v=""/>
    <s v="Vikas R"/>
    <n v="178"/>
    <x v="1"/>
    <n v="0"/>
    <s v="Sunita Rao"/>
  </r>
  <r>
    <s v="C20154"/>
    <s v="P-1185"/>
    <s v="Apex Ortho Center"/>
    <x v="0"/>
    <d v="2026-07-29T00:00:00"/>
    <d v="2026-08-03T00:00:00"/>
    <n v="1500"/>
    <m/>
    <s v="Pending"/>
    <s v=""/>
    <s v="Rohit B"/>
    <n v="73"/>
    <x v="2"/>
    <n v="1500"/>
    <s v="Deepak Nair"/>
  </r>
  <r>
    <s v="C20155"/>
    <s v="P-1137"/>
    <s v="City Care Clinic"/>
    <x v="3"/>
    <d v="2026-03-24T00:00:00"/>
    <d v="2026-04-04T00:00:00"/>
    <n v="13400"/>
    <n v="0"/>
    <s v="Denied"/>
    <s v="Patient Not Eligible"/>
    <s v="Amit V"/>
    <n v="194"/>
    <x v="1"/>
    <n v="0"/>
    <s v="Manish Arora"/>
  </r>
  <r>
    <s v="C20156"/>
    <s v="P-1164"/>
    <s v="Green Valley Health"/>
    <x v="3"/>
    <d v="2026-06-27T00:00:00"/>
    <d v="2026-07-04T00:00:00"/>
    <n v="6450"/>
    <n v="0"/>
    <s v="Denied"/>
    <s v="Missing Prior Authorization"/>
    <s v="Vikas R"/>
    <n v="103"/>
    <x v="1"/>
    <n v="0"/>
    <s v="Sunita Rao"/>
  </r>
  <r>
    <s v="C20157"/>
    <s v="P-1250"/>
    <s v="City Care Clinic"/>
    <x v="1"/>
    <d v="2026-06-05T00:00:00"/>
    <d v="2026-06-16T00:00:00"/>
    <n v="13575"/>
    <n v="11179.86"/>
    <s v="Paid"/>
    <s v=""/>
    <s v="Rohit B"/>
    <n v="121"/>
    <x v="1"/>
    <n v="0"/>
    <s v="Deepak Nair"/>
  </r>
  <r>
    <s v="C20158"/>
    <s v="P-1069"/>
    <s v="Apex Ortho Center"/>
    <x v="4"/>
    <d v="2026-03-03T00:00:00"/>
    <d v="2026-03-07T00:00:00"/>
    <n v="5625"/>
    <n v="4470.72"/>
    <s v="Paid"/>
    <s v=""/>
    <s v="Anjali T"/>
    <n v="222"/>
    <x v="1"/>
    <n v="0"/>
    <s v="Deepak Nair"/>
  </r>
  <r>
    <s v="C20159"/>
    <s v="P-1273"/>
    <s v="Green Valley Health"/>
    <x v="8"/>
    <d v="2026-07-06T00:00:00"/>
    <d v="2026-07-13T00:00:00"/>
    <n v="5525"/>
    <m/>
    <s v="Pending"/>
    <s v=""/>
    <s v="Vikas R"/>
    <n v="94"/>
    <x v="1"/>
    <n v="5525"/>
    <s v="Sunita Rao"/>
  </r>
  <r>
    <s v="C20160"/>
    <s v="P-1071"/>
    <s v="City Care Clinic"/>
    <x v="6"/>
    <d v="2026-09-08T00:00:00"/>
    <d v="2026-09-22T00:00:00"/>
    <n v="6075"/>
    <n v="5012.41"/>
    <s v="Paid"/>
    <s v=""/>
    <s v="Anjali T"/>
    <n v="23"/>
    <x v="3"/>
    <n v="0"/>
    <s v="Deepak Nair"/>
  </r>
  <r>
    <s v="C20161"/>
    <s v="P-1110"/>
    <s v="Apex Ortho Center"/>
    <x v="2"/>
    <d v="2025-12-25T00:00:00"/>
    <d v="2026-01-06T00:00:00"/>
    <n v="2000"/>
    <m/>
    <s v="Pending"/>
    <s v=""/>
    <s v="Pooja M"/>
    <n v="282"/>
    <x v="1"/>
    <n v="2000"/>
    <s v="Sunita Rao"/>
  </r>
  <r>
    <s v="C20162"/>
    <s v="P-1250"/>
    <s v="Green Valley Health"/>
    <x v="7"/>
    <d v="2026-04-20T00:00:00"/>
    <d v="2026-05-01T00:00:00"/>
    <n v="2600"/>
    <n v="2006.71"/>
    <s v="Paid"/>
    <s v=""/>
    <s v="Sandeep Y"/>
    <n v="167"/>
    <x v="1"/>
    <n v="0"/>
    <s v="Sunita Rao"/>
  </r>
  <r>
    <s v="C20163"/>
    <s v="P-1085"/>
    <s v="Apex Ortho Center"/>
    <x v="8"/>
    <d v="2026-09-01T00:00:00"/>
    <d v="2026-09-12T00:00:00"/>
    <n v="5950"/>
    <n v="4544.91"/>
    <s v="Paid"/>
    <s v=""/>
    <s v="Neha G"/>
    <n v="33"/>
    <x v="0"/>
    <n v="0"/>
    <s v="Manish Arora"/>
  </r>
  <r>
    <s v="C20164"/>
    <s v="P-1411"/>
    <s v="Sunrise Hospital"/>
    <x v="3"/>
    <d v="2026-09-19T00:00:00"/>
    <d v="2026-09-24T00:00:00"/>
    <n v="9050"/>
    <m/>
    <s v="Pending"/>
    <s v=""/>
    <s v="Sandeep Y"/>
    <n v="21"/>
    <x v="3"/>
    <n v="9050"/>
    <s v="Sunita Rao"/>
  </r>
  <r>
    <s v="C20165"/>
    <s v="P-1139"/>
    <s v="City Care Clinic"/>
    <x v="3"/>
    <d v="2026-06-04T00:00:00"/>
    <d v="2026-06-07T00:00:00"/>
    <n v="10300"/>
    <n v="0"/>
    <s v="Denied"/>
    <s v="Medical Necessity Not Met"/>
    <s v="Kavita D"/>
    <n v="130"/>
    <x v="1"/>
    <n v="0"/>
    <s v="Deepak Nair"/>
  </r>
  <r>
    <s v="C20166"/>
    <s v="P-1037"/>
    <s v="City Care Clinic"/>
    <x v="1"/>
    <d v="2026-05-16T00:00:00"/>
    <d v="2026-06-03T00:00:00"/>
    <n v="8625"/>
    <m/>
    <s v="Pending"/>
    <s v=""/>
    <s v="Pooja M"/>
    <n v="134"/>
    <x v="1"/>
    <n v="8625"/>
    <s v="Sunita Rao"/>
  </r>
  <r>
    <s v="C20167"/>
    <s v="P-1454"/>
    <s v="Sunrise Hospital"/>
    <x v="2"/>
    <d v="2026-06-29T00:00:00"/>
    <d v="2026-07-11T00:00:00"/>
    <n v="7000"/>
    <m/>
    <s v="Pending"/>
    <s v=""/>
    <s v="Vikas R"/>
    <n v="96"/>
    <x v="1"/>
    <n v="7000"/>
    <s v="Sunita Rao"/>
  </r>
  <r>
    <s v="C20168"/>
    <s v="P-1321"/>
    <s v="City Care Clinic"/>
    <x v="0"/>
    <d v="2026-06-10T00:00:00"/>
    <d v="2026-06-24T00:00:00"/>
    <n v="1075"/>
    <n v="0"/>
    <s v="Denied"/>
    <s v="Patient Not Eligible"/>
    <s v="Vikas R"/>
    <n v="113"/>
    <x v="1"/>
    <n v="0"/>
    <s v="Sunita Rao"/>
  </r>
  <r>
    <s v="C20169"/>
    <s v="P-1494"/>
    <s v="Green Valley Health"/>
    <x v="1"/>
    <d v="2026-07-27T00:00:00"/>
    <d v="2026-08-01T00:00:00"/>
    <n v="7350"/>
    <n v="5529.44"/>
    <s v="Paid"/>
    <s v=""/>
    <s v="Amit V"/>
    <n v="75"/>
    <x v="2"/>
    <n v="0"/>
    <s v="Manish Arora"/>
  </r>
  <r>
    <s v="C20170"/>
    <s v="P-1242"/>
    <s v="City Care Clinic"/>
    <x v="1"/>
    <d v="2026-09-06T00:00:00"/>
    <d v="2026-09-17T00:00:00"/>
    <n v="8200"/>
    <m/>
    <s v="Pending"/>
    <s v=""/>
    <s v="Neha G"/>
    <n v="28"/>
    <x v="3"/>
    <n v="8200"/>
    <s v="Manish Arora"/>
  </r>
  <r>
    <s v="C20171"/>
    <s v="P-1278"/>
    <s v="Green Valley Health"/>
    <x v="1"/>
    <d v="2026-05-09T00:00:00"/>
    <d v="2026-05-19T00:00:00"/>
    <n v="6900"/>
    <n v="3797.89"/>
    <s v="Paid"/>
    <s v=""/>
    <s v="Rohit B"/>
    <n v="149"/>
    <x v="1"/>
    <n v="0"/>
    <s v="Deepak Nair"/>
  </r>
  <r>
    <s v="C20172"/>
    <s v="P-1287"/>
    <s v="Apex Ortho Center"/>
    <x v="4"/>
    <d v="2026-08-21T00:00:00"/>
    <d v="2026-09-10T00:00:00"/>
    <n v="2300"/>
    <m/>
    <s v="Pending"/>
    <s v=""/>
    <s v="Priya K"/>
    <n v="35"/>
    <x v="0"/>
    <n v="2300"/>
    <s v="Manish Arora"/>
  </r>
  <r>
    <s v="C20173"/>
    <s v="P-1422"/>
    <s v="Sunrise Hospital"/>
    <x v="1"/>
    <d v="2025-12-28T00:00:00"/>
    <d v="2026-01-10T00:00:00"/>
    <n v="5600"/>
    <n v="5509.06"/>
    <s v="Paid"/>
    <s v=""/>
    <s v="Kavita D"/>
    <n v="278"/>
    <x v="1"/>
    <n v="0"/>
    <s v="Deepak Nair"/>
  </r>
  <r>
    <s v="C20174"/>
    <s v="P-1187"/>
    <s v="Green Valley Health"/>
    <x v="4"/>
    <d v="2026-08-28T00:00:00"/>
    <d v="2026-09-09T00:00:00"/>
    <n v="9750"/>
    <m/>
    <s v="Pending"/>
    <s v=""/>
    <s v="Neha G"/>
    <n v="36"/>
    <x v="0"/>
    <n v="9750"/>
    <s v="Manish Arora"/>
  </r>
  <r>
    <s v="C20175"/>
    <s v="P-1377"/>
    <s v="Sunrise Hospital"/>
    <x v="6"/>
    <d v="2026-06-22T00:00:00"/>
    <d v="2026-07-05T00:00:00"/>
    <n v="4850"/>
    <m/>
    <s v="Pending"/>
    <s v=""/>
    <s v="Priya K"/>
    <n v="102"/>
    <x v="1"/>
    <n v="4850"/>
    <s v="Manish Arora"/>
  </r>
  <r>
    <s v="C20176"/>
    <s v="P-1262"/>
    <s v="Green Valley Health"/>
    <x v="1"/>
    <d v="2026-02-10T00:00:00"/>
    <d v="2026-02-22T00:00:00"/>
    <n v="3175"/>
    <m/>
    <s v="Pending"/>
    <s v=""/>
    <s v="Kavita D"/>
    <n v="235"/>
    <x v="1"/>
    <n v="3175"/>
    <s v="Deepak Nair"/>
  </r>
  <r>
    <s v="C20177"/>
    <s v="P-1355"/>
    <s v="Green Valley Health"/>
    <x v="4"/>
    <d v="2026-07-13T00:00:00"/>
    <d v="2026-07-31T00:00:00"/>
    <n v="1650"/>
    <n v="1456.55"/>
    <s v="Paid"/>
    <s v=""/>
    <s v="Sandeep Y"/>
    <n v="76"/>
    <x v="2"/>
    <n v="0"/>
    <s v="Sunita Rao"/>
  </r>
  <r>
    <s v="C20178"/>
    <s v="P-1424"/>
    <s v="Sunrise Hospital"/>
    <x v="0"/>
    <d v="2026-06-25T00:00:00"/>
    <d v="2026-07-08T00:00:00"/>
    <n v="4975"/>
    <n v="4622.87"/>
    <s v="Paid"/>
    <s v=""/>
    <s v="Vikas R"/>
    <n v="99"/>
    <x v="1"/>
    <n v="0"/>
    <s v="Sunita Rao"/>
  </r>
  <r>
    <s v="C20179"/>
    <s v="P-1118"/>
    <s v="Sunrise Hospital"/>
    <x v="5"/>
    <d v="2026-02-23T00:00:00"/>
    <d v="2026-03-06T00:00:00"/>
    <n v="4400"/>
    <n v="3745.33"/>
    <s v="Paid"/>
    <s v=""/>
    <s v="Anjali T"/>
    <n v="223"/>
    <x v="1"/>
    <n v="0"/>
    <s v="Deepak Nair"/>
  </r>
  <r>
    <s v="C20180"/>
    <s v="P-1477"/>
    <s v="Sunrise Hospital"/>
    <x v="1"/>
    <d v="2026-02-27T00:00:00"/>
    <d v="2026-03-10T00:00:00"/>
    <n v="7225"/>
    <n v="5263.58"/>
    <s v="Paid"/>
    <s v=""/>
    <s v="Priya K"/>
    <n v="219"/>
    <x v="1"/>
    <n v="0"/>
    <s v="Manish Arora"/>
  </r>
  <r>
    <s v="C20181"/>
    <s v="P-1207"/>
    <s v="Apex Ortho Center"/>
    <x v="7"/>
    <d v="2026-01-13T00:00:00"/>
    <d v="2026-01-22T00:00:00"/>
    <n v="7600"/>
    <n v="6921.62"/>
    <s v="Paid"/>
    <s v=""/>
    <s v="Rohit B"/>
    <n v="266"/>
    <x v="1"/>
    <n v="0"/>
    <s v="Deepak Nair"/>
  </r>
  <r>
    <s v="C20182"/>
    <s v="P-1332"/>
    <s v="Apex Ortho Center"/>
    <x v="4"/>
    <d v="2026-08-28T00:00:00"/>
    <d v="2026-09-05T00:00:00"/>
    <n v="9850"/>
    <n v="9272.93"/>
    <s v="Paid"/>
    <s v=""/>
    <s v="Kavita D"/>
    <n v="40"/>
    <x v="0"/>
    <n v="0"/>
    <s v="Deepak Nair"/>
  </r>
  <r>
    <s v="C20183"/>
    <s v="P-1110"/>
    <s v="Apex Ortho Center"/>
    <x v="8"/>
    <d v="2026-07-21T00:00:00"/>
    <d v="2026-07-28T00:00:00"/>
    <n v="10250"/>
    <m/>
    <s v="Pending"/>
    <s v=""/>
    <s v="Amit V"/>
    <n v="79"/>
    <x v="2"/>
    <n v="10250"/>
    <s v="Manish Arora"/>
  </r>
  <r>
    <s v="C20184"/>
    <s v="P-1459"/>
    <s v="Apex Ortho Center"/>
    <x v="7"/>
    <d v="2026-08-07T00:00:00"/>
    <d v="2026-08-15T00:00:00"/>
    <n v="3025"/>
    <m/>
    <s v="Pending"/>
    <s v=""/>
    <s v="Vikas R"/>
    <n v="61"/>
    <x v="2"/>
    <n v="3025"/>
    <s v="Sunita Rao"/>
  </r>
  <r>
    <s v="C20185"/>
    <s v="P-1138"/>
    <s v="Sunrise Hospital"/>
    <x v="4"/>
    <d v="2026-02-24T00:00:00"/>
    <d v="2026-03-03T00:00:00"/>
    <n v="8575"/>
    <m/>
    <s v="Pending"/>
    <s v=""/>
    <s v="Vikas R"/>
    <n v="226"/>
    <x v="1"/>
    <n v="8575"/>
    <s v="Sunita Rao"/>
  </r>
  <r>
    <s v="C20186"/>
    <s v="P-1286"/>
    <s v="City Care Clinic"/>
    <x v="1"/>
    <d v="2026-05-08T00:00:00"/>
    <d v="2026-05-21T00:00:00"/>
    <n v="6125"/>
    <n v="4888.76"/>
    <s v="Paid"/>
    <s v=""/>
    <s v="Rahul S"/>
    <n v="147"/>
    <x v="1"/>
    <n v="0"/>
    <s v="Manish Arora"/>
  </r>
  <r>
    <s v="C20187"/>
    <s v="P-1103"/>
    <s v="Green Valley Health"/>
    <x v="0"/>
    <d v="2026-06-03T00:00:00"/>
    <d v="2026-06-08T00:00:00"/>
    <n v="400"/>
    <n v="399.49"/>
    <s v="Paid"/>
    <s v=""/>
    <s v="Vikas R"/>
    <n v="129"/>
    <x v="1"/>
    <n v="0"/>
    <s v="Sunita Rao"/>
  </r>
  <r>
    <s v="C20188"/>
    <s v="P-1423"/>
    <s v="Apex Ortho Center"/>
    <x v="4"/>
    <d v="2026-06-09T00:00:00"/>
    <d v="2026-06-29T00:00:00"/>
    <n v="10425"/>
    <n v="8626.8799999999992"/>
    <s v="Paid"/>
    <s v=""/>
    <s v="Sandeep Y"/>
    <n v="108"/>
    <x v="1"/>
    <n v="0"/>
    <s v="Sunita Rao"/>
  </r>
  <r>
    <s v="C20189"/>
    <s v="P-1371"/>
    <s v="City Care Clinic"/>
    <x v="1"/>
    <d v="2026-04-21T00:00:00"/>
    <d v="2026-05-08T00:00:00"/>
    <n v="14900"/>
    <m/>
    <s v="Pending"/>
    <s v=""/>
    <s v="Rahul S"/>
    <n v="160"/>
    <x v="1"/>
    <n v="14900"/>
    <s v="Manish Arora"/>
  </r>
  <r>
    <s v="C20190"/>
    <s v="P-1284"/>
    <s v="Apex Ortho Center"/>
    <x v="1"/>
    <d v="2026-03-08T00:00:00"/>
    <d v="2026-03-28T00:00:00"/>
    <n v="3325"/>
    <n v="1864.65"/>
    <s v="Paid"/>
    <s v=""/>
    <s v="Anjali T"/>
    <n v="201"/>
    <x v="1"/>
    <n v="0"/>
    <s v="Deepak Nair"/>
  </r>
  <r>
    <s v="C20191"/>
    <s v="P-1005"/>
    <s v="Apex Ortho Center"/>
    <x v="6"/>
    <d v="2025-12-28T00:00:00"/>
    <d v="2026-01-06T00:00:00"/>
    <n v="1925"/>
    <m/>
    <s v="Pending"/>
    <s v=""/>
    <s v="Anjali T"/>
    <n v="282"/>
    <x v="1"/>
    <n v="1925"/>
    <s v="Deepak Nair"/>
  </r>
  <r>
    <s v="C20192"/>
    <s v="P-1393"/>
    <s v="City Care Clinic"/>
    <x v="7"/>
    <d v="2026-07-12T00:00:00"/>
    <d v="2026-07-24T00:00:00"/>
    <n v="13900"/>
    <m/>
    <s v="Pending"/>
    <s v=""/>
    <s v="Anjali T"/>
    <n v="83"/>
    <x v="2"/>
    <n v="13900"/>
    <s v="Deepak Nair"/>
  </r>
  <r>
    <s v="C20193"/>
    <s v="P-1319"/>
    <s v="City Care Clinic"/>
    <x v="1"/>
    <d v="2026-07-09T00:00:00"/>
    <d v="2026-07-25T00:00:00"/>
    <n v="6700"/>
    <m/>
    <s v="Pending"/>
    <s v=""/>
    <s v="Amit V"/>
    <n v="82"/>
    <x v="2"/>
    <n v="6700"/>
    <s v="Manish Arora"/>
  </r>
  <r>
    <s v="C20194"/>
    <s v="P-1186"/>
    <s v="Green Valley Health"/>
    <x v="4"/>
    <d v="2026-04-14T00:00:00"/>
    <d v="2026-04-27T00:00:00"/>
    <n v="10225"/>
    <n v="6897.49"/>
    <s v="Paid"/>
    <s v=""/>
    <s v="Sandeep Y"/>
    <n v="171"/>
    <x v="1"/>
    <n v="0"/>
    <s v="Sunita Rao"/>
  </r>
  <r>
    <s v="C20195"/>
    <s v="P-1024"/>
    <s v="Sunrise Hospital"/>
    <x v="0"/>
    <d v="2026-01-22T00:00:00"/>
    <d v="2026-02-04T00:00:00"/>
    <n v="2700"/>
    <n v="1703.8"/>
    <s v="Paid"/>
    <s v=""/>
    <s v="Neha G"/>
    <n v="253"/>
    <x v="1"/>
    <n v="0"/>
    <s v="Manish Arora"/>
  </r>
  <r>
    <s v="C20196"/>
    <s v="P-1011"/>
    <s v="City Care Clinic"/>
    <x v="3"/>
    <d v="2026-03-18T00:00:00"/>
    <d v="2026-04-01T00:00:00"/>
    <n v="3000"/>
    <n v="1896.16"/>
    <s v="Paid"/>
    <s v=""/>
    <s v="Rahul S"/>
    <n v="197"/>
    <x v="1"/>
    <n v="0"/>
    <s v="Manish Arora"/>
  </r>
  <r>
    <s v="C20197"/>
    <s v="P-1430"/>
    <s v="Sunrise Hospital"/>
    <x v="1"/>
    <d v="2026-07-20T00:00:00"/>
    <d v="2026-07-26T00:00:00"/>
    <n v="8525"/>
    <m/>
    <s v="Pending"/>
    <s v=""/>
    <s v="Amit V"/>
    <n v="81"/>
    <x v="2"/>
    <n v="8525"/>
    <s v="Manish Arora"/>
  </r>
  <r>
    <s v="C20198"/>
    <s v="P-1480"/>
    <s v="Sunrise Hospital"/>
    <x v="0"/>
    <d v="2026-06-09T00:00:00"/>
    <d v="2026-06-14T00:00:00"/>
    <n v="3050"/>
    <n v="2327.17"/>
    <s v="Paid"/>
    <s v=""/>
    <s v="Amit V"/>
    <n v="123"/>
    <x v="1"/>
    <n v="0"/>
    <s v="Manish Arora"/>
  </r>
  <r>
    <s v="C20199"/>
    <s v="P-1164"/>
    <s v="Sunrise Hospital"/>
    <x v="6"/>
    <d v="2026-05-15T00:00:00"/>
    <d v="2026-05-20T00:00:00"/>
    <n v="10275"/>
    <m/>
    <s v="Pending"/>
    <s v=""/>
    <s v="Rohit B"/>
    <n v="148"/>
    <x v="1"/>
    <n v="10275"/>
    <s v="Deepak Nair"/>
  </r>
  <r>
    <s v="C20200"/>
    <s v="P-1028"/>
    <s v="Sunrise Hospital"/>
    <x v="0"/>
    <d v="2025-12-30T00:00:00"/>
    <d v="2026-01-06T00:00:00"/>
    <n v="9975"/>
    <m/>
    <s v="Pending"/>
    <s v=""/>
    <s v="Pooja M"/>
    <n v="282"/>
    <x v="1"/>
    <n v="9975"/>
    <s v="Sunita Rao"/>
  </r>
  <r>
    <s v="C20201"/>
    <s v="P-1473"/>
    <s v="City Care Clinic"/>
    <x v="1"/>
    <d v="2026-07-29T00:00:00"/>
    <d v="2026-08-14T00:00:00"/>
    <n v="13200"/>
    <m/>
    <s v="Pending"/>
    <s v=""/>
    <s v="Anjali T"/>
    <n v="62"/>
    <x v="2"/>
    <n v="13200"/>
    <s v="Deepak Nair"/>
  </r>
  <r>
    <s v="C20202"/>
    <s v="P-1256"/>
    <s v="Sunrise Hospital"/>
    <x v="3"/>
    <d v="2026-07-26T00:00:00"/>
    <d v="2026-08-12T00:00:00"/>
    <n v="11025"/>
    <m/>
    <s v="Pending"/>
    <s v=""/>
    <s v="Rohit B"/>
    <n v="64"/>
    <x v="2"/>
    <n v="11025"/>
    <s v="Deepak Nair"/>
  </r>
  <r>
    <s v="C20203"/>
    <s v="P-1023"/>
    <s v="City Care Clinic"/>
    <x v="7"/>
    <d v="2026-01-03T00:00:00"/>
    <d v="2026-01-22T00:00:00"/>
    <n v="1100"/>
    <n v="745.67"/>
    <s v="Paid"/>
    <s v=""/>
    <s v="Amit V"/>
    <n v="266"/>
    <x v="1"/>
    <n v="0"/>
    <s v="Manish Arora"/>
  </r>
  <r>
    <s v="C20204"/>
    <s v="P-1377"/>
    <s v="Apex Ortho Center"/>
    <x v="1"/>
    <d v="2026-09-15T00:00:00"/>
    <d v="2026-10-02T00:00:00"/>
    <n v="8700"/>
    <m/>
    <s v="Pending"/>
    <s v=""/>
    <s v="Anjali T"/>
    <n v="13"/>
    <x v="3"/>
    <n v="8700"/>
    <s v="Deepak Nair"/>
  </r>
  <r>
    <s v="C20205"/>
    <s v="P-1459"/>
    <s v="Green Valley Health"/>
    <x v="1"/>
    <d v="2026-07-21T00:00:00"/>
    <d v="2026-07-25T00:00:00"/>
    <n v="3525"/>
    <m/>
    <s v="Pending"/>
    <s v=""/>
    <s v="Amit V"/>
    <n v="82"/>
    <x v="2"/>
    <n v="3525"/>
    <s v="Manish Arora"/>
  </r>
  <r>
    <s v="C20206"/>
    <s v="P-1445"/>
    <s v="City Care Clinic"/>
    <x v="2"/>
    <d v="2026-03-08T00:00:00"/>
    <d v="2026-03-14T00:00:00"/>
    <n v="2950"/>
    <n v="0"/>
    <s v="Denied"/>
    <s v="Missing Prior Authorization"/>
    <s v="Sandeep Y"/>
    <n v="215"/>
    <x v="1"/>
    <n v="0"/>
    <s v="Sunita Rao"/>
  </r>
  <r>
    <s v="C20207"/>
    <s v="P-1250"/>
    <s v="Apex Ortho Center"/>
    <x v="5"/>
    <d v="2026-09-09T00:00:00"/>
    <d v="2026-09-23T00:00:00"/>
    <n v="11900"/>
    <n v="8830.7199999999993"/>
    <s v="Paid"/>
    <s v=""/>
    <s v="Neha G"/>
    <n v="22"/>
    <x v="3"/>
    <n v="0"/>
    <s v="Manish Arora"/>
  </r>
  <r>
    <s v="C20208"/>
    <s v="P-1036"/>
    <s v="Green Valley Health"/>
    <x v="6"/>
    <d v="2026-02-01T00:00:00"/>
    <d v="2026-02-07T00:00:00"/>
    <n v="14500"/>
    <n v="13696.07"/>
    <s v="Paid"/>
    <s v=""/>
    <s v="Rohit B"/>
    <n v="250"/>
    <x v="1"/>
    <n v="0"/>
    <s v="Deepak Nair"/>
  </r>
  <r>
    <s v="C20209"/>
    <s v="P-1489"/>
    <s v="Sunrise Hospital"/>
    <x v="6"/>
    <d v="2026-01-27T00:00:00"/>
    <d v="2026-02-03T00:00:00"/>
    <n v="9650"/>
    <n v="9341.0499999999993"/>
    <s v="Paid"/>
    <s v=""/>
    <s v="Priya K"/>
    <n v="254"/>
    <x v="1"/>
    <n v="0"/>
    <s v="Manish Arora"/>
  </r>
  <r>
    <s v="C20210"/>
    <s v="P-1250"/>
    <s v="City Care Clinic"/>
    <x v="1"/>
    <d v="2026-07-25T00:00:00"/>
    <d v="2026-08-02T00:00:00"/>
    <n v="10225"/>
    <n v="7766.46"/>
    <s v="Paid"/>
    <s v=""/>
    <s v="Neha G"/>
    <n v="74"/>
    <x v="2"/>
    <n v="0"/>
    <s v="Manish Arora"/>
  </r>
  <r>
    <s v="C20211"/>
    <s v="P-1220"/>
    <s v="Green Valley Health"/>
    <x v="1"/>
    <d v="2026-09-17T00:00:00"/>
    <d v="2026-09-30T00:00:00"/>
    <n v="5325"/>
    <m/>
    <s v="Pending"/>
    <s v=""/>
    <s v="Pooja M"/>
    <n v="15"/>
    <x v="3"/>
    <n v="5325"/>
    <s v="Sunita Rao"/>
  </r>
  <r>
    <s v="C20212"/>
    <s v="P-1355"/>
    <s v="Green Valley Health"/>
    <x v="1"/>
    <d v="2026-05-31T00:00:00"/>
    <d v="2026-06-11T00:00:00"/>
    <n v="5625"/>
    <n v="3417.82"/>
    <s v="Paid"/>
    <s v=""/>
    <s v="Sandeep Y"/>
    <n v="126"/>
    <x v="1"/>
    <n v="0"/>
    <s v="Sunita Rao"/>
  </r>
  <r>
    <s v="C20213"/>
    <s v="P-1035"/>
    <s v="Sunrise Hospital"/>
    <x v="2"/>
    <d v="2026-02-18T00:00:00"/>
    <d v="2026-03-01T00:00:00"/>
    <n v="9100"/>
    <n v="5808.26"/>
    <s v="Paid"/>
    <s v=""/>
    <s v="Pooja M"/>
    <n v="228"/>
    <x v="1"/>
    <n v="0"/>
    <s v="Sunita Rao"/>
  </r>
  <r>
    <s v="C20214"/>
    <s v="P-1419"/>
    <s v="Green Valley Health"/>
    <x v="4"/>
    <d v="2026-05-23T00:00:00"/>
    <d v="2026-06-08T00:00:00"/>
    <n v="5400"/>
    <n v="4002.07"/>
    <s v="Paid"/>
    <s v=""/>
    <s v="Amit V"/>
    <n v="129"/>
    <x v="1"/>
    <n v="0"/>
    <s v="Manish Arora"/>
  </r>
  <r>
    <s v="C20215"/>
    <s v="P-1360"/>
    <s v="Green Valley Health"/>
    <x v="4"/>
    <d v="2026-09-11T00:00:00"/>
    <d v="2026-09-17T00:00:00"/>
    <n v="2725"/>
    <m/>
    <s v="Pending"/>
    <s v=""/>
    <s v="Kavita D"/>
    <n v="28"/>
    <x v="3"/>
    <n v="2725"/>
    <s v="Deepak Nair"/>
  </r>
  <r>
    <s v="C20216"/>
    <s v="P-1146"/>
    <s v="City Care Clinic"/>
    <x v="2"/>
    <d v="2026-02-18T00:00:00"/>
    <d v="2026-03-02T00:00:00"/>
    <n v="3450"/>
    <m/>
    <s v="Pending"/>
    <s v=""/>
    <s v="Anjali T"/>
    <n v="227"/>
    <x v="1"/>
    <n v="3450"/>
    <s v="Deepak Nair"/>
  </r>
  <r>
    <s v="C20217"/>
    <s v="P-1327"/>
    <s v="City Care Clinic"/>
    <x v="3"/>
    <d v="2026-04-08T00:00:00"/>
    <d v="2026-04-26T00:00:00"/>
    <n v="10200"/>
    <n v="6621.55"/>
    <s v="Paid"/>
    <s v=""/>
    <s v="Pooja M"/>
    <n v="172"/>
    <x v="1"/>
    <n v="0"/>
    <s v="Sunita Rao"/>
  </r>
  <r>
    <s v="C20218"/>
    <s v="P-1125"/>
    <s v="City Care Clinic"/>
    <x v="3"/>
    <d v="2026-05-08T00:00:00"/>
    <d v="2026-05-25T00:00:00"/>
    <n v="7150"/>
    <n v="6094.86"/>
    <s v="Paid"/>
    <s v=""/>
    <s v="Amit V"/>
    <n v="143"/>
    <x v="1"/>
    <n v="0"/>
    <s v="Manish Arora"/>
  </r>
  <r>
    <s v="C20219"/>
    <s v="P-1393"/>
    <s v="City Care Clinic"/>
    <x v="0"/>
    <d v="2026-04-24T00:00:00"/>
    <d v="2026-05-09T00:00:00"/>
    <n v="11050"/>
    <n v="10453.82"/>
    <s v="Paid"/>
    <s v=""/>
    <s v="Priya K"/>
    <n v="159"/>
    <x v="1"/>
    <n v="0"/>
    <s v="Manish Arora"/>
  </r>
  <r>
    <s v="C20220"/>
    <s v="P-1008"/>
    <s v="Apex Ortho Center"/>
    <x v="1"/>
    <d v="2026-08-12T00:00:00"/>
    <d v="2026-08-21T00:00:00"/>
    <n v="2550"/>
    <m/>
    <s v="Pending"/>
    <s v=""/>
    <s v="Kavita D"/>
    <n v="55"/>
    <x v="0"/>
    <n v="2550"/>
    <s v="Deepak Nair"/>
  </r>
  <r>
    <s v="C20221"/>
    <s v="P-1161"/>
    <s v="Green Valley Health"/>
    <x v="2"/>
    <d v="2026-06-23T00:00:00"/>
    <d v="2026-06-26T00:00:00"/>
    <n v="4275"/>
    <n v="3245.49"/>
    <s v="Paid"/>
    <s v=""/>
    <s v="Kavita D"/>
    <n v="111"/>
    <x v="1"/>
    <n v="0"/>
    <s v="Deepak Nair"/>
  </r>
  <r>
    <s v="C20222"/>
    <s v="P-1202"/>
    <s v="Green Valley Health"/>
    <x v="6"/>
    <d v="2026-01-22T00:00:00"/>
    <d v="2026-02-01T00:00:00"/>
    <n v="825"/>
    <m/>
    <s v="Pending"/>
    <s v=""/>
    <s v="Rohit B"/>
    <n v="256"/>
    <x v="1"/>
    <n v="825"/>
    <s v="Deepak Nair"/>
  </r>
  <r>
    <s v="C20223"/>
    <s v="P-1335"/>
    <s v="Green Valley Health"/>
    <x v="6"/>
    <d v="2026-02-22T00:00:00"/>
    <d v="2026-02-26T00:00:00"/>
    <n v="2000"/>
    <m/>
    <s v="Pending"/>
    <s v=""/>
    <s v="Neha G"/>
    <n v="231"/>
    <x v="1"/>
    <n v="2000"/>
    <s v="Manish Arora"/>
  </r>
  <r>
    <s v="C20224"/>
    <s v="P-1073"/>
    <s v="Green Valley Health"/>
    <x v="1"/>
    <d v="2026-09-14T00:00:00"/>
    <d v="2026-09-23T00:00:00"/>
    <n v="13025"/>
    <m/>
    <s v="Pending"/>
    <s v=""/>
    <s v="Priya K"/>
    <n v="22"/>
    <x v="3"/>
    <n v="13025"/>
    <s v="Manish Arora"/>
  </r>
  <r>
    <s v="C20225"/>
    <s v="P-1452"/>
    <s v="City Care Clinic"/>
    <x v="3"/>
    <d v="2025-12-25T00:00:00"/>
    <d v="2026-01-02T00:00:00"/>
    <n v="6775"/>
    <n v="0"/>
    <s v="Denied"/>
    <s v="Coding Error"/>
    <s v="Amit V"/>
    <n v="286"/>
    <x v="1"/>
    <n v="0"/>
    <s v="Manish Arora"/>
  </r>
  <r>
    <s v="C20226"/>
    <s v="P-1458"/>
    <s v="City Care Clinic"/>
    <x v="1"/>
    <d v="2025-12-26T00:00:00"/>
    <d v="2026-01-09T00:00:00"/>
    <n v="9650"/>
    <m/>
    <s v="Pending"/>
    <s v=""/>
    <s v="Vikas R"/>
    <n v="279"/>
    <x v="1"/>
    <n v="9650"/>
    <s v="Sunita Rao"/>
  </r>
  <r>
    <s v="C20227"/>
    <s v="P-1397"/>
    <s v="City Care Clinic"/>
    <x v="4"/>
    <d v="2026-09-12T00:00:00"/>
    <d v="2026-10-02T00:00:00"/>
    <n v="13950"/>
    <m/>
    <s v="Pending"/>
    <s v=""/>
    <s v="Rohit B"/>
    <n v="13"/>
    <x v="3"/>
    <n v="13950"/>
    <s v="Deepak Nair"/>
  </r>
  <r>
    <s v="C20228"/>
    <s v="P-1157"/>
    <s v="Apex Ortho Center"/>
    <x v="4"/>
    <d v="2026-02-28T00:00:00"/>
    <d v="2026-03-05T00:00:00"/>
    <n v="14825"/>
    <n v="11554.14"/>
    <s v="Paid"/>
    <s v=""/>
    <s v="Neha G"/>
    <n v="224"/>
    <x v="1"/>
    <n v="0"/>
    <s v="Manish Arora"/>
  </r>
  <r>
    <s v="C20229"/>
    <s v="P-1285"/>
    <s v="City Care Clinic"/>
    <x v="3"/>
    <d v="2026-04-21T00:00:00"/>
    <d v="2026-05-07T00:00:00"/>
    <n v="12225"/>
    <n v="9208.61"/>
    <s v="Paid"/>
    <s v=""/>
    <s v="Priya K"/>
    <n v="161"/>
    <x v="1"/>
    <n v="0"/>
    <s v="Manish Arora"/>
  </r>
  <r>
    <s v="C20230"/>
    <s v="P-1268"/>
    <s v="Sunrise Hospital"/>
    <x v="3"/>
    <d v="2026-09-08T00:00:00"/>
    <d v="2026-09-15T00:00:00"/>
    <n v="3975"/>
    <m/>
    <s v="Pending"/>
    <s v=""/>
    <s v="Kavita D"/>
    <n v="30"/>
    <x v="3"/>
    <n v="3975"/>
    <s v="Deepak Nair"/>
  </r>
  <r>
    <s v="C20231"/>
    <s v="P-1377"/>
    <s v="Green Valley Health"/>
    <x v="1"/>
    <d v="2026-02-14T00:00:00"/>
    <d v="2026-03-02T00:00:00"/>
    <n v="550"/>
    <n v="329.61"/>
    <s v="Paid"/>
    <s v=""/>
    <s v="Rohit B"/>
    <n v="227"/>
    <x v="1"/>
    <n v="0"/>
    <s v="Deepak Nair"/>
  </r>
  <r>
    <s v="C20232"/>
    <s v="P-1390"/>
    <s v="City Care Clinic"/>
    <x v="3"/>
    <d v="2025-12-31T00:00:00"/>
    <d v="2026-01-15T00:00:00"/>
    <n v="3100"/>
    <n v="0"/>
    <s v="Denied"/>
    <s v="Coding Error"/>
    <s v="Sandeep Y"/>
    <n v="273"/>
    <x v="1"/>
    <n v="0"/>
    <s v="Sunita Rao"/>
  </r>
  <r>
    <s v="C20233"/>
    <s v="P-1458"/>
    <s v="Green Valley Health"/>
    <x v="1"/>
    <d v="2026-02-01T00:00:00"/>
    <d v="2026-02-10T00:00:00"/>
    <n v="6975"/>
    <n v="5152.07"/>
    <s v="Paid"/>
    <s v=""/>
    <s v="Rohit B"/>
    <n v="247"/>
    <x v="1"/>
    <n v="0"/>
    <s v="Deepak Nair"/>
  </r>
  <r>
    <s v="C20234"/>
    <s v="P-1132"/>
    <s v="Sunrise Hospital"/>
    <x v="3"/>
    <d v="2026-02-21T00:00:00"/>
    <d v="2026-03-12T00:00:00"/>
    <n v="2775"/>
    <n v="2449.48"/>
    <s v="Paid"/>
    <s v=""/>
    <s v="Vikas R"/>
    <n v="217"/>
    <x v="1"/>
    <n v="0"/>
    <s v="Sunita Rao"/>
  </r>
  <r>
    <s v="C20235"/>
    <s v="P-1170"/>
    <s v="Green Valley Health"/>
    <x v="1"/>
    <d v="2026-08-18T00:00:00"/>
    <d v="2026-09-02T00:00:00"/>
    <n v="9475"/>
    <m/>
    <s v="Pending"/>
    <s v=""/>
    <s v="Sandeep Y"/>
    <n v="43"/>
    <x v="0"/>
    <n v="9475"/>
    <s v="Sunita Rao"/>
  </r>
  <r>
    <s v="C20236"/>
    <s v="P-1280"/>
    <s v="Apex Ortho Center"/>
    <x v="3"/>
    <d v="2026-09-25T00:00:00"/>
    <d v="2026-09-29T00:00:00"/>
    <n v="4475"/>
    <m/>
    <s v="Pending"/>
    <s v=""/>
    <s v="Neha G"/>
    <n v="16"/>
    <x v="3"/>
    <n v="4475"/>
    <s v="Manish Arora"/>
  </r>
  <r>
    <s v="C20237"/>
    <s v="P-1383"/>
    <s v="Green Valley Health"/>
    <x v="2"/>
    <d v="2026-02-06T00:00:00"/>
    <d v="2026-02-20T00:00:00"/>
    <n v="1125"/>
    <n v="735.35"/>
    <s v="Paid"/>
    <s v=""/>
    <s v="Pooja M"/>
    <n v="237"/>
    <x v="1"/>
    <n v="0"/>
    <s v="Sunita Rao"/>
  </r>
  <r>
    <s v="C20238"/>
    <s v="P-1182"/>
    <s v="Sunrise Hospital"/>
    <x v="3"/>
    <d v="2026-07-22T00:00:00"/>
    <d v="2026-07-28T00:00:00"/>
    <n v="475"/>
    <m/>
    <s v="Pending"/>
    <s v=""/>
    <s v="Kavita D"/>
    <n v="79"/>
    <x v="2"/>
    <n v="475"/>
    <s v="Deepak Nair"/>
  </r>
  <r>
    <s v="C20239"/>
    <s v="P-1254"/>
    <s v="City Care Clinic"/>
    <x v="0"/>
    <d v="2026-06-26T00:00:00"/>
    <d v="2026-07-08T00:00:00"/>
    <n v="5650"/>
    <n v="3908.72"/>
    <s v="Paid"/>
    <s v=""/>
    <s v="Pooja M"/>
    <n v="99"/>
    <x v="1"/>
    <n v="0"/>
    <s v="Sunita Rao"/>
  </r>
  <r>
    <s v="C20240"/>
    <s v="P-1217"/>
    <s v="Apex Ortho Center"/>
    <x v="3"/>
    <d v="2026-01-23T00:00:00"/>
    <d v="2026-01-28T00:00:00"/>
    <n v="5750"/>
    <n v="5221.24"/>
    <s v="Paid"/>
    <s v=""/>
    <s v="Sandeep Y"/>
    <n v="260"/>
    <x v="1"/>
    <n v="0"/>
    <s v="Sunita Rao"/>
  </r>
  <r>
    <s v="C20241"/>
    <s v="P-1425"/>
    <s v="Apex Ortho Center"/>
    <x v="4"/>
    <d v="2026-02-14T00:00:00"/>
    <d v="2026-02-19T00:00:00"/>
    <n v="10450"/>
    <m/>
    <s v="Pending"/>
    <s v=""/>
    <s v="Pooja M"/>
    <n v="238"/>
    <x v="1"/>
    <n v="10450"/>
    <s v="Sunita Rao"/>
  </r>
  <r>
    <s v="C20242"/>
    <s v="P-1024"/>
    <s v="Green Valley Health"/>
    <x v="0"/>
    <d v="2026-03-11T00:00:00"/>
    <d v="2026-03-18T00:00:00"/>
    <n v="7600"/>
    <n v="6791.45"/>
    <s v="Paid"/>
    <s v=""/>
    <s v="Rohit B"/>
    <n v="211"/>
    <x v="1"/>
    <n v="0"/>
    <s v="Deepak Nair"/>
  </r>
  <r>
    <s v="C20243"/>
    <s v="P-1279"/>
    <s v="City Care Clinic"/>
    <x v="6"/>
    <d v="2026-02-27T00:00:00"/>
    <d v="2026-03-12T00:00:00"/>
    <n v="850"/>
    <n v="548.4"/>
    <s v="Paid"/>
    <s v=""/>
    <s v="Anjali T"/>
    <n v="217"/>
    <x v="1"/>
    <n v="0"/>
    <s v="Deepak Nair"/>
  </r>
  <r>
    <s v="C20244"/>
    <s v="P-1071"/>
    <s v="Green Valley Health"/>
    <x v="6"/>
    <d v="2026-07-21T00:00:00"/>
    <d v="2026-08-03T00:00:00"/>
    <n v="2200"/>
    <n v="1888.49"/>
    <s v="Paid"/>
    <s v=""/>
    <s v="Vikas R"/>
    <n v="73"/>
    <x v="2"/>
    <n v="0"/>
    <s v="Sunita Rao"/>
  </r>
  <r>
    <s v="C20245"/>
    <s v="P-1372"/>
    <s v="City Care Clinic"/>
    <x v="6"/>
    <d v="2026-02-13T00:00:00"/>
    <d v="2026-03-02T00:00:00"/>
    <n v="8475"/>
    <m/>
    <s v="Pending"/>
    <s v=""/>
    <s v="Pooja M"/>
    <n v="227"/>
    <x v="1"/>
    <n v="8475"/>
    <s v="Sunita Rao"/>
  </r>
  <r>
    <s v="C20246"/>
    <s v="P-1472"/>
    <s v="Sunrise Hospital"/>
    <x v="1"/>
    <d v="2026-02-21T00:00:00"/>
    <d v="2026-02-27T00:00:00"/>
    <n v="10450"/>
    <n v="0"/>
    <s v="Denied"/>
    <s v="Coding Error"/>
    <s v="Pooja M"/>
    <n v="230"/>
    <x v="1"/>
    <n v="0"/>
    <s v="Sunita Rao"/>
  </r>
  <r>
    <s v="C20247"/>
    <s v="P-1459"/>
    <s v="Green Valley Health"/>
    <x v="7"/>
    <d v="2026-09-25T00:00:00"/>
    <d v="2026-10-02T00:00:00"/>
    <n v="3450"/>
    <n v="2530.3000000000002"/>
    <s v="Paid"/>
    <s v=""/>
    <s v="Neha G"/>
    <n v="13"/>
    <x v="3"/>
    <n v="0"/>
    <s v="Manish Arora"/>
  </r>
  <r>
    <s v="C20248"/>
    <s v="P-1198"/>
    <s v="Green Valley Health"/>
    <x v="1"/>
    <d v="2026-08-24T00:00:00"/>
    <d v="2026-09-11T00:00:00"/>
    <n v="11475"/>
    <m/>
    <s v="Pending"/>
    <s v=""/>
    <s v="Amit V"/>
    <n v="34"/>
    <x v="0"/>
    <n v="11475"/>
    <s v="Manish Arora"/>
  </r>
  <r>
    <s v="C20249"/>
    <s v="P-1302"/>
    <s v="Green Valley Health"/>
    <x v="3"/>
    <d v="2026-06-06T00:00:00"/>
    <d v="2026-06-15T00:00:00"/>
    <n v="675"/>
    <n v="477.49"/>
    <s v="Paid"/>
    <s v=""/>
    <s v="Kavita D"/>
    <n v="122"/>
    <x v="1"/>
    <n v="0"/>
    <s v="Deepak Nair"/>
  </r>
  <r>
    <s v="C20250"/>
    <s v="P-1357"/>
    <s v="Green Valley Health"/>
    <x v="4"/>
    <d v="2026-08-11T00:00:00"/>
    <d v="2026-08-25T00:00:00"/>
    <n v="4075"/>
    <n v="0"/>
    <s v="Denied"/>
    <s v="Timely Filing Exceeded"/>
    <s v="Sandeep Y"/>
    <n v="51"/>
    <x v="0"/>
    <n v="0"/>
    <s v="Sunita Rao"/>
  </r>
  <r>
    <s v="C20251"/>
    <s v="P-1193"/>
    <s v="Sunrise Hospital"/>
    <x v="2"/>
    <d v="2026-06-13T00:00:00"/>
    <d v="2026-06-29T00:00:00"/>
    <n v="1450"/>
    <n v="1335.71"/>
    <s v="Paid"/>
    <s v=""/>
    <s v="Vikas R"/>
    <n v="108"/>
    <x v="1"/>
    <n v="0"/>
    <s v="Sunita Rao"/>
  </r>
  <r>
    <s v="C20252"/>
    <s v="P-1465"/>
    <s v="Green Valley Health"/>
    <x v="3"/>
    <d v="2026-01-14T00:00:00"/>
    <d v="2026-02-03T00:00:00"/>
    <n v="4900"/>
    <m/>
    <s v="Pending"/>
    <s v=""/>
    <s v="Priya K"/>
    <n v="254"/>
    <x v="1"/>
    <n v="4900"/>
    <s v="Manish Arora"/>
  </r>
  <r>
    <s v="C20253"/>
    <s v="P-1357"/>
    <s v="Apex Ortho Center"/>
    <x v="0"/>
    <d v="2026-04-21T00:00:00"/>
    <d v="2026-04-29T00:00:00"/>
    <n v="2900"/>
    <n v="1791.1"/>
    <s v="Paid"/>
    <s v=""/>
    <s v="Rohit B"/>
    <n v="169"/>
    <x v="1"/>
    <n v="0"/>
    <s v="Deepak Nair"/>
  </r>
  <r>
    <s v="C20254"/>
    <s v="P-1412"/>
    <s v="Apex Ortho Center"/>
    <x v="1"/>
    <d v="2026-08-26T00:00:00"/>
    <d v="2026-09-08T00:00:00"/>
    <n v="12825"/>
    <n v="0"/>
    <s v="Denied"/>
    <s v="Patient Not Eligible"/>
    <s v="Amit V"/>
    <n v="37"/>
    <x v="0"/>
    <n v="0"/>
    <s v="Manish Arora"/>
  </r>
  <r>
    <s v="C20255"/>
    <s v="P-1097"/>
    <s v="Sunrise Hospital"/>
    <x v="7"/>
    <d v="2026-04-13T00:00:00"/>
    <d v="2026-04-22T00:00:00"/>
    <n v="13975"/>
    <n v="8711.9699999999993"/>
    <s v="Paid"/>
    <s v=""/>
    <s v="Pooja M"/>
    <n v="176"/>
    <x v="1"/>
    <n v="0"/>
    <s v="Sunita Rao"/>
  </r>
  <r>
    <s v="C20256"/>
    <s v="P-1367"/>
    <s v="Apex Ortho Center"/>
    <x v="0"/>
    <d v="2026-06-02T00:00:00"/>
    <d v="2026-06-16T00:00:00"/>
    <n v="3075"/>
    <m/>
    <s v="Pending"/>
    <s v=""/>
    <s v="Sandeep Y"/>
    <n v="121"/>
    <x v="1"/>
    <n v="3075"/>
    <s v="Sunita Rao"/>
  </r>
  <r>
    <s v="C20257"/>
    <s v="P-1150"/>
    <s v="Apex Ortho Center"/>
    <x v="4"/>
    <d v="2026-02-16T00:00:00"/>
    <d v="2026-02-26T00:00:00"/>
    <n v="9450"/>
    <n v="6275.79"/>
    <s v="Paid"/>
    <s v=""/>
    <s v="Amit V"/>
    <n v="231"/>
    <x v="1"/>
    <n v="0"/>
    <s v="Manish Arora"/>
  </r>
  <r>
    <s v="C20258"/>
    <s v="P-1260"/>
    <s v="Sunrise Hospital"/>
    <x v="6"/>
    <d v="2026-04-27T00:00:00"/>
    <d v="2026-05-15T00:00:00"/>
    <n v="2225"/>
    <n v="1501.68"/>
    <s v="Paid"/>
    <s v=""/>
    <s v="Amit V"/>
    <n v="153"/>
    <x v="1"/>
    <n v="0"/>
    <s v="Manish Arora"/>
  </r>
  <r>
    <s v="C20259"/>
    <s v="P-1083"/>
    <s v="Apex Ortho Center"/>
    <x v="4"/>
    <d v="2026-03-04T00:00:00"/>
    <d v="2026-03-09T00:00:00"/>
    <n v="14200"/>
    <m/>
    <s v="Pending"/>
    <s v=""/>
    <s v="Vikas R"/>
    <n v="220"/>
    <x v="1"/>
    <n v="14200"/>
    <s v="Sunita Rao"/>
  </r>
  <r>
    <s v="C20260"/>
    <s v="P-1110"/>
    <s v="Apex Ortho Center"/>
    <x v="0"/>
    <d v="2026-06-15T00:00:00"/>
    <d v="2026-07-05T00:00:00"/>
    <n v="6275"/>
    <n v="4427.25"/>
    <s v="Paid"/>
    <s v=""/>
    <s v="Pooja M"/>
    <n v="102"/>
    <x v="1"/>
    <n v="0"/>
    <s v="Sunita Rao"/>
  </r>
  <r>
    <s v="C20261"/>
    <s v="P-1036"/>
    <s v="Apex Ortho Center"/>
    <x v="7"/>
    <d v="2026-04-24T00:00:00"/>
    <d v="2026-04-29T00:00:00"/>
    <n v="14375"/>
    <n v="0"/>
    <s v="Denied"/>
    <s v="Patient Not Eligible"/>
    <s v="Priya K"/>
    <n v="169"/>
    <x v="1"/>
    <n v="0"/>
    <s v="Manish Arora"/>
  </r>
  <r>
    <s v="C20262"/>
    <s v="P-1341"/>
    <s v="City Care Clinic"/>
    <x v="1"/>
    <d v="2026-02-22T00:00:00"/>
    <d v="2026-03-03T00:00:00"/>
    <n v="9700"/>
    <n v="0"/>
    <s v="Denied"/>
    <s v="Missing Prior Authorization"/>
    <s v="Vikas R"/>
    <n v="226"/>
    <x v="1"/>
    <n v="0"/>
    <s v="Sunita Rao"/>
  </r>
  <r>
    <s v="C20263"/>
    <s v="P-1269"/>
    <s v="Apex Ortho Center"/>
    <x v="0"/>
    <d v="2026-02-24T00:00:00"/>
    <d v="2026-03-15T00:00:00"/>
    <n v="14175"/>
    <n v="8973.58"/>
    <s v="Paid"/>
    <s v=""/>
    <s v="Neha G"/>
    <n v="214"/>
    <x v="1"/>
    <n v="0"/>
    <s v="Manish Arora"/>
  </r>
  <r>
    <s v="C20264"/>
    <s v="P-1285"/>
    <s v="City Care Clinic"/>
    <x v="1"/>
    <d v="2026-02-06T00:00:00"/>
    <d v="2026-02-22T00:00:00"/>
    <n v="3850"/>
    <n v="2961.14"/>
    <s v="Paid"/>
    <s v=""/>
    <s v="Sandeep Y"/>
    <n v="235"/>
    <x v="1"/>
    <n v="0"/>
    <s v="Sunita Rao"/>
  </r>
  <r>
    <s v="C20265"/>
    <s v="P-1486"/>
    <s v="Sunrise Hospital"/>
    <x v="6"/>
    <d v="2026-04-29T00:00:00"/>
    <d v="2026-05-12T00:00:00"/>
    <n v="5900"/>
    <n v="0"/>
    <s v="Denied"/>
    <s v="Incorrect Patient Info"/>
    <s v="Rahul S"/>
    <n v="156"/>
    <x v="1"/>
    <n v="0"/>
    <s v="Manish Arora"/>
  </r>
  <r>
    <s v="C20266"/>
    <s v="P-1016"/>
    <s v="City Care Clinic"/>
    <x v="1"/>
    <d v="2026-08-26T00:00:00"/>
    <d v="2026-09-08T00:00:00"/>
    <n v="4625"/>
    <n v="4540.66"/>
    <s v="Paid"/>
    <s v=""/>
    <s v="Sandeep Y"/>
    <n v="37"/>
    <x v="0"/>
    <n v="0"/>
    <s v="Sunita Rao"/>
  </r>
  <r>
    <s v="C20267"/>
    <s v="P-1433"/>
    <s v="City Care Clinic"/>
    <x v="1"/>
    <d v="2025-12-28T00:00:00"/>
    <d v="2026-01-13T00:00:00"/>
    <n v="1100"/>
    <n v="904.33"/>
    <s v="Paid"/>
    <s v=""/>
    <s v="Priya K"/>
    <n v="275"/>
    <x v="1"/>
    <n v="0"/>
    <s v="Manish Arora"/>
  </r>
  <r>
    <s v="C20268"/>
    <s v="P-1007"/>
    <s v="Sunrise Hospital"/>
    <x v="4"/>
    <d v="2026-04-06T00:00:00"/>
    <d v="2026-04-21T00:00:00"/>
    <n v="6225"/>
    <n v="4395.05"/>
    <s v="Paid"/>
    <s v=""/>
    <s v="Kavita D"/>
    <n v="177"/>
    <x v="1"/>
    <n v="0"/>
    <s v="Deepak Nair"/>
  </r>
  <r>
    <s v="C20269"/>
    <s v="P-1476"/>
    <s v="Green Valley Health"/>
    <x v="1"/>
    <d v="2026-06-20T00:00:00"/>
    <d v="2026-07-09T00:00:00"/>
    <n v="8875"/>
    <n v="7483.45"/>
    <s v="Paid"/>
    <s v=""/>
    <s v="Amit V"/>
    <n v="98"/>
    <x v="1"/>
    <n v="0"/>
    <s v="Manish Arora"/>
  </r>
  <r>
    <s v="C20270"/>
    <s v="P-1121"/>
    <s v="Apex Ortho Center"/>
    <x v="0"/>
    <d v="2026-04-08T00:00:00"/>
    <d v="2026-04-19T00:00:00"/>
    <n v="11850"/>
    <n v="8292.6"/>
    <s v="Paid"/>
    <s v=""/>
    <s v="Kavita D"/>
    <n v="179"/>
    <x v="1"/>
    <n v="0"/>
    <s v="Deepak Nair"/>
  </r>
  <r>
    <s v="C20271"/>
    <s v="P-1378"/>
    <s v="Sunrise Hospital"/>
    <x v="2"/>
    <d v="2026-05-08T00:00:00"/>
    <d v="2026-05-11T00:00:00"/>
    <n v="5000"/>
    <n v="3896.85"/>
    <s v="Paid"/>
    <s v=""/>
    <s v="Neha G"/>
    <n v="157"/>
    <x v="1"/>
    <n v="0"/>
    <s v="Manish Arora"/>
  </r>
  <r>
    <s v="C20272"/>
    <s v="P-1257"/>
    <s v="Sunrise Hospital"/>
    <x v="3"/>
    <d v="2026-09-29T00:00:00"/>
    <d v="2026-10-04T00:00:00"/>
    <n v="2300"/>
    <m/>
    <s v="Pending"/>
    <s v=""/>
    <s v="Rahul S"/>
    <n v="11"/>
    <x v="3"/>
    <n v="2300"/>
    <s v="Manish Arora"/>
  </r>
  <r>
    <s v="C20273"/>
    <s v="P-1427"/>
    <s v="Green Valley Health"/>
    <x v="5"/>
    <d v="2026-07-12T00:00:00"/>
    <d v="2026-08-01T00:00:00"/>
    <n v="3825"/>
    <n v="3671.82"/>
    <s v="Paid"/>
    <s v=""/>
    <s v="Vikas R"/>
    <n v="75"/>
    <x v="2"/>
    <n v="0"/>
    <s v="Sunita Rao"/>
  </r>
  <r>
    <s v="C20274"/>
    <s v="P-1379"/>
    <s v="City Care Clinic"/>
    <x v="3"/>
    <d v="2026-04-17T00:00:00"/>
    <d v="2026-04-30T00:00:00"/>
    <n v="5575"/>
    <n v="4554.6899999999996"/>
    <s v="Paid"/>
    <s v=""/>
    <s v="Rahul S"/>
    <n v="168"/>
    <x v="1"/>
    <n v="0"/>
    <s v="Manish Arora"/>
  </r>
  <r>
    <s v="C20275"/>
    <s v="P-1073"/>
    <s v="City Care Clinic"/>
    <x v="1"/>
    <d v="2026-01-09T00:00:00"/>
    <d v="2026-01-27T00:00:00"/>
    <n v="1125"/>
    <n v="1081.73"/>
    <s v="Paid"/>
    <s v=""/>
    <s v="Anjali T"/>
    <n v="261"/>
    <x v="1"/>
    <n v="0"/>
    <s v="Deepak Nair"/>
  </r>
  <r>
    <s v="C20276"/>
    <s v="P-1163"/>
    <s v="City Care Clinic"/>
    <x v="1"/>
    <d v="2026-04-13T00:00:00"/>
    <d v="2026-04-26T00:00:00"/>
    <n v="9050"/>
    <n v="8250.07"/>
    <s v="Paid"/>
    <s v=""/>
    <s v="Amit V"/>
    <n v="172"/>
    <x v="1"/>
    <n v="0"/>
    <s v="Manish Arora"/>
  </r>
  <r>
    <s v="C20277"/>
    <s v="P-1480"/>
    <s v="City Care Clinic"/>
    <x v="5"/>
    <d v="2026-04-15T00:00:00"/>
    <d v="2026-05-02T00:00:00"/>
    <n v="9700"/>
    <n v="6526.66"/>
    <s v="Paid"/>
    <s v=""/>
    <s v="Pooja M"/>
    <n v="166"/>
    <x v="1"/>
    <n v="0"/>
    <s v="Sunita Rao"/>
  </r>
  <r>
    <s v="C20278"/>
    <s v="P-1267"/>
    <s v="Green Valley Health"/>
    <x v="6"/>
    <d v="2026-01-20T00:00:00"/>
    <d v="2026-01-26T00:00:00"/>
    <n v="8150"/>
    <n v="5486.97"/>
    <s v="Paid"/>
    <s v=""/>
    <s v="Rohit B"/>
    <n v="262"/>
    <x v="1"/>
    <n v="0"/>
    <s v="Deepak Nair"/>
  </r>
  <r>
    <s v="C20279"/>
    <s v="P-1499"/>
    <s v="Sunrise Hospital"/>
    <x v="1"/>
    <d v="2026-05-10T00:00:00"/>
    <d v="2026-05-15T00:00:00"/>
    <n v="2375"/>
    <n v="2291.2800000000002"/>
    <s v="Paid"/>
    <s v=""/>
    <s v="Pooja M"/>
    <n v="153"/>
    <x v="1"/>
    <n v="0"/>
    <s v="Sunita Rao"/>
  </r>
  <r>
    <s v="C20280"/>
    <s v="P-1308"/>
    <s v="Green Valley Health"/>
    <x v="3"/>
    <d v="2026-02-11T00:00:00"/>
    <d v="2026-02-23T00:00:00"/>
    <n v="12675"/>
    <n v="0"/>
    <s v="Denied"/>
    <s v="Coding Error"/>
    <s v="Neha G"/>
    <n v="234"/>
    <x v="1"/>
    <n v="0"/>
    <s v="Manish Arora"/>
  </r>
  <r>
    <s v="C20281"/>
    <s v="P-1144"/>
    <s v="Sunrise Hospital"/>
    <x v="1"/>
    <d v="2026-02-27T00:00:00"/>
    <d v="2026-03-17T00:00:00"/>
    <n v="925"/>
    <n v="734.92"/>
    <s v="Paid"/>
    <s v=""/>
    <s v="Vikas R"/>
    <n v="212"/>
    <x v="1"/>
    <n v="0"/>
    <s v="Sunita Rao"/>
  </r>
  <r>
    <s v="C20282"/>
    <s v="P-1334"/>
    <s v="City Care Clinic"/>
    <x v="3"/>
    <d v="2026-04-16T00:00:00"/>
    <d v="2026-04-19T00:00:00"/>
    <n v="900"/>
    <n v="697.17"/>
    <s v="Paid"/>
    <s v=""/>
    <s v="Amit V"/>
    <n v="179"/>
    <x v="1"/>
    <n v="0"/>
    <s v="Manish Arora"/>
  </r>
  <r>
    <s v="C20283"/>
    <s v="P-1316"/>
    <s v="Apex Ortho Center"/>
    <x v="2"/>
    <d v="2026-06-22T00:00:00"/>
    <d v="2026-06-25T00:00:00"/>
    <n v="4550"/>
    <n v="3036.04"/>
    <s v="Paid"/>
    <s v=""/>
    <s v="Sandeep Y"/>
    <n v="112"/>
    <x v="1"/>
    <n v="0"/>
    <s v="Sunita Rao"/>
  </r>
  <r>
    <s v="C20284"/>
    <s v="P-1219"/>
    <s v="Green Valley Health"/>
    <x v="4"/>
    <d v="2026-06-04T00:00:00"/>
    <d v="2026-06-12T00:00:00"/>
    <n v="9425"/>
    <n v="7780.95"/>
    <s v="Paid"/>
    <s v=""/>
    <s v="Anjali T"/>
    <n v="125"/>
    <x v="1"/>
    <n v="0"/>
    <s v="Deepak Nair"/>
  </r>
  <r>
    <s v="C20285"/>
    <s v="P-1087"/>
    <s v="Apex Ortho Center"/>
    <x v="4"/>
    <d v="2026-04-22T00:00:00"/>
    <d v="2026-04-30T00:00:00"/>
    <n v="12275"/>
    <n v="0"/>
    <s v="Denied"/>
    <s v="Timely Filing Exceeded"/>
    <s v="Kavita D"/>
    <n v="168"/>
    <x v="1"/>
    <n v="0"/>
    <s v="Deepak Nair"/>
  </r>
  <r>
    <s v="C20286"/>
    <s v="P-1177"/>
    <s v="Green Valley Health"/>
    <x v="0"/>
    <d v="2026-07-18T00:00:00"/>
    <d v="2026-07-26T00:00:00"/>
    <n v="8975"/>
    <n v="7712.1"/>
    <s v="Paid"/>
    <s v=""/>
    <s v="Anjali T"/>
    <n v="81"/>
    <x v="2"/>
    <n v="0"/>
    <s v="Deepak Nair"/>
  </r>
  <r>
    <s v="C20287"/>
    <s v="P-1205"/>
    <s v="Apex Ortho Center"/>
    <x v="0"/>
    <d v="2026-09-06T00:00:00"/>
    <d v="2026-09-21T00:00:00"/>
    <n v="325"/>
    <m/>
    <s v="Pending"/>
    <s v=""/>
    <s v="Kavita D"/>
    <n v="24"/>
    <x v="3"/>
    <n v="325"/>
    <s v="Deepak Nair"/>
  </r>
  <r>
    <s v="C20288"/>
    <s v="P-1073"/>
    <s v="City Care Clinic"/>
    <x v="4"/>
    <d v="2026-08-21T00:00:00"/>
    <d v="2026-08-25T00:00:00"/>
    <n v="2600"/>
    <n v="1502.24"/>
    <s v="Paid"/>
    <s v=""/>
    <s v="Anjali T"/>
    <n v="51"/>
    <x v="0"/>
    <n v="0"/>
    <s v="Deepak Nair"/>
  </r>
  <r>
    <s v="C20289"/>
    <s v="P-1408"/>
    <s v="City Care Clinic"/>
    <x v="4"/>
    <d v="2026-01-21T00:00:00"/>
    <d v="2026-01-26T00:00:00"/>
    <n v="7450"/>
    <n v="6876.93"/>
    <s v="Paid"/>
    <s v=""/>
    <s v="Rohit B"/>
    <n v="262"/>
    <x v="1"/>
    <n v="0"/>
    <s v="Deepak Nair"/>
  </r>
  <r>
    <s v="C20290"/>
    <s v="P-1246"/>
    <s v="Sunrise Hospital"/>
    <x v="4"/>
    <d v="2026-02-06T00:00:00"/>
    <d v="2026-02-22T00:00:00"/>
    <n v="9325"/>
    <n v="0"/>
    <s v="Denied"/>
    <s v="Coding Error"/>
    <s v="Rohit B"/>
    <n v="235"/>
    <x v="1"/>
    <n v="0"/>
    <s v="Deepak Nair"/>
  </r>
  <r>
    <s v="C20291"/>
    <s v="P-1353"/>
    <s v="Green Valley Health"/>
    <x v="6"/>
    <d v="2026-09-02T00:00:00"/>
    <d v="2026-09-15T00:00:00"/>
    <n v="5325"/>
    <m/>
    <s v="Pending"/>
    <s v=""/>
    <s v="Amit V"/>
    <n v="30"/>
    <x v="3"/>
    <n v="5325"/>
    <s v="Manish Arora"/>
  </r>
  <r>
    <s v="C20292"/>
    <s v="P-1090"/>
    <s v="City Care Clinic"/>
    <x v="6"/>
    <d v="2026-04-26T00:00:00"/>
    <d v="2026-05-07T00:00:00"/>
    <n v="7900"/>
    <m/>
    <s v="Pending"/>
    <s v=""/>
    <s v="Sandeep Y"/>
    <n v="161"/>
    <x v="1"/>
    <n v="7900"/>
    <s v="Sunita Rao"/>
  </r>
  <r>
    <s v="C20293"/>
    <s v="P-1336"/>
    <s v="Apex Ortho Center"/>
    <x v="3"/>
    <d v="2026-05-01T00:00:00"/>
    <d v="2026-05-05T00:00:00"/>
    <n v="875"/>
    <m/>
    <s v="Pending"/>
    <s v=""/>
    <s v="Kavita D"/>
    <n v="163"/>
    <x v="1"/>
    <n v="875"/>
    <s v="Deepak Nair"/>
  </r>
  <r>
    <s v="C20294"/>
    <s v="P-1159"/>
    <s v="Apex Ortho Center"/>
    <x v="1"/>
    <d v="2026-07-19T00:00:00"/>
    <d v="2026-07-24T00:00:00"/>
    <n v="4375"/>
    <n v="0"/>
    <s v="Denied"/>
    <s v="Medical Necessity Not Met"/>
    <s v="Sandeep Y"/>
    <n v="83"/>
    <x v="2"/>
    <n v="0"/>
    <s v="Sunita Rao"/>
  </r>
  <r>
    <s v="C20295"/>
    <s v="P-1393"/>
    <s v="Green Valley Health"/>
    <x v="6"/>
    <d v="2026-03-02T00:00:00"/>
    <d v="2026-03-06T00:00:00"/>
    <n v="11450"/>
    <m/>
    <s v="Pending"/>
    <s v=""/>
    <s v="Rahul S"/>
    <n v="223"/>
    <x v="1"/>
    <n v="11450"/>
    <s v="Manish Arora"/>
  </r>
  <r>
    <s v="C20296"/>
    <s v="P-1452"/>
    <s v="Sunrise Hospital"/>
    <x v="0"/>
    <d v="2026-04-28T00:00:00"/>
    <d v="2026-05-16T00:00:00"/>
    <n v="12875"/>
    <n v="7307.6"/>
    <s v="Paid"/>
    <s v=""/>
    <s v="Neha G"/>
    <n v="152"/>
    <x v="1"/>
    <n v="0"/>
    <s v="Manish Arora"/>
  </r>
  <r>
    <s v="C20297"/>
    <s v="P-1095"/>
    <s v="City Care Clinic"/>
    <x v="2"/>
    <d v="2026-04-23T00:00:00"/>
    <d v="2026-04-29T00:00:00"/>
    <n v="4200"/>
    <n v="2825.74"/>
    <s v="Paid"/>
    <s v=""/>
    <s v="Priya K"/>
    <n v="169"/>
    <x v="1"/>
    <n v="0"/>
    <s v="Manish Arora"/>
  </r>
  <r>
    <s v="C20298"/>
    <s v="P-1148"/>
    <s v="Apex Ortho Center"/>
    <x v="5"/>
    <d v="2026-06-06T00:00:00"/>
    <d v="2026-06-19T00:00:00"/>
    <n v="1675"/>
    <m/>
    <s v="Pending"/>
    <s v=""/>
    <s v="Rahul S"/>
    <n v="118"/>
    <x v="1"/>
    <n v="1675"/>
    <s v="Manish Arora"/>
  </r>
  <r>
    <s v="C20299"/>
    <s v="P-1049"/>
    <s v="City Care Clinic"/>
    <x v="3"/>
    <d v="2026-06-14T00:00:00"/>
    <d v="2026-06-20T00:00:00"/>
    <n v="7450"/>
    <n v="0"/>
    <s v="Denied"/>
    <s v="Missing Prior Authorization"/>
    <s v="Rohit B"/>
    <n v="117"/>
    <x v="1"/>
    <n v="0"/>
    <s v="Deepak Nair"/>
  </r>
  <r>
    <s v="C20300"/>
    <s v="P-1186"/>
    <s v="Sunrise Hospital"/>
    <x v="3"/>
    <d v="2026-04-26T00:00:00"/>
    <d v="2026-05-08T00:00:00"/>
    <n v="5400"/>
    <m/>
    <s v="Pending"/>
    <s v=""/>
    <s v="Vikas R"/>
    <n v="160"/>
    <x v="1"/>
    <n v="5400"/>
    <s v="Sunita Rao"/>
  </r>
  <r>
    <s v="C20301"/>
    <s v="P-1151"/>
    <s v="Green Valley Health"/>
    <x v="1"/>
    <d v="2026-01-23T00:00:00"/>
    <d v="2026-02-05T00:00:00"/>
    <n v="1625"/>
    <m/>
    <s v="Pending"/>
    <s v=""/>
    <s v="Neha G"/>
    <n v="252"/>
    <x v="1"/>
    <n v="1625"/>
    <s v="Manish Arora"/>
  </r>
  <r>
    <s v="C20302"/>
    <s v="P-1243"/>
    <s v="Green Valley Health"/>
    <x v="6"/>
    <d v="2026-08-26T00:00:00"/>
    <d v="2026-08-31T00:00:00"/>
    <n v="3400"/>
    <m/>
    <s v="Pending"/>
    <s v=""/>
    <s v="Rohit B"/>
    <n v="45"/>
    <x v="0"/>
    <n v="3400"/>
    <s v="Deepak Nair"/>
  </r>
  <r>
    <s v="C20303"/>
    <s v="P-1006"/>
    <s v="City Care Clinic"/>
    <x v="1"/>
    <d v="2026-09-03T00:00:00"/>
    <d v="2026-09-14T00:00:00"/>
    <n v="14150"/>
    <m/>
    <s v="Pending"/>
    <s v=""/>
    <s v="Rahul S"/>
    <n v="31"/>
    <x v="0"/>
    <n v="14150"/>
    <s v="Manish Arora"/>
  </r>
  <r>
    <s v="C20304"/>
    <s v="P-1403"/>
    <s v="Apex Ortho Center"/>
    <x v="4"/>
    <d v="2026-03-10T00:00:00"/>
    <d v="2026-03-18T00:00:00"/>
    <n v="14400"/>
    <m/>
    <s v="Pending"/>
    <s v=""/>
    <s v="Rahul S"/>
    <n v="211"/>
    <x v="1"/>
    <n v="14400"/>
    <s v="Manish Arora"/>
  </r>
  <r>
    <s v="C20305"/>
    <s v="P-1488"/>
    <s v="Apex Ortho Center"/>
    <x v="7"/>
    <d v="2026-01-13T00:00:00"/>
    <d v="2026-01-30T00:00:00"/>
    <n v="1850"/>
    <n v="1412.81"/>
    <s v="Paid"/>
    <s v=""/>
    <s v="Rahul S"/>
    <n v="258"/>
    <x v="1"/>
    <n v="0"/>
    <s v="Manish Arora"/>
  </r>
  <r>
    <s v="C20306"/>
    <s v="P-1217"/>
    <s v="Green Valley Health"/>
    <x v="0"/>
    <d v="2026-02-03T00:00:00"/>
    <d v="2026-02-06T00:00:00"/>
    <n v="7175"/>
    <n v="6750.18"/>
    <s v="Paid"/>
    <s v=""/>
    <s v="Neha G"/>
    <n v="251"/>
    <x v="1"/>
    <n v="0"/>
    <s v="Manish Arora"/>
  </r>
  <r>
    <s v="C20307"/>
    <s v="P-1028"/>
    <s v="Green Valley Health"/>
    <x v="3"/>
    <d v="2026-07-16T00:00:00"/>
    <d v="2026-07-26T00:00:00"/>
    <n v="10750"/>
    <n v="6534.46"/>
    <s v="Paid"/>
    <s v=""/>
    <s v="Vikas R"/>
    <n v="81"/>
    <x v="2"/>
    <n v="0"/>
    <s v="Sunita Rao"/>
  </r>
  <r>
    <s v="C20308"/>
    <s v="P-1379"/>
    <s v="Green Valley Health"/>
    <x v="5"/>
    <d v="2026-01-23T00:00:00"/>
    <d v="2026-02-07T00:00:00"/>
    <n v="12275"/>
    <n v="8105.64"/>
    <s v="Paid"/>
    <s v=""/>
    <s v="Pooja M"/>
    <n v="250"/>
    <x v="1"/>
    <n v="0"/>
    <s v="Sunita Rao"/>
  </r>
  <r>
    <s v="C20309"/>
    <s v="P-1295"/>
    <s v="Green Valley Health"/>
    <x v="2"/>
    <d v="2026-02-18T00:00:00"/>
    <d v="2026-03-03T00:00:00"/>
    <n v="8075"/>
    <n v="0"/>
    <s v="Denied"/>
    <s v="Patient Not Eligible"/>
    <s v="Neha G"/>
    <n v="226"/>
    <x v="1"/>
    <n v="0"/>
    <s v="Manish Arora"/>
  </r>
  <r>
    <s v="C20310"/>
    <s v="P-1223"/>
    <s v="Sunrise Hospital"/>
    <x v="3"/>
    <d v="2026-05-08T00:00:00"/>
    <d v="2026-05-12T00:00:00"/>
    <n v="2650"/>
    <n v="1893.71"/>
    <s v="Paid"/>
    <s v=""/>
    <s v="Pooja M"/>
    <n v="156"/>
    <x v="1"/>
    <n v="0"/>
    <s v="Sunita Rao"/>
  </r>
  <r>
    <s v="C20311"/>
    <s v="P-1318"/>
    <s v="City Care Clinic"/>
    <x v="3"/>
    <d v="2026-04-16T00:00:00"/>
    <d v="2026-04-19T00:00:00"/>
    <n v="10825"/>
    <m/>
    <s v="Pending"/>
    <s v=""/>
    <s v="Anjali T"/>
    <n v="179"/>
    <x v="1"/>
    <n v="10825"/>
    <s v="Deepak Nair"/>
  </r>
  <r>
    <s v="C20312"/>
    <s v="P-1402"/>
    <s v="Green Valley Health"/>
    <x v="7"/>
    <d v="2026-08-06T00:00:00"/>
    <d v="2026-08-21T00:00:00"/>
    <n v="13200"/>
    <m/>
    <s v="Pending"/>
    <s v=""/>
    <s v="Priya K"/>
    <n v="55"/>
    <x v="0"/>
    <n v="13200"/>
    <s v="Manish Arora"/>
  </r>
  <r>
    <s v="C20313"/>
    <s v="P-1342"/>
    <s v="Green Valley Health"/>
    <x v="3"/>
    <d v="2026-04-15T00:00:00"/>
    <d v="2026-04-27T00:00:00"/>
    <n v="6150"/>
    <n v="0"/>
    <s v="Denied"/>
    <s v="Patient Not Eligible"/>
    <s v="Sandeep Y"/>
    <n v="171"/>
    <x v="1"/>
    <n v="0"/>
    <s v="Sunita Rao"/>
  </r>
  <r>
    <s v="C20314"/>
    <s v="P-1200"/>
    <s v="City Care Clinic"/>
    <x v="6"/>
    <d v="2026-04-21T00:00:00"/>
    <d v="2026-04-26T00:00:00"/>
    <n v="14100"/>
    <n v="11328.98"/>
    <s v="Paid"/>
    <s v=""/>
    <s v="Pooja M"/>
    <n v="172"/>
    <x v="1"/>
    <n v="0"/>
    <s v="Sunita Rao"/>
  </r>
  <r>
    <s v="C20315"/>
    <s v="P-1113"/>
    <s v="Green Valley Health"/>
    <x v="4"/>
    <d v="2026-07-27T00:00:00"/>
    <d v="2026-08-07T00:00:00"/>
    <n v="2600"/>
    <m/>
    <s v="Pending"/>
    <s v=""/>
    <s v="Neha G"/>
    <n v="69"/>
    <x v="2"/>
    <n v="2600"/>
    <s v="Manish Arora"/>
  </r>
  <r>
    <s v="C20316"/>
    <s v="P-1420"/>
    <s v="Sunrise Hospital"/>
    <x v="6"/>
    <d v="2026-08-07T00:00:00"/>
    <d v="2026-08-11T00:00:00"/>
    <n v="13050"/>
    <m/>
    <s v="Pending"/>
    <s v=""/>
    <s v="Vikas R"/>
    <n v="65"/>
    <x v="2"/>
    <n v="13050"/>
    <s v="Sunita Rao"/>
  </r>
  <r>
    <s v="C20317"/>
    <s v="P-1287"/>
    <s v="Green Valley Health"/>
    <x v="0"/>
    <d v="2026-01-22T00:00:00"/>
    <d v="2026-02-04T00:00:00"/>
    <n v="9625"/>
    <n v="8348.2199999999993"/>
    <s v="Paid"/>
    <s v=""/>
    <s v="Rahul S"/>
    <n v="253"/>
    <x v="1"/>
    <n v="0"/>
    <s v="Manish Arora"/>
  </r>
  <r>
    <s v="C20318"/>
    <s v="P-1140"/>
    <s v="Apex Ortho Center"/>
    <x v="0"/>
    <d v="2026-02-26T00:00:00"/>
    <d v="2026-03-11T00:00:00"/>
    <n v="13325"/>
    <m/>
    <s v="Pending"/>
    <s v=""/>
    <s v="Anjali T"/>
    <n v="218"/>
    <x v="1"/>
    <n v="13325"/>
    <s v="Deepak Nair"/>
  </r>
  <r>
    <s v="C20319"/>
    <s v="P-1215"/>
    <s v="Sunrise Hospital"/>
    <x v="1"/>
    <d v="2026-06-09T00:00:00"/>
    <d v="2026-06-17T00:00:00"/>
    <n v="12950"/>
    <n v="11819.63"/>
    <s v="Paid"/>
    <s v=""/>
    <s v="Rahul S"/>
    <n v="120"/>
    <x v="1"/>
    <n v="0"/>
    <s v="Manish Arora"/>
  </r>
  <r>
    <s v="C20320"/>
    <s v="P-1225"/>
    <s v="City Care Clinic"/>
    <x v="7"/>
    <d v="2026-08-07T00:00:00"/>
    <d v="2026-08-24T00:00:00"/>
    <n v="13850"/>
    <m/>
    <s v="Pending"/>
    <s v=""/>
    <s v="Pooja M"/>
    <n v="52"/>
    <x v="0"/>
    <n v="13850"/>
    <s v="Sunita Rao"/>
  </r>
  <r>
    <s v="C20321"/>
    <s v="P-1186"/>
    <s v="Sunrise Hospital"/>
    <x v="3"/>
    <d v="2026-08-06T00:00:00"/>
    <d v="2026-08-10T00:00:00"/>
    <n v="2225"/>
    <n v="1392.15"/>
    <s v="Paid"/>
    <s v=""/>
    <s v="Sandeep Y"/>
    <n v="66"/>
    <x v="2"/>
    <n v="0"/>
    <s v="Sunita Rao"/>
  </r>
  <r>
    <s v="C20322"/>
    <s v="P-1207"/>
    <s v="Sunrise Hospital"/>
    <x v="6"/>
    <d v="2026-03-02T00:00:00"/>
    <d v="2026-03-16T00:00:00"/>
    <n v="14050"/>
    <n v="10242.68"/>
    <s v="Paid"/>
    <s v=""/>
    <s v="Kavita D"/>
    <n v="213"/>
    <x v="1"/>
    <n v="0"/>
    <s v="Deepak Nair"/>
  </r>
  <r>
    <s v="C20323"/>
    <s v="P-1013"/>
    <s v="Sunrise Hospital"/>
    <x v="4"/>
    <d v="2026-04-29T00:00:00"/>
    <d v="2026-05-08T00:00:00"/>
    <n v="4850"/>
    <n v="0"/>
    <s v="Denied"/>
    <s v="Coding Error"/>
    <s v="Anjali T"/>
    <n v="160"/>
    <x v="1"/>
    <n v="0"/>
    <s v="Deepak Nair"/>
  </r>
  <r>
    <s v="C20324"/>
    <s v="P-1108"/>
    <s v="Apex Ortho Center"/>
    <x v="2"/>
    <d v="2026-01-27T00:00:00"/>
    <d v="2026-01-30T00:00:00"/>
    <n v="7750"/>
    <m/>
    <s v="Pending"/>
    <s v=""/>
    <s v="Pooja M"/>
    <n v="258"/>
    <x v="1"/>
    <n v="7750"/>
    <s v="Sunita Rao"/>
  </r>
  <r>
    <s v="C20325"/>
    <s v="P-1144"/>
    <s v="Apex Ortho Center"/>
    <x v="4"/>
    <d v="2026-04-04T00:00:00"/>
    <d v="2026-04-22T00:00:00"/>
    <n v="8325"/>
    <n v="0"/>
    <s v="Denied"/>
    <s v="Patient Not Eligible"/>
    <s v="Neha G"/>
    <n v="176"/>
    <x v="1"/>
    <n v="0"/>
    <s v="Manish Arora"/>
  </r>
  <r>
    <s v="C20326"/>
    <s v="P-1093"/>
    <s v="Sunrise Hospital"/>
    <x v="3"/>
    <d v="2026-06-06T00:00:00"/>
    <d v="2026-06-13T00:00:00"/>
    <n v="9025"/>
    <n v="0"/>
    <s v="Denied"/>
    <s v="Missing Prior Authorization"/>
    <s v="Kavita D"/>
    <n v="124"/>
    <x v="1"/>
    <n v="0"/>
    <s v="Deepak Nair"/>
  </r>
  <r>
    <s v="C20327"/>
    <s v="P-1115"/>
    <s v="Green Valley Health"/>
    <x v="3"/>
    <d v="2026-06-19T00:00:00"/>
    <d v="2026-06-28T00:00:00"/>
    <n v="8450"/>
    <m/>
    <s v="Pending"/>
    <s v=""/>
    <s v="Neha G"/>
    <n v="109"/>
    <x v="1"/>
    <n v="8450"/>
    <s v="Manish Arora"/>
  </r>
  <r>
    <s v="C20328"/>
    <s v="P-1348"/>
    <s v="City Care Clinic"/>
    <x v="1"/>
    <d v="2026-09-06T00:00:00"/>
    <d v="2026-09-10T00:00:00"/>
    <n v="1900"/>
    <m/>
    <s v="Pending"/>
    <s v=""/>
    <s v="Rahul S"/>
    <n v="35"/>
    <x v="0"/>
    <n v="1900"/>
    <s v="Manish Arora"/>
  </r>
  <r>
    <s v="C20329"/>
    <s v="P-1032"/>
    <s v="City Care Clinic"/>
    <x v="3"/>
    <d v="2026-06-12T00:00:00"/>
    <d v="2026-06-30T00:00:00"/>
    <n v="13950"/>
    <m/>
    <s v="Pending"/>
    <s v=""/>
    <s v="Kavita D"/>
    <n v="107"/>
    <x v="1"/>
    <n v="13950"/>
    <s v="Deepak Nair"/>
  </r>
  <r>
    <s v="C20330"/>
    <s v="P-1027"/>
    <s v="Green Valley Health"/>
    <x v="6"/>
    <d v="2026-03-12T00:00:00"/>
    <d v="2026-04-01T00:00:00"/>
    <n v="7275"/>
    <n v="6222.99"/>
    <s v="Paid"/>
    <s v=""/>
    <s v="Neha G"/>
    <n v="197"/>
    <x v="1"/>
    <n v="0"/>
    <s v="Manish Arora"/>
  </r>
  <r>
    <s v="C20331"/>
    <s v="P-1133"/>
    <s v="City Care Clinic"/>
    <x v="1"/>
    <d v="2025-12-28T00:00:00"/>
    <d v="2026-01-11T00:00:00"/>
    <n v="6675"/>
    <n v="4548.84"/>
    <s v="Paid"/>
    <s v=""/>
    <s v="Sandeep Y"/>
    <n v="277"/>
    <x v="1"/>
    <n v="0"/>
    <s v="Sunita Rao"/>
  </r>
  <r>
    <s v="C20332"/>
    <s v="P-1346"/>
    <s v="Sunrise Hospital"/>
    <x v="4"/>
    <d v="2026-07-25T00:00:00"/>
    <d v="2026-08-02T00:00:00"/>
    <n v="7175"/>
    <n v="4256.97"/>
    <s v="Paid"/>
    <s v=""/>
    <s v="Kavita D"/>
    <n v="74"/>
    <x v="2"/>
    <n v="0"/>
    <s v="Deepak Nair"/>
  </r>
  <r>
    <s v="C20333"/>
    <s v="P-1239"/>
    <s v="Green Valley Health"/>
    <x v="0"/>
    <d v="2026-07-28T00:00:00"/>
    <d v="2026-08-16T00:00:00"/>
    <n v="6550"/>
    <n v="5088.4399999999996"/>
    <s v="Paid"/>
    <s v=""/>
    <s v="Rohit B"/>
    <n v="60"/>
    <x v="0"/>
    <n v="0"/>
    <s v="Deepak Nair"/>
  </r>
  <r>
    <s v="C20334"/>
    <s v="P-1020"/>
    <s v="Green Valley Health"/>
    <x v="4"/>
    <d v="2026-04-13T00:00:00"/>
    <d v="2026-04-25T00:00:00"/>
    <n v="850"/>
    <n v="715.33"/>
    <s v="Paid"/>
    <s v=""/>
    <s v="Neha G"/>
    <n v="173"/>
    <x v="1"/>
    <n v="0"/>
    <s v="Manish Arora"/>
  </r>
  <r>
    <s v="C20335"/>
    <s v="P-1203"/>
    <s v="Sunrise Hospital"/>
    <x v="7"/>
    <d v="2026-06-18T00:00:00"/>
    <d v="2026-07-08T00:00:00"/>
    <n v="12125"/>
    <n v="9149.31"/>
    <s v="Paid"/>
    <s v=""/>
    <s v="Neha G"/>
    <n v="99"/>
    <x v="1"/>
    <n v="0"/>
    <s v="Manish Arora"/>
  </r>
  <r>
    <s v="C20336"/>
    <s v="P-1284"/>
    <s v="Apex Ortho Center"/>
    <x v="1"/>
    <d v="2026-02-02T00:00:00"/>
    <d v="2026-02-08T00:00:00"/>
    <n v="6600"/>
    <n v="4897.03"/>
    <s v="Paid"/>
    <s v=""/>
    <s v="Sandeep Y"/>
    <n v="249"/>
    <x v="1"/>
    <n v="0"/>
    <s v="Sunita Rao"/>
  </r>
  <r>
    <s v="C20337"/>
    <s v="P-1057"/>
    <s v="City Care Clinic"/>
    <x v="6"/>
    <d v="2026-09-08T00:00:00"/>
    <d v="2026-09-22T00:00:00"/>
    <n v="2225"/>
    <m/>
    <s v="Pending"/>
    <s v=""/>
    <s v="Vikas R"/>
    <n v="23"/>
    <x v="3"/>
    <n v="2225"/>
    <s v="Sunita Rao"/>
  </r>
  <r>
    <s v="C20338"/>
    <s v="P-1458"/>
    <s v="Green Valley Health"/>
    <x v="0"/>
    <d v="2026-02-09T00:00:00"/>
    <d v="2026-02-26T00:00:00"/>
    <n v="14675"/>
    <m/>
    <s v="Pending"/>
    <s v=""/>
    <s v="Rohit B"/>
    <n v="231"/>
    <x v="1"/>
    <n v="14675"/>
    <s v="Deepak Nair"/>
  </r>
  <r>
    <s v="C20339"/>
    <s v="P-1110"/>
    <s v="Green Valley Health"/>
    <x v="2"/>
    <d v="2026-01-21T00:00:00"/>
    <d v="2026-01-29T00:00:00"/>
    <n v="2050"/>
    <n v="0"/>
    <s v="Denied"/>
    <s v="Patient Not Eligible"/>
    <s v="Pooja M"/>
    <n v="259"/>
    <x v="1"/>
    <n v="0"/>
    <s v="Sunita Rao"/>
  </r>
  <r>
    <s v="C20340"/>
    <s v="P-1124"/>
    <s v="Apex Ortho Center"/>
    <x v="4"/>
    <d v="2026-01-07T00:00:00"/>
    <d v="2026-01-10T00:00:00"/>
    <n v="5925"/>
    <n v="0"/>
    <s v="Denied"/>
    <s v="Coding Error"/>
    <s v="Rohit B"/>
    <n v="278"/>
    <x v="1"/>
    <n v="0"/>
    <s v="Deepak Nair"/>
  </r>
  <r>
    <s v="C20341"/>
    <s v="P-1416"/>
    <s v="Sunrise Hospital"/>
    <x v="6"/>
    <d v="2026-09-19T00:00:00"/>
    <d v="2026-09-25T00:00:00"/>
    <n v="5000"/>
    <m/>
    <s v="Pending"/>
    <s v=""/>
    <s v="Rahul S"/>
    <n v="20"/>
    <x v="3"/>
    <n v="5000"/>
    <s v="Manish Arora"/>
  </r>
  <r>
    <s v="C20342"/>
    <s v="P-1453"/>
    <s v="Green Valley Health"/>
    <x v="2"/>
    <d v="2026-06-22T00:00:00"/>
    <d v="2026-06-26T00:00:00"/>
    <n v="3875"/>
    <n v="3422"/>
    <s v="Paid"/>
    <s v=""/>
    <s v="Pooja M"/>
    <n v="111"/>
    <x v="1"/>
    <n v="0"/>
    <s v="Sunita Rao"/>
  </r>
  <r>
    <s v="C20343"/>
    <s v="P-1022"/>
    <s v="Apex Ortho Center"/>
    <x v="3"/>
    <d v="2026-05-05T00:00:00"/>
    <d v="2026-05-13T00:00:00"/>
    <n v="8475"/>
    <n v="8228.35"/>
    <s v="Paid"/>
    <s v=""/>
    <s v="Sandeep Y"/>
    <n v="155"/>
    <x v="1"/>
    <n v="0"/>
    <s v="Sunita Rao"/>
  </r>
  <r>
    <s v="C20344"/>
    <s v="P-1142"/>
    <s v="Apex Ortho Center"/>
    <x v="7"/>
    <d v="2026-07-10T00:00:00"/>
    <d v="2026-07-18T00:00:00"/>
    <n v="10925"/>
    <n v="0"/>
    <s v="Denied"/>
    <s v="Duplicate Claim"/>
    <s v="Priya K"/>
    <n v="89"/>
    <x v="2"/>
    <n v="0"/>
    <s v="Manish Arora"/>
  </r>
  <r>
    <s v="C20345"/>
    <s v="P-1340"/>
    <s v="City Care Clinic"/>
    <x v="5"/>
    <d v="2026-01-23T00:00:00"/>
    <d v="2026-02-03T00:00:00"/>
    <n v="5050"/>
    <n v="4904.1000000000004"/>
    <s v="Paid"/>
    <s v=""/>
    <s v="Vikas R"/>
    <n v="254"/>
    <x v="1"/>
    <n v="0"/>
    <s v="Sunita Rao"/>
  </r>
  <r>
    <s v="C20346"/>
    <s v="P-1271"/>
    <s v="Apex Ortho Center"/>
    <x v="1"/>
    <d v="2026-05-26T00:00:00"/>
    <d v="2026-06-13T00:00:00"/>
    <n v="475"/>
    <n v="343.34"/>
    <s v="Paid"/>
    <s v=""/>
    <s v="Rahul S"/>
    <n v="124"/>
    <x v="1"/>
    <n v="0"/>
    <s v="Manish Arora"/>
  </r>
  <r>
    <s v="C20347"/>
    <s v="P-1468"/>
    <s v="Sunrise Hospital"/>
    <x v="1"/>
    <d v="2026-06-20T00:00:00"/>
    <d v="2026-07-04T00:00:00"/>
    <n v="14550"/>
    <n v="11881.87"/>
    <s v="Paid"/>
    <s v=""/>
    <s v="Rahul S"/>
    <n v="103"/>
    <x v="1"/>
    <n v="0"/>
    <s v="Manish Arora"/>
  </r>
  <r>
    <s v="C20348"/>
    <s v="P-1442"/>
    <s v="City Care Clinic"/>
    <x v="1"/>
    <d v="2026-09-03T00:00:00"/>
    <d v="2026-09-13T00:00:00"/>
    <n v="11775"/>
    <n v="6890.19"/>
    <s v="Paid"/>
    <s v=""/>
    <s v="Vikas R"/>
    <n v="32"/>
    <x v="0"/>
    <n v="0"/>
    <s v="Sunita Rao"/>
  </r>
  <r>
    <s v="C20349"/>
    <s v="P-1381"/>
    <s v="Sunrise Hospital"/>
    <x v="6"/>
    <d v="2026-08-18T00:00:00"/>
    <d v="2026-08-28T00:00:00"/>
    <n v="11450"/>
    <m/>
    <s v="Pending"/>
    <s v=""/>
    <s v="Rahul S"/>
    <n v="48"/>
    <x v="0"/>
    <n v="11450"/>
    <s v="Manish Arora"/>
  </r>
  <r>
    <s v="C20350"/>
    <s v="P-1123"/>
    <s v="Green Valley Health"/>
    <x v="1"/>
    <d v="2026-06-24T00:00:00"/>
    <d v="2026-06-29T00:00:00"/>
    <n v="4075"/>
    <n v="3884.73"/>
    <s v="Paid"/>
    <s v=""/>
    <s v="Rahul S"/>
    <n v="108"/>
    <x v="1"/>
    <n v="0"/>
    <s v="Manish Arora"/>
  </r>
  <r>
    <s v="C20351"/>
    <s v="P-1230"/>
    <s v="City Care Clinic"/>
    <x v="3"/>
    <d v="2026-02-28T00:00:00"/>
    <d v="2026-03-13T00:00:00"/>
    <n v="1250"/>
    <n v="788.72"/>
    <s v="Paid"/>
    <s v=""/>
    <s v="Priya K"/>
    <n v="216"/>
    <x v="1"/>
    <n v="0"/>
    <s v="Manish Arora"/>
  </r>
  <r>
    <s v="C20352"/>
    <s v="P-1076"/>
    <s v="Green Valley Health"/>
    <x v="0"/>
    <d v="2026-09-17T00:00:00"/>
    <d v="2026-09-25T00:00:00"/>
    <n v="2100"/>
    <n v="1509.85"/>
    <s v="Paid"/>
    <s v=""/>
    <s v="Rohit B"/>
    <n v="20"/>
    <x v="3"/>
    <n v="0"/>
    <s v="Deepak Nair"/>
  </r>
  <r>
    <s v="C20353"/>
    <s v="P-1099"/>
    <s v="Apex Ortho Center"/>
    <x v="7"/>
    <d v="2026-02-04T00:00:00"/>
    <d v="2026-02-19T00:00:00"/>
    <n v="425"/>
    <n v="351.38"/>
    <s v="Paid"/>
    <s v=""/>
    <s v="Vikas R"/>
    <n v="238"/>
    <x v="1"/>
    <n v="0"/>
    <s v="Sunita Rao"/>
  </r>
  <r>
    <s v="C20354"/>
    <s v="P-1409"/>
    <s v="Apex Ortho Center"/>
    <x v="7"/>
    <d v="2026-07-08T00:00:00"/>
    <d v="2026-07-20T00:00:00"/>
    <n v="14150"/>
    <n v="8804.1299999999992"/>
    <s v="Paid"/>
    <s v=""/>
    <s v="Priya K"/>
    <n v="87"/>
    <x v="2"/>
    <n v="0"/>
    <s v="Manish Arora"/>
  </r>
  <r>
    <s v="C20355"/>
    <s v="P-1050"/>
    <s v="Sunrise Hospital"/>
    <x v="0"/>
    <d v="2026-01-10T00:00:00"/>
    <d v="2026-01-21T00:00:00"/>
    <n v="7575"/>
    <n v="7564.41"/>
    <s v="Paid"/>
    <s v=""/>
    <s v="Pooja M"/>
    <n v="267"/>
    <x v="1"/>
    <n v="0"/>
    <s v="Sunita Rao"/>
  </r>
  <r>
    <s v="C20356"/>
    <s v="P-1379"/>
    <s v="Green Valley Health"/>
    <x v="6"/>
    <d v="2026-05-03T00:00:00"/>
    <d v="2026-05-09T00:00:00"/>
    <n v="14550"/>
    <m/>
    <s v="Pending"/>
    <s v=""/>
    <s v="Pooja M"/>
    <n v="159"/>
    <x v="1"/>
    <n v="14550"/>
    <s v="Sunita Rao"/>
  </r>
  <r>
    <s v="C20357"/>
    <s v="P-1206"/>
    <s v="Green Valley Health"/>
    <x v="0"/>
    <d v="2026-05-13T00:00:00"/>
    <d v="2026-05-23T00:00:00"/>
    <n v="12650"/>
    <n v="0"/>
    <s v="Denied"/>
    <s v="Missing Prior Authorization"/>
    <s v="Amit V"/>
    <n v="145"/>
    <x v="1"/>
    <n v="0"/>
    <s v="Manish Arora"/>
  </r>
  <r>
    <s v="C20358"/>
    <s v="P-1137"/>
    <s v="Green Valley Health"/>
    <x v="2"/>
    <d v="2026-01-16T00:00:00"/>
    <d v="2026-02-01T00:00:00"/>
    <n v="7450"/>
    <n v="0"/>
    <s v="Denied"/>
    <s v="Timely Filing Exceeded"/>
    <s v="Rahul S"/>
    <n v="256"/>
    <x v="1"/>
    <n v="0"/>
    <s v="Manish Arora"/>
  </r>
  <r>
    <s v="C20359"/>
    <s v="P-1134"/>
    <s v="Sunrise Hospital"/>
    <x v="3"/>
    <d v="2026-05-07T00:00:00"/>
    <d v="2026-05-15T00:00:00"/>
    <n v="9650"/>
    <n v="7662.31"/>
    <s v="Paid"/>
    <s v=""/>
    <s v="Kavita D"/>
    <n v="153"/>
    <x v="1"/>
    <n v="0"/>
    <s v="Deepak Nair"/>
  </r>
  <r>
    <s v="C20360"/>
    <s v="P-1140"/>
    <s v="Green Valley Health"/>
    <x v="5"/>
    <d v="2026-06-20T00:00:00"/>
    <d v="2026-06-23T00:00:00"/>
    <n v="3225"/>
    <n v="2250.08"/>
    <s v="Paid"/>
    <s v=""/>
    <s v="Rahul S"/>
    <n v="114"/>
    <x v="1"/>
    <n v="0"/>
    <s v="Manish Arora"/>
  </r>
  <r>
    <s v="C20361"/>
    <s v="P-1091"/>
    <s v="Green Valley Health"/>
    <x v="6"/>
    <d v="2026-01-18T00:00:00"/>
    <d v="2026-02-03T00:00:00"/>
    <n v="6250"/>
    <m/>
    <s v="Pending"/>
    <s v=""/>
    <s v="Vikas R"/>
    <n v="254"/>
    <x v="1"/>
    <n v="6250"/>
    <s v="Sunita Rao"/>
  </r>
  <r>
    <s v="C20362"/>
    <s v="P-1237"/>
    <s v="Sunrise Hospital"/>
    <x v="7"/>
    <d v="2026-05-05T00:00:00"/>
    <d v="2026-05-18T00:00:00"/>
    <n v="14675"/>
    <n v="12968.95"/>
    <s v="Paid"/>
    <s v=""/>
    <s v="Neha G"/>
    <n v="150"/>
    <x v="1"/>
    <n v="0"/>
    <s v="Manish Arora"/>
  </r>
  <r>
    <s v="C20363"/>
    <s v="P-1099"/>
    <s v="Apex Ortho Center"/>
    <x v="5"/>
    <d v="2026-02-26T00:00:00"/>
    <d v="2026-03-06T00:00:00"/>
    <n v="1200"/>
    <n v="0"/>
    <s v="Denied"/>
    <s v="Coding Error"/>
    <s v="Rahul S"/>
    <n v="223"/>
    <x v="1"/>
    <n v="0"/>
    <s v="Manish Arora"/>
  </r>
  <r>
    <s v="C20364"/>
    <s v="P-1130"/>
    <s v="Green Valley Health"/>
    <x v="6"/>
    <d v="2026-07-03T00:00:00"/>
    <d v="2026-07-09T00:00:00"/>
    <n v="1200"/>
    <n v="798.33"/>
    <s v="Paid"/>
    <s v=""/>
    <s v="Pooja M"/>
    <n v="98"/>
    <x v="1"/>
    <n v="0"/>
    <s v="Sunita Rao"/>
  </r>
  <r>
    <s v="C20365"/>
    <s v="P-1436"/>
    <s v="City Care Clinic"/>
    <x v="1"/>
    <d v="2026-02-23T00:00:00"/>
    <d v="2026-02-27T00:00:00"/>
    <n v="950"/>
    <n v="773.13"/>
    <s v="Paid"/>
    <s v=""/>
    <s v="Pooja M"/>
    <n v="230"/>
    <x v="1"/>
    <n v="0"/>
    <s v="Sunita Rao"/>
  </r>
  <r>
    <s v="C20366"/>
    <s v="P-1190"/>
    <s v="Apex Ortho Center"/>
    <x v="7"/>
    <d v="2026-03-02T00:00:00"/>
    <d v="2026-03-07T00:00:00"/>
    <n v="9100"/>
    <m/>
    <s v="Pending"/>
    <s v=""/>
    <s v="Rohit B"/>
    <n v="222"/>
    <x v="1"/>
    <n v="9100"/>
    <s v="Deepak Nair"/>
  </r>
  <r>
    <s v="C20367"/>
    <s v="P-1146"/>
    <s v="Green Valley Health"/>
    <x v="6"/>
    <d v="2026-04-30T00:00:00"/>
    <d v="2026-05-04T00:00:00"/>
    <n v="14100"/>
    <m/>
    <s v="Pending"/>
    <s v=""/>
    <s v="Vikas R"/>
    <n v="164"/>
    <x v="1"/>
    <n v="14100"/>
    <s v="Sunita Rao"/>
  </r>
  <r>
    <s v="C20368"/>
    <s v="P-1465"/>
    <s v="Sunrise Hospital"/>
    <x v="0"/>
    <d v="2026-08-19T00:00:00"/>
    <d v="2026-08-28T00:00:00"/>
    <n v="575"/>
    <n v="0"/>
    <s v="Denied"/>
    <s v="Coding Error"/>
    <s v="Rahul S"/>
    <n v="48"/>
    <x v="0"/>
    <n v="0"/>
    <s v="Manish Arora"/>
  </r>
  <r>
    <s v="C20369"/>
    <s v="P-1349"/>
    <s v="City Care Clinic"/>
    <x v="5"/>
    <d v="2026-09-26T00:00:00"/>
    <d v="2026-10-03T00:00:00"/>
    <n v="9500"/>
    <m/>
    <s v="Pending"/>
    <s v=""/>
    <s v="Sandeep Y"/>
    <n v="12"/>
    <x v="3"/>
    <n v="9500"/>
    <s v="Sunita Rao"/>
  </r>
  <r>
    <s v="C20370"/>
    <s v="P-1350"/>
    <s v="Green Valley Health"/>
    <x v="7"/>
    <d v="2026-01-21T00:00:00"/>
    <d v="2026-02-07T00:00:00"/>
    <n v="13225"/>
    <n v="12991.87"/>
    <s v="Paid"/>
    <s v=""/>
    <s v="Anjali T"/>
    <n v="250"/>
    <x v="1"/>
    <n v="0"/>
    <s v="Deepak Nair"/>
  </r>
  <r>
    <s v="C20371"/>
    <s v="P-1347"/>
    <s v="Sunrise Hospital"/>
    <x v="3"/>
    <d v="2026-06-27T00:00:00"/>
    <d v="2026-07-02T00:00:00"/>
    <n v="3300"/>
    <n v="1932.96"/>
    <s v="Paid"/>
    <s v=""/>
    <s v="Kavita D"/>
    <n v="105"/>
    <x v="1"/>
    <n v="0"/>
    <s v="Deepak Nair"/>
  </r>
  <r>
    <s v="C20372"/>
    <s v="P-1227"/>
    <s v="Apex Ortho Center"/>
    <x v="4"/>
    <d v="2026-07-30T00:00:00"/>
    <d v="2026-08-05T00:00:00"/>
    <n v="6175"/>
    <m/>
    <s v="Pending"/>
    <s v=""/>
    <s v="Vikas R"/>
    <n v="71"/>
    <x v="2"/>
    <n v="6175"/>
    <s v="Sunita Rao"/>
  </r>
  <r>
    <s v="C20373"/>
    <s v="P-1247"/>
    <s v="Sunrise Hospital"/>
    <x v="1"/>
    <d v="2026-04-17T00:00:00"/>
    <d v="2026-04-20T00:00:00"/>
    <n v="375"/>
    <m/>
    <s v="Pending"/>
    <s v=""/>
    <s v="Amit V"/>
    <n v="178"/>
    <x v="1"/>
    <n v="375"/>
    <s v="Manish Arora"/>
  </r>
  <r>
    <s v="C20374"/>
    <s v="P-1309"/>
    <s v="City Care Clinic"/>
    <x v="4"/>
    <d v="2026-02-23T00:00:00"/>
    <d v="2026-02-28T00:00:00"/>
    <n v="14800"/>
    <n v="11109.69"/>
    <s v="Paid"/>
    <s v=""/>
    <s v="Rahul S"/>
    <n v="229"/>
    <x v="1"/>
    <n v="0"/>
    <s v="Manish Arora"/>
  </r>
  <r>
    <s v="C20375"/>
    <s v="P-1333"/>
    <s v="Apex Ortho Center"/>
    <x v="3"/>
    <d v="2026-06-14T00:00:00"/>
    <d v="2026-06-21T00:00:00"/>
    <n v="11150"/>
    <n v="6319.04"/>
    <s v="Paid"/>
    <s v=""/>
    <s v="Neha G"/>
    <n v="116"/>
    <x v="1"/>
    <n v="0"/>
    <s v="Manish Arora"/>
  </r>
  <r>
    <s v="C20376"/>
    <s v="P-1396"/>
    <s v="City Care Clinic"/>
    <x v="3"/>
    <d v="2026-01-16T00:00:00"/>
    <d v="2026-01-24T00:00:00"/>
    <n v="12325"/>
    <n v="9096.5400000000009"/>
    <s v="Paid"/>
    <s v=""/>
    <s v="Amit V"/>
    <n v="264"/>
    <x v="1"/>
    <n v="0"/>
    <s v="Manish Arora"/>
  </r>
  <r>
    <s v="C20377"/>
    <s v="P-1498"/>
    <s v="City Care Clinic"/>
    <x v="6"/>
    <d v="2026-08-15T00:00:00"/>
    <d v="2026-08-23T00:00:00"/>
    <n v="8500"/>
    <n v="8234.17"/>
    <s v="Paid"/>
    <s v=""/>
    <s v="Neha G"/>
    <n v="53"/>
    <x v="0"/>
    <n v="0"/>
    <s v="Manish Arora"/>
  </r>
  <r>
    <s v="C20378"/>
    <s v="P-1442"/>
    <s v="Apex Ortho Center"/>
    <x v="4"/>
    <d v="2026-02-21T00:00:00"/>
    <d v="2026-03-13T00:00:00"/>
    <n v="13475"/>
    <m/>
    <s v="Pending"/>
    <s v=""/>
    <s v="Rohit B"/>
    <n v="216"/>
    <x v="1"/>
    <n v="13475"/>
    <s v="Deepak Nair"/>
  </r>
  <r>
    <s v="C20379"/>
    <s v="P-1134"/>
    <s v="Sunrise Hospital"/>
    <x v="4"/>
    <d v="2026-09-09T00:00:00"/>
    <d v="2026-09-22T00:00:00"/>
    <n v="4600"/>
    <m/>
    <s v="Pending"/>
    <s v=""/>
    <s v="Vikas R"/>
    <n v="23"/>
    <x v="3"/>
    <n v="4600"/>
    <s v="Sunita Rao"/>
  </r>
  <r>
    <s v="C20380"/>
    <s v="P-1423"/>
    <s v="Green Valley Health"/>
    <x v="0"/>
    <d v="2026-04-08T00:00:00"/>
    <d v="2026-04-25T00:00:00"/>
    <n v="1900"/>
    <n v="1189.97"/>
    <s v="Paid"/>
    <s v=""/>
    <s v="Anjali T"/>
    <n v="173"/>
    <x v="1"/>
    <n v="0"/>
    <s v="Deepak Nair"/>
  </r>
  <r>
    <s v="C20381"/>
    <s v="P-1126"/>
    <s v="Sunrise Hospital"/>
    <x v="1"/>
    <d v="2026-06-27T00:00:00"/>
    <d v="2026-07-06T00:00:00"/>
    <n v="9725"/>
    <n v="8003.21"/>
    <s v="Paid"/>
    <s v=""/>
    <s v="Rohit B"/>
    <n v="101"/>
    <x v="1"/>
    <n v="0"/>
    <s v="Deepak Nair"/>
  </r>
  <r>
    <s v="C20382"/>
    <s v="P-1400"/>
    <s v="Apex Ortho Center"/>
    <x v="1"/>
    <d v="2026-09-07T00:00:00"/>
    <d v="2026-09-23T00:00:00"/>
    <n v="10700"/>
    <n v="0"/>
    <s v="Denied"/>
    <s v="Medical Necessity Not Met"/>
    <s v="Sandeep Y"/>
    <n v="22"/>
    <x v="3"/>
    <n v="0"/>
    <s v="Sunita Rao"/>
  </r>
  <r>
    <s v="C20383"/>
    <s v="P-1078"/>
    <s v="Apex Ortho Center"/>
    <x v="3"/>
    <d v="2026-06-13T00:00:00"/>
    <d v="2026-06-30T00:00:00"/>
    <n v="9300"/>
    <n v="7995.8"/>
    <s v="Paid"/>
    <s v=""/>
    <s v="Rahul S"/>
    <n v="107"/>
    <x v="1"/>
    <n v="0"/>
    <s v="Manish Arora"/>
  </r>
  <r>
    <s v="C20384"/>
    <s v="P-1466"/>
    <s v="Apex Ortho Center"/>
    <x v="0"/>
    <d v="2026-04-24T00:00:00"/>
    <d v="2026-05-09T00:00:00"/>
    <n v="8350"/>
    <n v="0"/>
    <s v="Denied"/>
    <s v="Missing Prior Authorization"/>
    <s v="Priya K"/>
    <n v="159"/>
    <x v="1"/>
    <n v="0"/>
    <s v="Manish Arora"/>
  </r>
  <r>
    <s v="C20385"/>
    <s v="P-1048"/>
    <s v="City Care Clinic"/>
    <x v="8"/>
    <d v="2026-02-23T00:00:00"/>
    <d v="2026-03-14T00:00:00"/>
    <n v="2425"/>
    <n v="1868.06"/>
    <s v="Paid"/>
    <s v=""/>
    <s v="Anjali T"/>
    <n v="215"/>
    <x v="1"/>
    <n v="0"/>
    <s v="Deepak Nair"/>
  </r>
  <r>
    <s v="C20386"/>
    <s v="P-1156"/>
    <s v="Green Valley Health"/>
    <x v="1"/>
    <d v="2026-04-02T00:00:00"/>
    <d v="2026-04-14T00:00:00"/>
    <n v="11150"/>
    <m/>
    <s v="Pending"/>
    <s v=""/>
    <s v="Kavita D"/>
    <n v="184"/>
    <x v="1"/>
    <n v="11150"/>
    <s v="Deepak Nair"/>
  </r>
  <r>
    <s v="C20387"/>
    <s v="P-1383"/>
    <s v="City Care Clinic"/>
    <x v="4"/>
    <d v="2026-05-29T00:00:00"/>
    <d v="2026-06-16T00:00:00"/>
    <n v="5200"/>
    <n v="3053.63"/>
    <s v="Paid"/>
    <s v=""/>
    <s v="Anjali T"/>
    <n v="121"/>
    <x v="1"/>
    <n v="0"/>
    <s v="Deepak Nair"/>
  </r>
  <r>
    <s v="C20388"/>
    <s v="P-1497"/>
    <s v="Sunrise Hospital"/>
    <x v="4"/>
    <d v="2026-08-25T00:00:00"/>
    <d v="2026-09-07T00:00:00"/>
    <n v="8450"/>
    <n v="5992.01"/>
    <s v="Paid"/>
    <s v=""/>
    <s v="Kavita D"/>
    <n v="38"/>
    <x v="0"/>
    <n v="0"/>
    <s v="Deepak Nair"/>
  </r>
  <r>
    <s v="C20389"/>
    <s v="P-1046"/>
    <s v="Sunrise Hospital"/>
    <x v="0"/>
    <d v="2026-02-26T00:00:00"/>
    <d v="2026-03-05T00:00:00"/>
    <n v="9025"/>
    <m/>
    <s v="Pending"/>
    <s v=""/>
    <s v="Priya K"/>
    <n v="224"/>
    <x v="1"/>
    <n v="9025"/>
    <s v="Manish Arora"/>
  </r>
  <r>
    <s v="C20390"/>
    <s v="P-1080"/>
    <s v="Apex Ortho Center"/>
    <x v="5"/>
    <d v="2026-09-10T00:00:00"/>
    <d v="2026-09-15T00:00:00"/>
    <n v="4875"/>
    <m/>
    <s v="Pending"/>
    <s v=""/>
    <s v="Kavita D"/>
    <n v="30"/>
    <x v="3"/>
    <n v="4875"/>
    <s v="Deepak Nair"/>
  </r>
  <r>
    <s v="C20391"/>
    <s v="P-1398"/>
    <s v="Apex Ortho Center"/>
    <x v="8"/>
    <d v="2026-05-20T00:00:00"/>
    <d v="2026-06-01T00:00:00"/>
    <n v="2300"/>
    <n v="1754.54"/>
    <s v="Paid"/>
    <s v=""/>
    <s v="Amit V"/>
    <n v="136"/>
    <x v="1"/>
    <n v="0"/>
    <s v="Manish Arora"/>
  </r>
  <r>
    <s v="C20392"/>
    <s v="P-1381"/>
    <s v="Green Valley Health"/>
    <x v="1"/>
    <d v="2026-09-04T00:00:00"/>
    <d v="2026-09-23T00:00:00"/>
    <n v="10875"/>
    <m/>
    <s v="Pending"/>
    <s v=""/>
    <s v="Amit V"/>
    <n v="22"/>
    <x v="3"/>
    <n v="10875"/>
    <s v="Manish Arora"/>
  </r>
  <r>
    <s v="C20393"/>
    <s v="P-1293"/>
    <s v="Apex Ortho Center"/>
    <x v="0"/>
    <d v="2026-01-17T00:00:00"/>
    <d v="2026-01-25T00:00:00"/>
    <n v="8200"/>
    <n v="5133.3500000000004"/>
    <s v="Paid"/>
    <s v=""/>
    <s v="Kavita D"/>
    <n v="263"/>
    <x v="1"/>
    <n v="0"/>
    <s v="Deepak Nair"/>
  </r>
  <r>
    <s v="C20394"/>
    <s v="P-1000"/>
    <s v="Green Valley Health"/>
    <x v="0"/>
    <d v="2026-06-13T00:00:00"/>
    <d v="2026-06-19T00:00:00"/>
    <n v="8850"/>
    <m/>
    <s v="Pending"/>
    <s v=""/>
    <s v="Priya K"/>
    <n v="118"/>
    <x v="1"/>
    <n v="8850"/>
    <s v="Manish Arora"/>
  </r>
  <r>
    <s v="C20395"/>
    <s v="P-1341"/>
    <s v="Sunrise Hospital"/>
    <x v="3"/>
    <d v="2026-04-14T00:00:00"/>
    <d v="2026-04-19T00:00:00"/>
    <n v="9200"/>
    <n v="7506.16"/>
    <s v="Paid"/>
    <s v=""/>
    <s v="Rohit B"/>
    <n v="179"/>
    <x v="1"/>
    <n v="0"/>
    <s v="Deepak Nair"/>
  </r>
  <r>
    <s v="C20396"/>
    <s v="P-1280"/>
    <s v="Sunrise Hospital"/>
    <x v="0"/>
    <d v="2026-03-30T00:00:00"/>
    <d v="2026-04-15T00:00:00"/>
    <n v="12125"/>
    <n v="9210.34"/>
    <s v="Paid"/>
    <s v=""/>
    <s v="Kavita D"/>
    <n v="183"/>
    <x v="1"/>
    <n v="0"/>
    <s v="Deepak Nair"/>
  </r>
  <r>
    <s v="C20397"/>
    <s v="P-1194"/>
    <s v="Sunrise Hospital"/>
    <x v="3"/>
    <d v="2026-09-10T00:00:00"/>
    <d v="2026-09-30T00:00:00"/>
    <n v="12825"/>
    <n v="0"/>
    <s v="Denied"/>
    <s v="Medical Necessity Not Met"/>
    <s v="Anjali T"/>
    <n v="15"/>
    <x v="3"/>
    <n v="0"/>
    <s v="Deepak Nair"/>
  </r>
  <r>
    <s v="C20398"/>
    <s v="P-1466"/>
    <s v="City Care Clinic"/>
    <x v="7"/>
    <d v="2026-03-15T00:00:00"/>
    <d v="2026-04-02T00:00:00"/>
    <n v="5625"/>
    <n v="4176"/>
    <s v="Paid"/>
    <s v=""/>
    <s v="Anjali T"/>
    <n v="196"/>
    <x v="1"/>
    <n v="0"/>
    <s v="Deepak Nair"/>
  </r>
  <r>
    <s v="C20399"/>
    <s v="P-1397"/>
    <s v="Apex Ortho Center"/>
    <x v="3"/>
    <d v="2026-02-21T00:00:00"/>
    <d v="2026-03-07T00:00:00"/>
    <n v="2600"/>
    <n v="2272.4"/>
    <s v="Paid"/>
    <s v=""/>
    <s v="Anjali T"/>
    <n v="222"/>
    <x v="1"/>
    <n v="0"/>
    <s v="Deepak Nair"/>
  </r>
  <r>
    <s v="C20400"/>
    <s v="P-1448"/>
    <s v="Apex Ortho Center"/>
    <x v="5"/>
    <d v="2025-12-28T00:00:00"/>
    <d v="2026-01-14T00:00:00"/>
    <n v="9775"/>
    <n v="9560.84"/>
    <s v="Paid"/>
    <s v=""/>
    <s v="Amit V"/>
    <n v="274"/>
    <x v="1"/>
    <n v="0"/>
    <s v="Manish Arora"/>
  </r>
  <r>
    <s v="C20401"/>
    <s v="P-1040"/>
    <s v="Green Valley Health"/>
    <x v="2"/>
    <d v="2026-03-16T00:00:00"/>
    <d v="2026-03-20T00:00:00"/>
    <n v="13750"/>
    <n v="7763.62"/>
    <s v="Paid"/>
    <s v=""/>
    <s v="Neha G"/>
    <n v="209"/>
    <x v="1"/>
    <n v="0"/>
    <s v="Manish Arora"/>
  </r>
  <r>
    <s v="C20402"/>
    <s v="P-1070"/>
    <s v="City Care Clinic"/>
    <x v="0"/>
    <d v="2026-06-26T00:00:00"/>
    <d v="2026-06-29T00:00:00"/>
    <n v="2375"/>
    <n v="1638.77"/>
    <s v="Paid"/>
    <s v=""/>
    <s v="Kavita D"/>
    <n v="108"/>
    <x v="1"/>
    <n v="0"/>
    <s v="Deepak Nair"/>
  </r>
  <r>
    <s v="C20403"/>
    <s v="P-1392"/>
    <s v="Sunrise Hospital"/>
    <x v="1"/>
    <d v="2026-07-02T00:00:00"/>
    <d v="2026-07-15T00:00:00"/>
    <n v="4800"/>
    <n v="3599.2"/>
    <s v="Paid"/>
    <s v=""/>
    <s v="Priya K"/>
    <n v="92"/>
    <x v="1"/>
    <n v="0"/>
    <s v="Manish Arora"/>
  </r>
  <r>
    <s v="C20404"/>
    <s v="P-1155"/>
    <s v="City Care Clinic"/>
    <x v="3"/>
    <d v="2026-04-04T00:00:00"/>
    <d v="2026-04-13T00:00:00"/>
    <n v="9975"/>
    <n v="8793.73"/>
    <s v="Paid"/>
    <s v=""/>
    <s v="Pooja M"/>
    <n v="185"/>
    <x v="1"/>
    <n v="0"/>
    <s v="Sunita Rao"/>
  </r>
  <r>
    <s v="C20405"/>
    <s v="P-1471"/>
    <s v="Apex Ortho Center"/>
    <x v="0"/>
    <d v="2026-01-28T00:00:00"/>
    <d v="2026-02-15T00:00:00"/>
    <n v="2850"/>
    <n v="2606.9499999999998"/>
    <s v="Paid"/>
    <s v=""/>
    <s v="Rohit B"/>
    <n v="242"/>
    <x v="1"/>
    <n v="0"/>
    <s v="Deepak Nair"/>
  </r>
  <r>
    <s v="C20406"/>
    <s v="P-1154"/>
    <s v="Green Valley Health"/>
    <x v="1"/>
    <d v="2026-02-10T00:00:00"/>
    <d v="2026-02-18T00:00:00"/>
    <n v="8700"/>
    <n v="5259.61"/>
    <s v="Paid"/>
    <s v=""/>
    <s v="Kavita D"/>
    <n v="239"/>
    <x v="1"/>
    <n v="0"/>
    <s v="Deepak Nair"/>
  </r>
  <r>
    <s v="C20407"/>
    <s v="P-1443"/>
    <s v="City Care Clinic"/>
    <x v="1"/>
    <d v="2026-06-04T00:00:00"/>
    <d v="2026-06-13T00:00:00"/>
    <n v="2525"/>
    <m/>
    <s v="Pending"/>
    <s v=""/>
    <s v="Sandeep Y"/>
    <n v="124"/>
    <x v="1"/>
    <n v="2525"/>
    <s v="Sunita Rao"/>
  </r>
  <r>
    <s v="C20408"/>
    <s v="P-1304"/>
    <s v="Green Valley Health"/>
    <x v="8"/>
    <d v="2026-05-14T00:00:00"/>
    <d v="2026-05-30T00:00:00"/>
    <n v="10500"/>
    <m/>
    <s v="Pending"/>
    <s v=""/>
    <s v="Neha G"/>
    <n v="138"/>
    <x v="1"/>
    <n v="10500"/>
    <s v="Manish Arora"/>
  </r>
  <r>
    <s v="C20409"/>
    <s v="P-1211"/>
    <s v="Apex Ortho Center"/>
    <x v="0"/>
    <d v="2026-07-13T00:00:00"/>
    <d v="2026-07-26T00:00:00"/>
    <n v="11500"/>
    <n v="6588.19"/>
    <s v="Paid"/>
    <s v=""/>
    <s v="Vikas R"/>
    <n v="81"/>
    <x v="2"/>
    <n v="0"/>
    <s v="Sunita Rao"/>
  </r>
  <r>
    <s v="C20410"/>
    <s v="P-1251"/>
    <s v="Green Valley Health"/>
    <x v="1"/>
    <d v="2026-09-21T00:00:00"/>
    <d v="2026-10-03T00:00:00"/>
    <n v="9725"/>
    <n v="6817.89"/>
    <s v="Paid"/>
    <s v=""/>
    <s v="Kavita D"/>
    <n v="12"/>
    <x v="3"/>
    <n v="0"/>
    <s v="Deepak Nair"/>
  </r>
  <r>
    <s v="C20411"/>
    <s v="P-1411"/>
    <s v="Green Valley Health"/>
    <x v="0"/>
    <d v="2026-01-24T00:00:00"/>
    <d v="2026-01-27T00:00:00"/>
    <n v="7875"/>
    <n v="5173.34"/>
    <s v="Paid"/>
    <s v=""/>
    <s v="Rahul S"/>
    <n v="261"/>
    <x v="1"/>
    <n v="0"/>
    <s v="Manish Arora"/>
  </r>
  <r>
    <s v="C20412"/>
    <s v="P-1205"/>
    <s v="Green Valley Health"/>
    <x v="1"/>
    <d v="2026-07-01T00:00:00"/>
    <d v="2026-07-04T00:00:00"/>
    <n v="11650"/>
    <n v="8604.9599999999991"/>
    <s v="Paid"/>
    <s v=""/>
    <s v="Vikas R"/>
    <n v="103"/>
    <x v="1"/>
    <n v="0"/>
    <s v="Sunita Rao"/>
  </r>
  <r>
    <s v="C20413"/>
    <s v="P-1371"/>
    <s v="Sunrise Hospital"/>
    <x v="2"/>
    <d v="2026-04-30T00:00:00"/>
    <d v="2026-05-19T00:00:00"/>
    <n v="10275"/>
    <n v="0"/>
    <s v="Denied"/>
    <s v="Medical Necessity Not Met"/>
    <s v="Anjali T"/>
    <n v="149"/>
    <x v="1"/>
    <n v="0"/>
    <s v="Deepak Nair"/>
  </r>
  <r>
    <s v="C20414"/>
    <s v="P-1439"/>
    <s v="City Care Clinic"/>
    <x v="6"/>
    <d v="2026-09-12T00:00:00"/>
    <d v="2026-10-01T00:00:00"/>
    <n v="13500"/>
    <m/>
    <s v="Pending"/>
    <s v=""/>
    <s v="Kavita D"/>
    <n v="14"/>
    <x v="3"/>
    <n v="13500"/>
    <s v="Deepak Nair"/>
  </r>
  <r>
    <s v="C20415"/>
    <s v="P-1067"/>
    <s v="Green Valley Health"/>
    <x v="1"/>
    <d v="2026-09-12T00:00:00"/>
    <d v="2026-10-02T00:00:00"/>
    <n v="1550"/>
    <m/>
    <s v="Pending"/>
    <s v=""/>
    <s v="Kavita D"/>
    <n v="13"/>
    <x v="3"/>
    <n v="1550"/>
    <s v="Deepak Nair"/>
  </r>
  <r>
    <s v="C20416"/>
    <s v="P-1389"/>
    <s v="Green Valley Health"/>
    <x v="1"/>
    <d v="2026-03-15T00:00:00"/>
    <d v="2026-03-26T00:00:00"/>
    <n v="3975"/>
    <m/>
    <s v="Pending"/>
    <s v=""/>
    <s v="Sandeep Y"/>
    <n v="203"/>
    <x v="1"/>
    <n v="3975"/>
    <s v="Sunita Rao"/>
  </r>
  <r>
    <s v="C20417"/>
    <s v="P-1397"/>
    <s v="Apex Ortho Center"/>
    <x v="5"/>
    <d v="2026-08-06T00:00:00"/>
    <d v="2026-08-09T00:00:00"/>
    <n v="8700"/>
    <n v="8225.83"/>
    <s v="Paid"/>
    <s v=""/>
    <s v="Vikas R"/>
    <n v="67"/>
    <x v="2"/>
    <n v="0"/>
    <s v="Sunita Rao"/>
  </r>
  <r>
    <s v="C20418"/>
    <s v="P-1087"/>
    <s v="City Care Clinic"/>
    <x v="0"/>
    <d v="2026-08-21T00:00:00"/>
    <d v="2026-08-25T00:00:00"/>
    <n v="13800"/>
    <n v="9134.32"/>
    <s v="Paid"/>
    <s v=""/>
    <s v="Vikas R"/>
    <n v="51"/>
    <x v="0"/>
    <n v="0"/>
    <s v="Sunita Rao"/>
  </r>
  <r>
    <s v="C20419"/>
    <s v="P-1093"/>
    <s v="Apex Ortho Center"/>
    <x v="3"/>
    <d v="2026-08-19T00:00:00"/>
    <d v="2026-08-25T00:00:00"/>
    <n v="11700"/>
    <n v="9074.2900000000009"/>
    <s v="Paid"/>
    <s v=""/>
    <s v="Rohit B"/>
    <n v="51"/>
    <x v="0"/>
    <n v="0"/>
    <s v="Deepak Nair"/>
  </r>
  <r>
    <s v="C20420"/>
    <s v="P-1376"/>
    <s v="Sunrise Hospital"/>
    <x v="2"/>
    <d v="2026-08-12T00:00:00"/>
    <d v="2026-08-31T00:00:00"/>
    <n v="11425"/>
    <n v="6381.49"/>
    <s v="Paid"/>
    <s v=""/>
    <s v="Neha G"/>
    <n v="45"/>
    <x v="0"/>
    <n v="0"/>
    <s v="Manish Arora"/>
  </r>
  <r>
    <s v="C20421"/>
    <s v="P-1150"/>
    <s v="Apex Ortho Center"/>
    <x v="2"/>
    <d v="2026-08-06T00:00:00"/>
    <d v="2026-08-24T00:00:00"/>
    <n v="9225"/>
    <m/>
    <s v="Pending"/>
    <s v=""/>
    <s v="Amit V"/>
    <n v="52"/>
    <x v="0"/>
    <n v="9225"/>
    <s v="Manish Arora"/>
  </r>
  <r>
    <s v="C20422"/>
    <s v="P-1041"/>
    <s v="Apex Ortho Center"/>
    <x v="0"/>
    <d v="2026-02-07T00:00:00"/>
    <d v="2026-02-16T00:00:00"/>
    <n v="1350"/>
    <n v="814.4"/>
    <s v="Paid"/>
    <s v=""/>
    <s v="Anjali T"/>
    <n v="241"/>
    <x v="1"/>
    <n v="0"/>
    <s v="Deepak Nair"/>
  </r>
  <r>
    <s v="C20423"/>
    <s v="P-1138"/>
    <s v="Apex Ortho Center"/>
    <x v="6"/>
    <d v="2026-05-05T00:00:00"/>
    <d v="2026-05-23T00:00:00"/>
    <n v="3575"/>
    <n v="2785.65"/>
    <s v="Paid"/>
    <s v=""/>
    <s v="Amit V"/>
    <n v="145"/>
    <x v="1"/>
    <n v="0"/>
    <s v="Manish Arora"/>
  </r>
  <r>
    <s v="C20424"/>
    <s v="P-1019"/>
    <s v="Green Valley Health"/>
    <x v="6"/>
    <d v="2026-03-06T00:00:00"/>
    <d v="2026-03-17T00:00:00"/>
    <n v="5700"/>
    <n v="3431.85"/>
    <s v="Paid"/>
    <s v=""/>
    <s v="Pooja M"/>
    <n v="212"/>
    <x v="1"/>
    <n v="0"/>
    <s v="Sunita Rao"/>
  </r>
  <r>
    <s v="C20425"/>
    <s v="P-1024"/>
    <s v="Green Valley Health"/>
    <x v="6"/>
    <d v="2026-02-04T00:00:00"/>
    <d v="2026-02-08T00:00:00"/>
    <n v="1400"/>
    <n v="1243.4100000000001"/>
    <s v="Paid"/>
    <s v=""/>
    <s v="Neha G"/>
    <n v="249"/>
    <x v="1"/>
    <n v="0"/>
    <s v="Manish Arora"/>
  </r>
  <r>
    <s v="C20426"/>
    <s v="P-1193"/>
    <s v="Green Valley Health"/>
    <x v="3"/>
    <d v="2026-05-27T00:00:00"/>
    <d v="2026-06-12T00:00:00"/>
    <n v="9700"/>
    <n v="0"/>
    <s v="Denied"/>
    <s v="Patient Not Eligible"/>
    <s v="Neha G"/>
    <n v="125"/>
    <x v="1"/>
    <n v="0"/>
    <s v="Manish Arora"/>
  </r>
  <r>
    <s v="C20427"/>
    <s v="P-1001"/>
    <s v="Green Valley Health"/>
    <x v="7"/>
    <d v="2026-03-01T00:00:00"/>
    <d v="2026-03-18T00:00:00"/>
    <n v="11600"/>
    <n v="6947.16"/>
    <s v="Paid"/>
    <s v=""/>
    <s v="Neha G"/>
    <n v="211"/>
    <x v="1"/>
    <n v="0"/>
    <s v="Manish Arora"/>
  </r>
  <r>
    <s v="C20428"/>
    <s v="P-1302"/>
    <s v="Sunrise Hospital"/>
    <x v="2"/>
    <d v="2026-03-02T00:00:00"/>
    <d v="2026-03-12T00:00:00"/>
    <n v="10925"/>
    <m/>
    <s v="Pending"/>
    <s v=""/>
    <s v="Rahul S"/>
    <n v="217"/>
    <x v="1"/>
    <n v="10925"/>
    <s v="Manish Arora"/>
  </r>
  <r>
    <s v="C20429"/>
    <s v="P-1339"/>
    <s v="City Care Clinic"/>
    <x v="6"/>
    <d v="2026-03-18T00:00:00"/>
    <d v="2026-03-30T00:00:00"/>
    <n v="4775"/>
    <n v="2779.59"/>
    <s v="Paid"/>
    <s v=""/>
    <s v="Rohit B"/>
    <n v="199"/>
    <x v="1"/>
    <n v="0"/>
    <s v="Deepak Nair"/>
  </r>
  <r>
    <s v="C20430"/>
    <s v="P-1491"/>
    <s v="Green Valley Health"/>
    <x v="3"/>
    <d v="2026-01-10T00:00:00"/>
    <d v="2026-01-27T00:00:00"/>
    <n v="12700"/>
    <m/>
    <s v="Pending"/>
    <s v=""/>
    <s v="Rahul S"/>
    <n v="261"/>
    <x v="1"/>
    <n v="12700"/>
    <s v="Manish Arora"/>
  </r>
  <r>
    <s v="C20431"/>
    <s v="P-1251"/>
    <s v="Green Valley Health"/>
    <x v="0"/>
    <d v="2026-03-15T00:00:00"/>
    <d v="2026-03-29T00:00:00"/>
    <n v="9600"/>
    <n v="6678.37"/>
    <s v="Paid"/>
    <s v=""/>
    <s v="Rahul S"/>
    <n v="200"/>
    <x v="1"/>
    <n v="0"/>
    <s v="Manish Arora"/>
  </r>
  <r>
    <s v="C20432"/>
    <s v="P-1031"/>
    <s v="Green Valley Health"/>
    <x v="4"/>
    <d v="2026-04-01T00:00:00"/>
    <d v="2026-04-18T00:00:00"/>
    <n v="10450"/>
    <n v="10061.969999999999"/>
    <s v="Paid"/>
    <s v=""/>
    <s v="Priya K"/>
    <n v="180"/>
    <x v="1"/>
    <n v="0"/>
    <s v="Manish Arora"/>
  </r>
  <r>
    <s v="C20433"/>
    <s v="P-1182"/>
    <s v="City Care Clinic"/>
    <x v="4"/>
    <d v="2026-02-07T00:00:00"/>
    <d v="2026-02-19T00:00:00"/>
    <n v="10400"/>
    <n v="8105.9"/>
    <s v="Paid"/>
    <s v=""/>
    <s v="Neha G"/>
    <n v="238"/>
    <x v="1"/>
    <n v="0"/>
    <s v="Manish Arora"/>
  </r>
  <r>
    <s v="C20434"/>
    <s v="P-1268"/>
    <s v="Apex Ortho Center"/>
    <x v="3"/>
    <d v="2026-09-17T00:00:00"/>
    <d v="2026-09-29T00:00:00"/>
    <n v="6075"/>
    <m/>
    <s v="Pending"/>
    <s v=""/>
    <s v="Sandeep Y"/>
    <n v="16"/>
    <x v="3"/>
    <n v="6075"/>
    <s v="Sunita Rao"/>
  </r>
  <r>
    <s v="C20435"/>
    <s v="P-1208"/>
    <s v="Apex Ortho Center"/>
    <x v="7"/>
    <d v="2026-06-05T00:00:00"/>
    <d v="2026-06-23T00:00:00"/>
    <n v="13700"/>
    <n v="9740.89"/>
    <s v="Paid"/>
    <s v=""/>
    <s v="Kavita D"/>
    <n v="114"/>
    <x v="1"/>
    <n v="0"/>
    <s v="Deepak Nair"/>
  </r>
  <r>
    <s v="C20436"/>
    <s v="P-1430"/>
    <s v="Sunrise Hospital"/>
    <x v="6"/>
    <d v="2026-02-26T00:00:00"/>
    <d v="2026-03-10T00:00:00"/>
    <n v="9950"/>
    <n v="8821.17"/>
    <s v="Paid"/>
    <s v=""/>
    <s v="Priya K"/>
    <n v="219"/>
    <x v="1"/>
    <n v="0"/>
    <s v="Manish Arora"/>
  </r>
  <r>
    <s v="C20437"/>
    <s v="P-1030"/>
    <s v="Green Valley Health"/>
    <x v="3"/>
    <d v="2026-07-27T00:00:00"/>
    <d v="2026-08-13T00:00:00"/>
    <n v="3725"/>
    <n v="3665.46"/>
    <s v="Paid"/>
    <s v=""/>
    <s v="Priya K"/>
    <n v="63"/>
    <x v="2"/>
    <n v="0"/>
    <s v="Manish Arora"/>
  </r>
  <r>
    <s v="C20438"/>
    <s v="P-1163"/>
    <s v="Sunrise Hospital"/>
    <x v="7"/>
    <d v="2026-01-01T00:00:00"/>
    <d v="2026-01-12T00:00:00"/>
    <n v="2725"/>
    <n v="2243.23"/>
    <s v="Paid"/>
    <s v=""/>
    <s v="Sandeep Y"/>
    <n v="276"/>
    <x v="1"/>
    <n v="0"/>
    <s v="Sunita Rao"/>
  </r>
  <r>
    <s v="C20439"/>
    <s v="P-1114"/>
    <s v="City Care Clinic"/>
    <x v="6"/>
    <d v="2026-06-28T00:00:00"/>
    <d v="2026-07-03T00:00:00"/>
    <n v="2225"/>
    <n v="1913.11"/>
    <s v="Paid"/>
    <s v=""/>
    <s v="Amit V"/>
    <n v="104"/>
    <x v="1"/>
    <n v="0"/>
    <s v="Manish Arora"/>
  </r>
  <r>
    <s v="C20440"/>
    <s v="P-1332"/>
    <s v="City Care Clinic"/>
    <x v="7"/>
    <d v="2026-01-14T00:00:00"/>
    <d v="2026-02-01T00:00:00"/>
    <n v="11725"/>
    <n v="7866.86"/>
    <s v="Paid"/>
    <s v=""/>
    <s v="Priya K"/>
    <n v="256"/>
    <x v="1"/>
    <n v="0"/>
    <s v="Manish Arora"/>
  </r>
  <r>
    <s v="C20441"/>
    <s v="P-1211"/>
    <s v="Apex Ortho Center"/>
    <x v="6"/>
    <d v="2026-06-10T00:00:00"/>
    <d v="2026-06-18T00:00:00"/>
    <n v="10900"/>
    <n v="8833.85"/>
    <s v="Paid"/>
    <s v=""/>
    <s v="Sandeep Y"/>
    <n v="119"/>
    <x v="1"/>
    <n v="0"/>
    <s v="Sunita Rao"/>
  </r>
  <r>
    <s v="C20442"/>
    <s v="P-1493"/>
    <s v="City Care Clinic"/>
    <x v="6"/>
    <d v="2026-06-23T00:00:00"/>
    <d v="2026-06-28T00:00:00"/>
    <n v="10425"/>
    <n v="5740.32"/>
    <s v="Paid"/>
    <s v=""/>
    <s v="Kavita D"/>
    <n v="109"/>
    <x v="1"/>
    <n v="0"/>
    <s v="Deepak Nair"/>
  </r>
  <r>
    <s v="C20443"/>
    <s v="P-1318"/>
    <s v="Green Valley Health"/>
    <x v="7"/>
    <d v="2026-09-03T00:00:00"/>
    <d v="2026-09-07T00:00:00"/>
    <n v="12375"/>
    <n v="10215.870000000001"/>
    <s v="Paid"/>
    <s v=""/>
    <s v="Sandeep Y"/>
    <n v="38"/>
    <x v="0"/>
    <n v="0"/>
    <s v="Sunita Rao"/>
  </r>
  <r>
    <s v="C20444"/>
    <s v="P-1252"/>
    <s v="Green Valley Health"/>
    <x v="3"/>
    <d v="2026-05-10T00:00:00"/>
    <d v="2026-05-20T00:00:00"/>
    <n v="2450"/>
    <n v="1379"/>
    <s v="Paid"/>
    <s v=""/>
    <s v="Rohit B"/>
    <n v="148"/>
    <x v="1"/>
    <n v="0"/>
    <s v="Deepak Nair"/>
  </r>
  <r>
    <s v="C20445"/>
    <s v="P-1311"/>
    <s v="City Care Clinic"/>
    <x v="4"/>
    <d v="2026-05-29T00:00:00"/>
    <d v="2026-06-10T00:00:00"/>
    <n v="5125"/>
    <n v="2887.01"/>
    <s v="Paid"/>
    <s v=""/>
    <s v="Amit V"/>
    <n v="127"/>
    <x v="1"/>
    <n v="0"/>
    <s v="Manish Arora"/>
  </r>
  <r>
    <s v="C20446"/>
    <s v="P-1468"/>
    <s v="City Care Clinic"/>
    <x v="7"/>
    <d v="2026-04-17T00:00:00"/>
    <d v="2026-04-30T00:00:00"/>
    <n v="5475"/>
    <n v="5394.07"/>
    <s v="Paid"/>
    <s v=""/>
    <s v="Rohit B"/>
    <n v="168"/>
    <x v="1"/>
    <n v="0"/>
    <s v="Deepak Nair"/>
  </r>
  <r>
    <s v="C20447"/>
    <s v="P-1110"/>
    <s v="City Care Clinic"/>
    <x v="1"/>
    <d v="2026-09-06T00:00:00"/>
    <d v="2026-09-10T00:00:00"/>
    <n v="9725"/>
    <m/>
    <s v="Pending"/>
    <s v=""/>
    <s v="Rahul S"/>
    <n v="35"/>
    <x v="0"/>
    <n v="9725"/>
    <s v="Manish Arora"/>
  </r>
  <r>
    <s v="C20448"/>
    <s v="P-1023"/>
    <s v="Sunrise Hospital"/>
    <x v="7"/>
    <d v="2025-12-19T00:00:00"/>
    <d v="2026-01-02T00:00:00"/>
    <n v="2400"/>
    <m/>
    <s v="Pending"/>
    <s v=""/>
    <s v="Neha G"/>
    <n v="286"/>
    <x v="1"/>
    <n v="2400"/>
    <s v="Manish Arora"/>
  </r>
  <r>
    <s v="C20449"/>
    <s v="P-1413"/>
    <s v="Apex Ortho Center"/>
    <x v="3"/>
    <d v="2026-04-20T00:00:00"/>
    <d v="2026-04-26T00:00:00"/>
    <n v="9475"/>
    <n v="7093.9"/>
    <s v="Paid"/>
    <s v=""/>
    <s v="Priya K"/>
    <n v="172"/>
    <x v="1"/>
    <n v="0"/>
    <s v="Manish Arora"/>
  </r>
  <r>
    <s v="C20450"/>
    <s v="P-1365"/>
    <s v="Green Valley Health"/>
    <x v="7"/>
    <d v="2026-04-20T00:00:00"/>
    <d v="2026-05-05T00:00:00"/>
    <n v="7075"/>
    <n v="5599.62"/>
    <s v="Paid"/>
    <s v=""/>
    <s v="Anjali T"/>
    <n v="163"/>
    <x v="1"/>
    <n v="0"/>
    <s v="Deepak Nair"/>
  </r>
  <r>
    <s v="C20451"/>
    <s v="P-1045"/>
    <s v="Apex Ortho Center"/>
    <x v="3"/>
    <d v="2026-04-16T00:00:00"/>
    <d v="2026-04-25T00:00:00"/>
    <n v="3475"/>
    <n v="2776.41"/>
    <s v="Paid"/>
    <s v=""/>
    <s v="Rahul S"/>
    <n v="173"/>
    <x v="1"/>
    <n v="0"/>
    <s v="Manish Arora"/>
  </r>
  <r>
    <s v="C20452"/>
    <s v="P-1434"/>
    <s v="Green Valley Health"/>
    <x v="7"/>
    <d v="2026-09-22T00:00:00"/>
    <d v="2026-09-28T00:00:00"/>
    <n v="1600"/>
    <m/>
    <s v="Pending"/>
    <s v=""/>
    <s v="Vikas R"/>
    <n v="17"/>
    <x v="3"/>
    <n v="1600"/>
    <s v="Sunita Rao"/>
  </r>
  <r>
    <s v="C20453"/>
    <s v="P-1002"/>
    <s v="Sunrise Hospital"/>
    <x v="1"/>
    <d v="2026-04-23T00:00:00"/>
    <d v="2026-05-01T00:00:00"/>
    <n v="1900"/>
    <n v="0"/>
    <s v="Denied"/>
    <s v="Duplicate Claim"/>
    <s v="Priya K"/>
    <n v="167"/>
    <x v="1"/>
    <n v="0"/>
    <s v="Manish Arora"/>
  </r>
  <r>
    <s v="C20454"/>
    <s v="P-1068"/>
    <s v="City Care Clinic"/>
    <x v="0"/>
    <d v="2026-06-09T00:00:00"/>
    <d v="2026-06-27T00:00:00"/>
    <n v="10950"/>
    <n v="6697.06"/>
    <s v="Paid"/>
    <s v=""/>
    <s v="Kavita D"/>
    <n v="110"/>
    <x v="1"/>
    <n v="0"/>
    <s v="Deepak Nair"/>
  </r>
  <r>
    <s v="C20455"/>
    <s v="P-1444"/>
    <s v="Sunrise Hospital"/>
    <x v="2"/>
    <d v="2026-02-28T00:00:00"/>
    <d v="2026-03-12T00:00:00"/>
    <n v="11850"/>
    <n v="6668.68"/>
    <s v="Paid"/>
    <s v=""/>
    <s v="Anjali T"/>
    <n v="217"/>
    <x v="1"/>
    <n v="0"/>
    <s v="Deepak Nair"/>
  </r>
  <r>
    <s v="C20456"/>
    <s v="P-1234"/>
    <s v="Green Valley Health"/>
    <x v="3"/>
    <d v="2026-03-19T00:00:00"/>
    <d v="2026-04-06T00:00:00"/>
    <n v="5825"/>
    <n v="4370.6499999999996"/>
    <s v="Paid"/>
    <s v=""/>
    <s v="Amit V"/>
    <n v="192"/>
    <x v="1"/>
    <n v="0"/>
    <s v="Manish Arora"/>
  </r>
  <r>
    <s v="C20457"/>
    <s v="P-1098"/>
    <s v="Apex Ortho Center"/>
    <x v="4"/>
    <d v="2026-05-18T00:00:00"/>
    <d v="2026-05-29T00:00:00"/>
    <n v="11325"/>
    <n v="0"/>
    <s v="Denied"/>
    <s v="Timely Filing Exceeded"/>
    <s v="Rohit B"/>
    <n v="139"/>
    <x v="1"/>
    <n v="0"/>
    <s v="Deepak Nair"/>
  </r>
  <r>
    <s v="C20458"/>
    <s v="P-1041"/>
    <s v="Green Valley Health"/>
    <x v="3"/>
    <d v="2026-01-14T00:00:00"/>
    <d v="2026-02-02T00:00:00"/>
    <n v="4025"/>
    <n v="2877.4"/>
    <s v="Paid"/>
    <s v=""/>
    <s v="Neha G"/>
    <n v="255"/>
    <x v="1"/>
    <n v="0"/>
    <s v="Manish Arora"/>
  </r>
  <r>
    <s v="C20459"/>
    <s v="P-1062"/>
    <s v="Green Valley Health"/>
    <x v="6"/>
    <d v="2026-01-29T00:00:00"/>
    <d v="2026-02-13T00:00:00"/>
    <n v="12000"/>
    <n v="11713.83"/>
    <s v="Paid"/>
    <s v=""/>
    <s v="Anjali T"/>
    <n v="244"/>
    <x v="1"/>
    <n v="0"/>
    <s v="Deepak Nair"/>
  </r>
  <r>
    <s v="C20460"/>
    <s v="P-1054"/>
    <s v="City Care Clinic"/>
    <x v="0"/>
    <d v="2026-01-26T00:00:00"/>
    <d v="2026-02-02T00:00:00"/>
    <n v="3350"/>
    <n v="2006.04"/>
    <s v="Paid"/>
    <s v=""/>
    <s v="Anjali T"/>
    <n v="255"/>
    <x v="1"/>
    <n v="0"/>
    <s v="Deepak Nair"/>
  </r>
  <r>
    <s v="C20461"/>
    <s v="P-1220"/>
    <s v="City Care Clinic"/>
    <x v="6"/>
    <d v="2026-03-12T00:00:00"/>
    <d v="2026-03-23T00:00:00"/>
    <n v="14900"/>
    <n v="9534.39"/>
    <s v="Paid"/>
    <s v=""/>
    <s v="Amit V"/>
    <n v="206"/>
    <x v="1"/>
    <n v="0"/>
    <s v="Manish Arora"/>
  </r>
  <r>
    <s v="C20462"/>
    <s v="P-1476"/>
    <s v="Sunrise Hospital"/>
    <x v="8"/>
    <d v="2026-01-24T00:00:00"/>
    <d v="2026-02-04T00:00:00"/>
    <n v="4350"/>
    <n v="3193.33"/>
    <s v="Paid"/>
    <s v=""/>
    <s v="Neha G"/>
    <n v="253"/>
    <x v="1"/>
    <n v="0"/>
    <s v="Manish Arora"/>
  </r>
  <r>
    <s v="C20463"/>
    <s v="P-1331"/>
    <s v="City Care Clinic"/>
    <x v="4"/>
    <d v="2025-12-24T00:00:00"/>
    <d v="2026-01-09T00:00:00"/>
    <n v="1025"/>
    <n v="748.53"/>
    <s v="Paid"/>
    <s v=""/>
    <s v="Pooja M"/>
    <n v="279"/>
    <x v="1"/>
    <n v="0"/>
    <s v="Sunita Rao"/>
  </r>
  <r>
    <s v="C20464"/>
    <s v="P-1382"/>
    <s v="Apex Ortho Center"/>
    <x v="2"/>
    <d v="2026-04-29T00:00:00"/>
    <d v="2026-05-07T00:00:00"/>
    <n v="5425"/>
    <m/>
    <s v="Pending"/>
    <s v=""/>
    <s v="Rohit B"/>
    <n v="161"/>
    <x v="1"/>
    <n v="5425"/>
    <s v="Deepak Nair"/>
  </r>
  <r>
    <s v="C20465"/>
    <s v="P-1456"/>
    <s v="Apex Ortho Center"/>
    <x v="1"/>
    <d v="2026-05-18T00:00:00"/>
    <d v="2026-05-29T00:00:00"/>
    <n v="5350"/>
    <n v="0"/>
    <s v="Denied"/>
    <s v="Patient Not Eligible"/>
    <s v="Rohit B"/>
    <n v="139"/>
    <x v="1"/>
    <n v="0"/>
    <s v="Deepak Nair"/>
  </r>
  <r>
    <s v="C20466"/>
    <s v="P-1312"/>
    <s v="Sunrise Hospital"/>
    <x v="4"/>
    <d v="2026-01-03T00:00:00"/>
    <d v="2026-01-14T00:00:00"/>
    <n v="1250"/>
    <n v="709.82"/>
    <s v="Paid"/>
    <s v=""/>
    <s v="Priya K"/>
    <n v="274"/>
    <x v="1"/>
    <n v="0"/>
    <s v="Manish Arora"/>
  </r>
  <r>
    <s v="C20467"/>
    <s v="P-1424"/>
    <s v="Sunrise Hospital"/>
    <x v="0"/>
    <d v="2026-04-01T00:00:00"/>
    <d v="2026-04-08T00:00:00"/>
    <n v="12250"/>
    <n v="11878.11"/>
    <s v="Paid"/>
    <s v=""/>
    <s v="Neha G"/>
    <n v="190"/>
    <x v="1"/>
    <n v="0"/>
    <s v="Manish Arora"/>
  </r>
  <r>
    <s v="C20468"/>
    <s v="P-1328"/>
    <s v="Green Valley Health"/>
    <x v="6"/>
    <d v="2026-04-16T00:00:00"/>
    <d v="2026-04-29T00:00:00"/>
    <n v="2850"/>
    <n v="1884.4"/>
    <s v="Paid"/>
    <s v=""/>
    <s v="Neha G"/>
    <n v="169"/>
    <x v="1"/>
    <n v="0"/>
    <s v="Manish Arora"/>
  </r>
  <r>
    <s v="C20469"/>
    <s v="P-1151"/>
    <s v="City Care Clinic"/>
    <x v="2"/>
    <d v="2026-01-05T00:00:00"/>
    <d v="2026-01-15T00:00:00"/>
    <n v="9675"/>
    <n v="8827.3700000000008"/>
    <s v="Paid"/>
    <s v=""/>
    <s v="Rohit B"/>
    <n v="273"/>
    <x v="1"/>
    <n v="0"/>
    <s v="Deepak Nair"/>
  </r>
  <r>
    <s v="C20470"/>
    <s v="P-1479"/>
    <s v="Apex Ortho Center"/>
    <x v="1"/>
    <d v="2026-04-19T00:00:00"/>
    <d v="2026-05-01T00:00:00"/>
    <n v="3450"/>
    <n v="2062.71"/>
    <s v="Paid"/>
    <s v=""/>
    <s v="Vikas R"/>
    <n v="167"/>
    <x v="1"/>
    <n v="0"/>
    <s v="Sunita Rao"/>
  </r>
  <r>
    <s v="C20471"/>
    <s v="P-1116"/>
    <s v="Apex Ortho Center"/>
    <x v="6"/>
    <d v="2026-09-06T00:00:00"/>
    <d v="2026-09-23T00:00:00"/>
    <n v="12350"/>
    <n v="7266.61"/>
    <s v="Paid"/>
    <s v=""/>
    <s v="Rahul S"/>
    <n v="22"/>
    <x v="3"/>
    <n v="0"/>
    <s v="Manish Arora"/>
  </r>
  <r>
    <s v="C20472"/>
    <s v="P-1307"/>
    <s v="Green Valley Health"/>
    <x v="3"/>
    <d v="2026-04-05T00:00:00"/>
    <d v="2026-04-10T00:00:00"/>
    <n v="4875"/>
    <n v="4090.92"/>
    <s v="Paid"/>
    <s v=""/>
    <s v="Amit V"/>
    <n v="188"/>
    <x v="1"/>
    <n v="0"/>
    <s v="Manish Arora"/>
  </r>
  <r>
    <s v="C20473"/>
    <s v="P-1051"/>
    <s v="Apex Ortho Center"/>
    <x v="0"/>
    <d v="2026-05-13T00:00:00"/>
    <d v="2026-06-01T00:00:00"/>
    <n v="12175"/>
    <n v="8209.4699999999993"/>
    <s v="Paid"/>
    <s v=""/>
    <s v="Rohit B"/>
    <n v="136"/>
    <x v="1"/>
    <n v="0"/>
    <s v="Deepak Nair"/>
  </r>
  <r>
    <s v="C20474"/>
    <s v="P-1368"/>
    <s v="Sunrise Hospital"/>
    <x v="4"/>
    <d v="2026-04-05T00:00:00"/>
    <d v="2026-04-17T00:00:00"/>
    <n v="8175"/>
    <n v="7198.5"/>
    <s v="Paid"/>
    <s v=""/>
    <s v="Amit V"/>
    <n v="181"/>
    <x v="1"/>
    <n v="0"/>
    <s v="Manish Arora"/>
  </r>
  <r>
    <s v="C20475"/>
    <s v="P-1318"/>
    <s v="Sunrise Hospital"/>
    <x v="3"/>
    <d v="2026-08-29T00:00:00"/>
    <d v="2026-09-16T00:00:00"/>
    <n v="13575"/>
    <m/>
    <s v="Pending"/>
    <s v=""/>
    <s v="Priya K"/>
    <n v="29"/>
    <x v="3"/>
    <n v="13575"/>
    <s v="Manish Arora"/>
  </r>
  <r>
    <s v="C20476"/>
    <s v="P-1400"/>
    <s v="Green Valley Health"/>
    <x v="5"/>
    <d v="2026-02-28T00:00:00"/>
    <d v="2026-03-03T00:00:00"/>
    <n v="8400"/>
    <n v="6947.85"/>
    <s v="Paid"/>
    <s v=""/>
    <s v="Anjali T"/>
    <n v="226"/>
    <x v="1"/>
    <n v="0"/>
    <s v="Deepak Nair"/>
  </r>
  <r>
    <s v="C20477"/>
    <s v="P-1219"/>
    <s v="Green Valley Health"/>
    <x v="5"/>
    <d v="2026-06-15T00:00:00"/>
    <d v="2026-07-05T00:00:00"/>
    <n v="7175"/>
    <n v="6218.2"/>
    <s v="Paid"/>
    <s v=""/>
    <s v="Anjali T"/>
    <n v="102"/>
    <x v="1"/>
    <n v="0"/>
    <s v="Deepak Nair"/>
  </r>
  <r>
    <s v="C20478"/>
    <s v="P-1078"/>
    <s v="Sunrise Hospital"/>
    <x v="6"/>
    <d v="2026-03-12T00:00:00"/>
    <d v="2026-03-27T00:00:00"/>
    <n v="13375"/>
    <n v="7520.4"/>
    <s v="Paid"/>
    <s v=""/>
    <s v="Amit V"/>
    <n v="202"/>
    <x v="1"/>
    <n v="0"/>
    <s v="Manish Arora"/>
  </r>
  <r>
    <s v="C20479"/>
    <s v="P-1045"/>
    <s v="Green Valley Health"/>
    <x v="1"/>
    <d v="2026-03-10T00:00:00"/>
    <d v="2026-03-29T00:00:00"/>
    <n v="5975"/>
    <m/>
    <s v="Pending"/>
    <s v=""/>
    <s v="Neha G"/>
    <n v="200"/>
    <x v="1"/>
    <n v="5975"/>
    <s v="Manish Arora"/>
  </r>
  <r>
    <s v="C20480"/>
    <s v="P-1437"/>
    <s v="Apex Ortho Center"/>
    <x v="3"/>
    <d v="2026-08-13T00:00:00"/>
    <d v="2026-08-18T00:00:00"/>
    <n v="12050"/>
    <m/>
    <s v="Pending"/>
    <s v=""/>
    <s v="Sandeep Y"/>
    <n v="58"/>
    <x v="0"/>
    <n v="12050"/>
    <s v="Sunita Rao"/>
  </r>
  <r>
    <s v="C20481"/>
    <s v="P-1001"/>
    <s v="Green Valley Health"/>
    <x v="4"/>
    <d v="2026-02-08T00:00:00"/>
    <d v="2026-02-28T00:00:00"/>
    <n v="12350"/>
    <m/>
    <s v="Pending"/>
    <s v=""/>
    <s v="Kavita D"/>
    <n v="229"/>
    <x v="1"/>
    <n v="12350"/>
    <s v="Deepak Nair"/>
  </r>
  <r>
    <s v="C20482"/>
    <s v="P-1121"/>
    <s v="Green Valley Health"/>
    <x v="4"/>
    <d v="2026-05-06T00:00:00"/>
    <d v="2026-05-19T00:00:00"/>
    <n v="14300"/>
    <n v="13781.35"/>
    <s v="Paid"/>
    <s v=""/>
    <s v="Anjali T"/>
    <n v="149"/>
    <x v="1"/>
    <n v="0"/>
    <s v="Deepak Nair"/>
  </r>
  <r>
    <s v="C20483"/>
    <s v="P-1454"/>
    <s v="Apex Ortho Center"/>
    <x v="3"/>
    <d v="2026-03-06T00:00:00"/>
    <d v="2026-03-23T00:00:00"/>
    <n v="6225"/>
    <n v="4404.38"/>
    <s v="Paid"/>
    <s v=""/>
    <s v="Anjali T"/>
    <n v="206"/>
    <x v="1"/>
    <n v="0"/>
    <s v="Deepak Nair"/>
  </r>
  <r>
    <s v="C20484"/>
    <s v="P-1223"/>
    <s v="Green Valley Health"/>
    <x v="2"/>
    <d v="2026-03-22T00:00:00"/>
    <d v="2026-04-01T00:00:00"/>
    <n v="14275"/>
    <n v="10641.9"/>
    <s v="Paid"/>
    <s v=""/>
    <s v="Sandeep Y"/>
    <n v="197"/>
    <x v="1"/>
    <n v="0"/>
    <s v="Sunita Rao"/>
  </r>
  <r>
    <s v="C20485"/>
    <s v="P-1468"/>
    <s v="Green Valley Health"/>
    <x v="0"/>
    <d v="2026-05-01T00:00:00"/>
    <d v="2026-05-16T00:00:00"/>
    <n v="11500"/>
    <n v="7071.41"/>
    <s v="Paid"/>
    <s v=""/>
    <s v="Amit V"/>
    <n v="152"/>
    <x v="1"/>
    <n v="0"/>
    <s v="Manish Arora"/>
  </r>
  <r>
    <s v="C20486"/>
    <s v="P-1007"/>
    <s v="City Care Clinic"/>
    <x v="6"/>
    <d v="2026-04-05T00:00:00"/>
    <d v="2026-04-10T00:00:00"/>
    <n v="9400"/>
    <m/>
    <s v="Pending"/>
    <s v=""/>
    <s v="Sandeep Y"/>
    <n v="188"/>
    <x v="1"/>
    <n v="9400"/>
    <s v="Sunita Rao"/>
  </r>
  <r>
    <s v="C20487"/>
    <s v="P-1167"/>
    <s v="City Care Clinic"/>
    <x v="2"/>
    <d v="2026-01-08T00:00:00"/>
    <d v="2026-01-16T00:00:00"/>
    <n v="12975"/>
    <n v="12753.94"/>
    <s v="Paid"/>
    <s v=""/>
    <s v="Vikas R"/>
    <n v="272"/>
    <x v="1"/>
    <n v="0"/>
    <s v="Sunita Rao"/>
  </r>
  <r>
    <s v="C20488"/>
    <s v="P-1315"/>
    <s v="Sunrise Hospital"/>
    <x v="0"/>
    <d v="2026-05-24T00:00:00"/>
    <d v="2026-06-11T00:00:00"/>
    <n v="12850"/>
    <m/>
    <s v="Pending"/>
    <s v=""/>
    <s v="Rahul S"/>
    <n v="126"/>
    <x v="1"/>
    <n v="12850"/>
    <s v="Manish Arora"/>
  </r>
  <r>
    <s v="C20489"/>
    <s v="P-1218"/>
    <s v="Green Valley Health"/>
    <x v="4"/>
    <d v="2026-04-15T00:00:00"/>
    <d v="2026-05-03T00:00:00"/>
    <n v="9825"/>
    <n v="7236.48"/>
    <s v="Paid"/>
    <s v=""/>
    <s v="Amit V"/>
    <n v="165"/>
    <x v="1"/>
    <n v="0"/>
    <s v="Manish Arora"/>
  </r>
  <r>
    <s v="C20490"/>
    <s v="P-1028"/>
    <s v="Sunrise Hospital"/>
    <x v="4"/>
    <d v="2026-08-22T00:00:00"/>
    <d v="2026-09-09T00:00:00"/>
    <n v="7275"/>
    <n v="6010.03"/>
    <s v="Paid"/>
    <s v=""/>
    <s v="Vikas R"/>
    <n v="36"/>
    <x v="0"/>
    <n v="0"/>
    <s v="Sunita Rao"/>
  </r>
  <r>
    <s v="C20491"/>
    <s v="P-1016"/>
    <s v="Apex Ortho Center"/>
    <x v="4"/>
    <d v="2026-02-12T00:00:00"/>
    <d v="2026-02-22T00:00:00"/>
    <n v="575"/>
    <n v="510.53"/>
    <s v="Paid"/>
    <s v=""/>
    <s v="Anjali T"/>
    <n v="235"/>
    <x v="1"/>
    <n v="0"/>
    <s v="Deepak Nair"/>
  </r>
  <r>
    <s v="C20492"/>
    <s v="P-1128"/>
    <s v="City Care Clinic"/>
    <x v="6"/>
    <d v="2026-08-13T00:00:00"/>
    <d v="2026-08-22T00:00:00"/>
    <n v="13325"/>
    <m/>
    <s v="Pending"/>
    <s v=""/>
    <s v="Priya K"/>
    <n v="54"/>
    <x v="0"/>
    <n v="13325"/>
    <s v="Manish Arora"/>
  </r>
  <r>
    <s v="C20493"/>
    <s v="P-1407"/>
    <s v="Green Valley Health"/>
    <x v="4"/>
    <d v="2026-01-12T00:00:00"/>
    <d v="2026-01-18T00:00:00"/>
    <n v="2450"/>
    <n v="2331.9299999999998"/>
    <s v="Paid"/>
    <s v=""/>
    <s v="Anjali T"/>
    <n v="270"/>
    <x v="1"/>
    <n v="0"/>
    <s v="Deepak Nair"/>
  </r>
  <r>
    <s v="C20494"/>
    <s v="P-1270"/>
    <s v="Sunrise Hospital"/>
    <x v="1"/>
    <d v="2026-04-12T00:00:00"/>
    <d v="2026-04-29T00:00:00"/>
    <n v="14075"/>
    <n v="10464.76"/>
    <s v="Paid"/>
    <s v=""/>
    <s v="Priya K"/>
    <n v="169"/>
    <x v="1"/>
    <n v="0"/>
    <s v="Manish Arora"/>
  </r>
  <r>
    <s v="C20495"/>
    <s v="P-1003"/>
    <s v="Apex Ortho Center"/>
    <x v="3"/>
    <d v="2026-03-02T00:00:00"/>
    <d v="2026-03-07T00:00:00"/>
    <n v="13275"/>
    <n v="8812.51"/>
    <s v="Paid"/>
    <s v=""/>
    <s v="Anjali T"/>
    <n v="222"/>
    <x v="1"/>
    <n v="0"/>
    <s v="Deepak Nair"/>
  </r>
  <r>
    <s v="C20496"/>
    <s v="P-1135"/>
    <s v="City Care Clinic"/>
    <x v="3"/>
    <d v="2026-05-10T00:00:00"/>
    <d v="2026-05-13T00:00:00"/>
    <n v="12900"/>
    <m/>
    <s v="Pending"/>
    <s v=""/>
    <s v="Pooja M"/>
    <n v="155"/>
    <x v="1"/>
    <n v="12900"/>
    <s v="Sunita Rao"/>
  </r>
  <r>
    <s v="C20497"/>
    <s v="P-1395"/>
    <s v="Apex Ortho Center"/>
    <x v="1"/>
    <d v="2026-07-15T00:00:00"/>
    <d v="2026-07-28T00:00:00"/>
    <n v="2050"/>
    <n v="1488.47"/>
    <s v="Paid"/>
    <s v=""/>
    <s v="Anjali T"/>
    <n v="79"/>
    <x v="2"/>
    <n v="0"/>
    <s v="Deepak Nair"/>
  </r>
  <r>
    <s v="C20498"/>
    <s v="P-1009"/>
    <s v="Sunrise Hospital"/>
    <x v="4"/>
    <d v="2026-05-15T00:00:00"/>
    <d v="2026-06-03T00:00:00"/>
    <n v="4050"/>
    <n v="3833.47"/>
    <s v="Paid"/>
    <s v=""/>
    <s v="Rohit B"/>
    <n v="134"/>
    <x v="1"/>
    <n v="0"/>
    <s v="Deepak Nair"/>
  </r>
  <r>
    <s v="C20499"/>
    <s v="P-1251"/>
    <s v="Green Valley Health"/>
    <x v="0"/>
    <d v="2026-07-20T00:00:00"/>
    <d v="2026-08-09T00:00:00"/>
    <n v="11175"/>
    <n v="9737.7800000000007"/>
    <s v="Paid"/>
    <s v=""/>
    <s v="Sandeep Y"/>
    <n v="67"/>
    <x v="2"/>
    <n v="0"/>
    <s v="Sunita Rao"/>
  </r>
  <r>
    <s v="C20500"/>
    <s v="P-1079"/>
    <s v="City Care Clinic"/>
    <x v="3"/>
    <d v="2026-07-21T00:00:00"/>
    <d v="2026-08-08T00:00:00"/>
    <n v="2300"/>
    <m/>
    <s v="Pending"/>
    <s v=""/>
    <s v="Amit V"/>
    <n v="68"/>
    <x v="2"/>
    <n v="2300"/>
    <s v="Manish Arora"/>
  </r>
  <r>
    <s v="C20501"/>
    <s v="P-1188"/>
    <s v="City Care Clinic"/>
    <x v="6"/>
    <d v="2026-01-06T00:00:00"/>
    <d v="2026-01-13T00:00:00"/>
    <n v="14550"/>
    <m/>
    <s v="Pending"/>
    <s v=""/>
    <s v="Anjali T"/>
    <n v="275"/>
    <x v="1"/>
    <n v="14550"/>
    <s v="Deepak Nair"/>
  </r>
  <r>
    <s v="C20502"/>
    <s v="P-1398"/>
    <s v="Sunrise Hospital"/>
    <x v="3"/>
    <d v="2026-03-25T00:00:00"/>
    <d v="2026-03-29T00:00:00"/>
    <n v="14325"/>
    <n v="9381.25"/>
    <s v="Paid"/>
    <s v=""/>
    <s v="Rahul S"/>
    <n v="200"/>
    <x v="1"/>
    <n v="0"/>
    <s v="Manish Arora"/>
  </r>
  <r>
    <s v="C20503"/>
    <s v="P-1268"/>
    <s v="Green Valley Health"/>
    <x v="3"/>
    <d v="2026-03-17T00:00:00"/>
    <d v="2026-04-05T00:00:00"/>
    <n v="13650"/>
    <n v="8661.75"/>
    <s v="Paid"/>
    <s v=""/>
    <s v="Kavita D"/>
    <n v="193"/>
    <x v="1"/>
    <n v="0"/>
    <s v="Deepak Nair"/>
  </r>
  <r>
    <s v="C20504"/>
    <s v="P-1272"/>
    <s v="Apex Ortho Center"/>
    <x v="7"/>
    <d v="2026-08-18T00:00:00"/>
    <d v="2026-09-03T00:00:00"/>
    <n v="12100"/>
    <m/>
    <s v="Pending"/>
    <s v=""/>
    <s v="Priya K"/>
    <n v="42"/>
    <x v="0"/>
    <n v="12100"/>
    <s v="Manish Arora"/>
  </r>
  <r>
    <s v="C20505"/>
    <s v="P-1077"/>
    <s v="Green Valley Health"/>
    <x v="0"/>
    <d v="2026-09-18T00:00:00"/>
    <d v="2026-09-28T00:00:00"/>
    <n v="2900"/>
    <n v="2425.7399999999998"/>
    <s v="Paid"/>
    <s v=""/>
    <s v="Vikas R"/>
    <n v="17"/>
    <x v="3"/>
    <n v="0"/>
    <s v="Sunita Rao"/>
  </r>
  <r>
    <s v="C20506"/>
    <s v="P-1003"/>
    <s v="Sunrise Hospital"/>
    <x v="4"/>
    <d v="2026-04-25T00:00:00"/>
    <d v="2026-05-03T00:00:00"/>
    <n v="8050"/>
    <m/>
    <s v="Pending"/>
    <s v=""/>
    <s v="Pooja M"/>
    <n v="165"/>
    <x v="1"/>
    <n v="8050"/>
    <s v="Sunita Rao"/>
  </r>
  <r>
    <s v="C20507"/>
    <s v="P-1323"/>
    <s v="City Care Clinic"/>
    <x v="6"/>
    <d v="2026-08-31T00:00:00"/>
    <d v="2026-09-17T00:00:00"/>
    <n v="2000"/>
    <m/>
    <s v="Pending"/>
    <s v=""/>
    <s v="Kavita D"/>
    <n v="28"/>
    <x v="3"/>
    <n v="2000"/>
    <s v="Deepak Nair"/>
  </r>
  <r>
    <s v="C20508"/>
    <s v="P-1137"/>
    <s v="Green Valley Health"/>
    <x v="4"/>
    <d v="2026-07-11T00:00:00"/>
    <d v="2026-07-28T00:00:00"/>
    <n v="11725"/>
    <n v="7547.58"/>
    <s v="Paid"/>
    <s v=""/>
    <s v="Rohit B"/>
    <n v="79"/>
    <x v="2"/>
    <n v="0"/>
    <s v="Deepak Nair"/>
  </r>
  <r>
    <s v="C20509"/>
    <s v="P-1487"/>
    <s v="Sunrise Hospital"/>
    <x v="1"/>
    <d v="2026-07-25T00:00:00"/>
    <d v="2026-08-08T00:00:00"/>
    <n v="7475"/>
    <n v="5712.97"/>
    <s v="Paid"/>
    <s v=""/>
    <s v="Priya K"/>
    <n v="68"/>
    <x v="2"/>
    <n v="0"/>
    <s v="Manish Arora"/>
  </r>
  <r>
    <s v="C20510"/>
    <s v="P-1344"/>
    <s v="Sunrise Hospital"/>
    <x v="7"/>
    <d v="2026-05-21T00:00:00"/>
    <d v="2026-05-24T00:00:00"/>
    <n v="4250"/>
    <n v="4133.03"/>
    <s v="Paid"/>
    <s v=""/>
    <s v="Priya K"/>
    <n v="144"/>
    <x v="1"/>
    <n v="0"/>
    <s v="Manish Arora"/>
  </r>
  <r>
    <s v="C20511"/>
    <s v="P-1476"/>
    <s v="Sunrise Hospital"/>
    <x v="3"/>
    <d v="2026-07-03T00:00:00"/>
    <d v="2026-07-13T00:00:00"/>
    <n v="12975"/>
    <n v="11011.63"/>
    <s v="Paid"/>
    <s v=""/>
    <s v="Rahul S"/>
    <n v="94"/>
    <x v="1"/>
    <n v="0"/>
    <s v="Manish Arora"/>
  </r>
  <r>
    <s v="C20512"/>
    <s v="P-1291"/>
    <s v="Sunrise Hospital"/>
    <x v="0"/>
    <d v="2026-07-16T00:00:00"/>
    <d v="2026-08-03T00:00:00"/>
    <n v="10000"/>
    <m/>
    <s v="Pending"/>
    <s v=""/>
    <s v="Rohit B"/>
    <n v="73"/>
    <x v="2"/>
    <n v="10000"/>
    <s v="Deepak Nair"/>
  </r>
  <r>
    <s v="C20513"/>
    <s v="P-1105"/>
    <s v="Sunrise Hospital"/>
    <x v="6"/>
    <d v="2026-01-19T00:00:00"/>
    <d v="2026-02-02T00:00:00"/>
    <n v="12950"/>
    <n v="0"/>
    <s v="Denied"/>
    <s v="Coding Error"/>
    <s v="Rohit B"/>
    <n v="255"/>
    <x v="1"/>
    <n v="0"/>
    <s v="Deepak Nair"/>
  </r>
  <r>
    <s v="C20514"/>
    <s v="P-1214"/>
    <s v="Sunrise Hospital"/>
    <x v="6"/>
    <d v="2026-05-06T00:00:00"/>
    <d v="2026-05-17T00:00:00"/>
    <n v="12325"/>
    <n v="9838.02"/>
    <s v="Paid"/>
    <s v=""/>
    <s v="Neha G"/>
    <n v="151"/>
    <x v="1"/>
    <n v="0"/>
    <s v="Manish Arora"/>
  </r>
  <r>
    <s v="C20515"/>
    <s v="P-1420"/>
    <s v="Sunrise Hospital"/>
    <x v="8"/>
    <d v="2026-02-15T00:00:00"/>
    <d v="2026-03-02T00:00:00"/>
    <n v="975"/>
    <n v="844.58"/>
    <s v="Paid"/>
    <s v=""/>
    <s v="Pooja M"/>
    <n v="227"/>
    <x v="1"/>
    <n v="0"/>
    <s v="Sunita Rao"/>
  </r>
  <r>
    <s v="C20516"/>
    <s v="P-1045"/>
    <s v="City Care Clinic"/>
    <x v="1"/>
    <d v="2026-05-13T00:00:00"/>
    <d v="2026-05-27T00:00:00"/>
    <n v="6525"/>
    <n v="4768.79"/>
    <s v="Paid"/>
    <s v=""/>
    <s v="Vikas R"/>
    <n v="141"/>
    <x v="1"/>
    <n v="0"/>
    <s v="Sunita Rao"/>
  </r>
  <r>
    <s v="C20517"/>
    <s v="P-1204"/>
    <s v="City Care Clinic"/>
    <x v="4"/>
    <d v="2026-06-23T00:00:00"/>
    <d v="2026-07-08T00:00:00"/>
    <n v="6575"/>
    <n v="4091.48"/>
    <s v="Paid"/>
    <s v=""/>
    <s v="Pooja M"/>
    <n v="99"/>
    <x v="1"/>
    <n v="0"/>
    <s v="Sunita Rao"/>
  </r>
  <r>
    <s v="C20518"/>
    <s v="P-1105"/>
    <s v="City Care Clinic"/>
    <x v="2"/>
    <d v="2026-05-08T00:00:00"/>
    <d v="2026-05-16T00:00:00"/>
    <n v="11250"/>
    <m/>
    <s v="Pending"/>
    <s v=""/>
    <s v="Sandeep Y"/>
    <n v="152"/>
    <x v="1"/>
    <n v="11250"/>
    <s v="Sunita Rao"/>
  </r>
  <r>
    <s v="C20519"/>
    <s v="P-1290"/>
    <s v="Apex Ortho Center"/>
    <x v="3"/>
    <d v="2026-06-29T00:00:00"/>
    <d v="2026-07-16T00:00:00"/>
    <n v="10875"/>
    <n v="6117.15"/>
    <s v="Paid"/>
    <s v=""/>
    <s v="Pooja M"/>
    <n v="91"/>
    <x v="1"/>
    <n v="0"/>
    <s v="Sunita Rao"/>
  </r>
  <r>
    <s v="C20520"/>
    <s v="P-1026"/>
    <s v="City Care Clinic"/>
    <x v="1"/>
    <d v="2025-12-17T00:00:00"/>
    <d v="2026-01-04T00:00:00"/>
    <n v="2200"/>
    <n v="1927.56"/>
    <s v="Paid"/>
    <s v=""/>
    <s v="Pooja M"/>
    <n v="284"/>
    <x v="1"/>
    <n v="0"/>
    <s v="Sunita Rao"/>
  </r>
  <r>
    <s v="C20521"/>
    <s v="P-1270"/>
    <s v="Apex Ortho Center"/>
    <x v="6"/>
    <d v="2026-04-24T00:00:00"/>
    <d v="2026-05-01T00:00:00"/>
    <n v="10875"/>
    <n v="7169.08"/>
    <s v="Paid"/>
    <s v=""/>
    <s v="Pooja M"/>
    <n v="167"/>
    <x v="1"/>
    <n v="0"/>
    <s v="Sunita Rao"/>
  </r>
  <r>
    <s v="C20522"/>
    <s v="P-1466"/>
    <s v="City Care Clinic"/>
    <x v="6"/>
    <d v="2026-06-15T00:00:00"/>
    <d v="2026-06-28T00:00:00"/>
    <n v="6500"/>
    <n v="5498.28"/>
    <s v="Paid"/>
    <s v=""/>
    <s v="Anjali T"/>
    <n v="109"/>
    <x v="1"/>
    <n v="0"/>
    <s v="Deepak Nair"/>
  </r>
  <r>
    <s v="C20523"/>
    <s v="P-1356"/>
    <s v="City Care Clinic"/>
    <x v="3"/>
    <d v="2026-02-13T00:00:00"/>
    <d v="2026-02-17T00:00:00"/>
    <n v="4825"/>
    <n v="3564.06"/>
    <s v="Paid"/>
    <s v=""/>
    <s v="Rohit B"/>
    <n v="240"/>
    <x v="1"/>
    <n v="0"/>
    <s v="Deepak Nair"/>
  </r>
  <r>
    <s v="C20524"/>
    <s v="P-1152"/>
    <s v="Green Valley Health"/>
    <x v="6"/>
    <d v="2026-03-17T00:00:00"/>
    <d v="2026-03-23T00:00:00"/>
    <n v="12700"/>
    <n v="9788.7099999999991"/>
    <s v="Paid"/>
    <s v=""/>
    <s v="Rohit B"/>
    <n v="206"/>
    <x v="1"/>
    <n v="0"/>
    <s v="Deepak Nair"/>
  </r>
  <r>
    <s v="C20525"/>
    <s v="P-1352"/>
    <s v="City Care Clinic"/>
    <x v="3"/>
    <d v="2026-09-13T00:00:00"/>
    <d v="2026-09-25T00:00:00"/>
    <n v="9875"/>
    <m/>
    <s v="Pending"/>
    <s v=""/>
    <s v="Priya K"/>
    <n v="20"/>
    <x v="3"/>
    <n v="9875"/>
    <s v="Manish Arora"/>
  </r>
  <r>
    <s v="C20526"/>
    <s v="P-1364"/>
    <s v="City Care Clinic"/>
    <x v="3"/>
    <d v="2026-07-22T00:00:00"/>
    <d v="2026-08-10T00:00:00"/>
    <n v="14100"/>
    <m/>
    <s v="Pending"/>
    <s v=""/>
    <s v="Sandeep Y"/>
    <n v="66"/>
    <x v="2"/>
    <n v="14100"/>
    <s v="Sunita Rao"/>
  </r>
  <r>
    <s v="C20527"/>
    <s v="P-1307"/>
    <s v="Sunrise Hospital"/>
    <x v="3"/>
    <d v="2026-07-23T00:00:00"/>
    <d v="2026-08-12T00:00:00"/>
    <n v="3750"/>
    <m/>
    <s v="Pending"/>
    <s v=""/>
    <s v="Amit V"/>
    <n v="64"/>
    <x v="2"/>
    <n v="3750"/>
    <s v="Manish Arora"/>
  </r>
  <r>
    <s v="C20528"/>
    <s v="P-1390"/>
    <s v="Green Valley Health"/>
    <x v="3"/>
    <d v="2026-08-05T00:00:00"/>
    <d v="2026-08-22T00:00:00"/>
    <n v="13925"/>
    <n v="8365.64"/>
    <s v="Paid"/>
    <s v=""/>
    <s v="Sandeep Y"/>
    <n v="54"/>
    <x v="0"/>
    <n v="0"/>
    <s v="Sunita Rao"/>
  </r>
  <r>
    <s v="C20529"/>
    <s v="P-1187"/>
    <s v="City Care Clinic"/>
    <x v="2"/>
    <d v="2026-04-20T00:00:00"/>
    <d v="2026-05-03T00:00:00"/>
    <n v="13625"/>
    <n v="10359.780000000001"/>
    <s v="Paid"/>
    <s v=""/>
    <s v="Vikas R"/>
    <n v="165"/>
    <x v="1"/>
    <n v="0"/>
    <s v="Sunita Rao"/>
  </r>
  <r>
    <s v="C20530"/>
    <s v="P-1223"/>
    <s v="Green Valley Health"/>
    <x v="1"/>
    <d v="2026-05-16T00:00:00"/>
    <d v="2026-06-05T00:00:00"/>
    <n v="1550"/>
    <n v="925.53"/>
    <s v="Paid"/>
    <s v=""/>
    <s v="Pooja M"/>
    <n v="132"/>
    <x v="1"/>
    <n v="0"/>
    <s v="Sunita Rao"/>
  </r>
  <r>
    <s v="C20531"/>
    <s v="P-1360"/>
    <s v="Sunrise Hospital"/>
    <x v="6"/>
    <d v="2026-08-10T00:00:00"/>
    <d v="2026-08-19T00:00:00"/>
    <n v="12825"/>
    <n v="11884.49"/>
    <s v="Paid"/>
    <s v=""/>
    <s v="Kavita D"/>
    <n v="57"/>
    <x v="0"/>
    <n v="0"/>
    <s v="Deepak Nair"/>
  </r>
  <r>
    <s v="C20532"/>
    <s v="P-1198"/>
    <s v="Green Valley Health"/>
    <x v="8"/>
    <d v="2026-03-09T00:00:00"/>
    <d v="2026-03-27T00:00:00"/>
    <n v="8750"/>
    <n v="8625.4"/>
    <s v="Paid"/>
    <s v=""/>
    <s v="Anjali T"/>
    <n v="202"/>
    <x v="1"/>
    <n v="0"/>
    <s v="Deepak Nair"/>
  </r>
  <r>
    <s v="C20533"/>
    <s v="P-1440"/>
    <s v="City Care Clinic"/>
    <x v="0"/>
    <d v="2025-12-28T00:00:00"/>
    <d v="2026-01-14T00:00:00"/>
    <n v="4625"/>
    <n v="4068.53"/>
    <s v="Paid"/>
    <s v=""/>
    <s v="Anjali T"/>
    <n v="274"/>
    <x v="1"/>
    <n v="0"/>
    <s v="Deepak Nair"/>
  </r>
  <r>
    <s v="C20534"/>
    <s v="P-1161"/>
    <s v="Sunrise Hospital"/>
    <x v="7"/>
    <d v="2026-02-06T00:00:00"/>
    <d v="2026-02-10T00:00:00"/>
    <n v="12850"/>
    <n v="12248.8"/>
    <s v="Paid"/>
    <s v=""/>
    <s v="Anjali T"/>
    <n v="247"/>
    <x v="1"/>
    <n v="0"/>
    <s v="Deepak Nair"/>
  </r>
  <r>
    <s v="C20535"/>
    <s v="P-1092"/>
    <s v="Green Valley Health"/>
    <x v="7"/>
    <d v="2026-09-18T00:00:00"/>
    <d v="2026-09-22T00:00:00"/>
    <n v="10275"/>
    <m/>
    <s v="Pending"/>
    <s v=""/>
    <s v="Amit V"/>
    <n v="23"/>
    <x v="3"/>
    <n v="10275"/>
    <s v="Manish Arora"/>
  </r>
  <r>
    <s v="C20536"/>
    <s v="P-1446"/>
    <s v="Sunrise Hospital"/>
    <x v="4"/>
    <d v="2026-09-10T00:00:00"/>
    <d v="2026-09-18T00:00:00"/>
    <n v="12075"/>
    <n v="9324.4500000000007"/>
    <s v="Paid"/>
    <s v=""/>
    <s v="Rahul S"/>
    <n v="27"/>
    <x v="3"/>
    <n v="0"/>
    <s v="Manish Arora"/>
  </r>
  <r>
    <s v="C20537"/>
    <s v="P-1073"/>
    <s v="City Care Clinic"/>
    <x v="2"/>
    <d v="2026-04-08T00:00:00"/>
    <d v="2026-04-19T00:00:00"/>
    <n v="11125"/>
    <m/>
    <s v="Pending"/>
    <s v=""/>
    <s v="Anjali T"/>
    <n v="179"/>
    <x v="1"/>
    <n v="11125"/>
    <s v="Deepak Nair"/>
  </r>
  <r>
    <s v="C20538"/>
    <s v="P-1059"/>
    <s v="Sunrise Hospital"/>
    <x v="6"/>
    <d v="2026-06-02T00:00:00"/>
    <d v="2026-06-07T00:00:00"/>
    <n v="7550"/>
    <n v="6192.41"/>
    <s v="Paid"/>
    <s v=""/>
    <s v="Amit V"/>
    <n v="130"/>
    <x v="1"/>
    <n v="0"/>
    <s v="Manish Arora"/>
  </r>
  <r>
    <s v="C20539"/>
    <s v="P-1373"/>
    <s v="City Care Clinic"/>
    <x v="0"/>
    <d v="2026-01-10T00:00:00"/>
    <d v="2026-01-18T00:00:00"/>
    <n v="2200"/>
    <m/>
    <s v="Pending"/>
    <s v=""/>
    <s v="Vikas R"/>
    <n v="270"/>
    <x v="1"/>
    <n v="2200"/>
    <s v="Sunita Rao"/>
  </r>
  <r>
    <s v="C20540"/>
    <s v="P-1197"/>
    <s v="Sunrise Hospital"/>
    <x v="3"/>
    <d v="2026-07-25T00:00:00"/>
    <d v="2026-07-31T00:00:00"/>
    <n v="6175"/>
    <n v="5796.22"/>
    <s v="Paid"/>
    <s v=""/>
    <s v="Anjali T"/>
    <n v="76"/>
    <x v="2"/>
    <n v="0"/>
    <s v="Deepak Nair"/>
  </r>
  <r>
    <s v="C20541"/>
    <s v="P-1430"/>
    <s v="City Care Clinic"/>
    <x v="2"/>
    <d v="2025-12-29T00:00:00"/>
    <d v="2026-01-06T00:00:00"/>
    <n v="8475"/>
    <m/>
    <s v="Pending"/>
    <s v=""/>
    <s v="Vikas R"/>
    <n v="282"/>
    <x v="1"/>
    <n v="8475"/>
    <s v="Sunita Rao"/>
  </r>
  <r>
    <s v="C20542"/>
    <s v="P-1131"/>
    <s v="City Care Clinic"/>
    <x v="0"/>
    <d v="2026-04-08T00:00:00"/>
    <d v="2026-04-25T00:00:00"/>
    <n v="7150"/>
    <n v="4187.8500000000004"/>
    <s v="Paid"/>
    <s v=""/>
    <s v="Priya K"/>
    <n v="173"/>
    <x v="1"/>
    <n v="0"/>
    <s v="Manish Arora"/>
  </r>
  <r>
    <s v="C20543"/>
    <s v="P-1236"/>
    <s v="Green Valley Health"/>
    <x v="3"/>
    <d v="2026-07-29T00:00:00"/>
    <d v="2026-08-17T00:00:00"/>
    <n v="12275"/>
    <m/>
    <s v="Pending"/>
    <s v=""/>
    <s v="Pooja M"/>
    <n v="59"/>
    <x v="0"/>
    <n v="12275"/>
    <s v="Sunita Rao"/>
  </r>
  <r>
    <s v="C20544"/>
    <s v="P-1395"/>
    <s v="City Care Clinic"/>
    <x v="4"/>
    <d v="2026-08-06T00:00:00"/>
    <d v="2026-08-13T00:00:00"/>
    <n v="7250"/>
    <n v="6828.76"/>
    <s v="Paid"/>
    <s v=""/>
    <s v="Anjali T"/>
    <n v="63"/>
    <x v="2"/>
    <n v="0"/>
    <s v="Deepak Nair"/>
  </r>
  <r>
    <s v="C20545"/>
    <s v="P-1363"/>
    <s v="Green Valley Health"/>
    <x v="7"/>
    <d v="2026-09-17T00:00:00"/>
    <d v="2026-09-27T00:00:00"/>
    <n v="4600"/>
    <m/>
    <s v="Pending"/>
    <s v=""/>
    <s v="Sandeep Y"/>
    <n v="18"/>
    <x v="3"/>
    <n v="4600"/>
    <s v="Sunita Rao"/>
  </r>
  <r>
    <s v="C20546"/>
    <s v="P-1341"/>
    <s v="Sunrise Hospital"/>
    <x v="6"/>
    <d v="2026-06-23T00:00:00"/>
    <d v="2026-07-05T00:00:00"/>
    <n v="14425"/>
    <n v="0"/>
    <s v="Denied"/>
    <s v="Incorrect Patient Info"/>
    <s v="Priya K"/>
    <n v="102"/>
    <x v="1"/>
    <n v="0"/>
    <s v="Manish Arora"/>
  </r>
  <r>
    <s v="C20547"/>
    <s v="P-1007"/>
    <s v="Apex Ortho Center"/>
    <x v="3"/>
    <d v="2026-05-07T00:00:00"/>
    <d v="2026-05-24T00:00:00"/>
    <n v="900"/>
    <n v="577.85"/>
    <s v="Paid"/>
    <s v=""/>
    <s v="Rahul S"/>
    <n v="144"/>
    <x v="1"/>
    <n v="0"/>
    <s v="Manish Arora"/>
  </r>
  <r>
    <s v="C20548"/>
    <s v="P-1267"/>
    <s v="City Care Clinic"/>
    <x v="4"/>
    <d v="2026-04-17T00:00:00"/>
    <d v="2026-04-20T00:00:00"/>
    <n v="14125"/>
    <n v="11332.55"/>
    <s v="Paid"/>
    <s v=""/>
    <s v="Neha G"/>
    <n v="178"/>
    <x v="1"/>
    <n v="0"/>
    <s v="Manish Arora"/>
  </r>
  <r>
    <s v="C20549"/>
    <s v="P-1141"/>
    <s v="Sunrise Hospital"/>
    <x v="0"/>
    <d v="2026-03-03T00:00:00"/>
    <d v="2026-03-21T00:00:00"/>
    <n v="7025"/>
    <n v="5994.55"/>
    <s v="Paid"/>
    <s v=""/>
    <s v="Sandeep Y"/>
    <n v="208"/>
    <x v="1"/>
    <n v="0"/>
    <s v="Sunita Rao"/>
  </r>
  <r>
    <s v="C20550"/>
    <s v="P-1466"/>
    <s v="Apex Ortho Center"/>
    <x v="6"/>
    <d v="2026-07-02T00:00:00"/>
    <d v="2026-07-11T00:00:00"/>
    <n v="13225"/>
    <n v="10432.73"/>
    <s v="Paid"/>
    <s v=""/>
    <s v="Pooja M"/>
    <n v="96"/>
    <x v="1"/>
    <n v="0"/>
    <s v="Sunita Rao"/>
  </r>
  <r>
    <s v="C20551"/>
    <s v="P-1048"/>
    <s v="Green Valley Health"/>
    <x v="6"/>
    <d v="2025-12-23T00:00:00"/>
    <d v="2026-01-03T00:00:00"/>
    <n v="9300"/>
    <n v="5855.45"/>
    <s v="Paid"/>
    <s v=""/>
    <s v="Rohit B"/>
    <n v="285"/>
    <x v="1"/>
    <n v="0"/>
    <s v="Deepak Nair"/>
  </r>
  <r>
    <s v="C20552"/>
    <s v="P-1026"/>
    <s v="Sunrise Hospital"/>
    <x v="1"/>
    <d v="2026-09-12T00:00:00"/>
    <d v="2026-09-30T00:00:00"/>
    <n v="9000"/>
    <m/>
    <s v="Pending"/>
    <s v=""/>
    <s v="Pooja M"/>
    <n v="15"/>
    <x v="3"/>
    <n v="9000"/>
    <s v="Sunita Rao"/>
  </r>
  <r>
    <s v="C20553"/>
    <s v="P-1194"/>
    <s v="Sunrise Hospital"/>
    <x v="3"/>
    <d v="2026-05-30T00:00:00"/>
    <d v="2026-06-02T00:00:00"/>
    <n v="11325"/>
    <m/>
    <s v="Pending"/>
    <s v=""/>
    <s v="Priya K"/>
    <n v="135"/>
    <x v="1"/>
    <n v="11325"/>
    <s v="Manish Arora"/>
  </r>
  <r>
    <s v="C20554"/>
    <s v="P-1173"/>
    <s v="City Care Clinic"/>
    <x v="2"/>
    <d v="2026-05-15T00:00:00"/>
    <d v="2026-06-02T00:00:00"/>
    <n v="1750"/>
    <n v="1684.91"/>
    <s v="Paid"/>
    <s v=""/>
    <s v="Priya K"/>
    <n v="135"/>
    <x v="1"/>
    <n v="0"/>
    <s v="Manish Arora"/>
  </r>
  <r>
    <s v="C20555"/>
    <s v="P-1271"/>
    <s v="Apex Ortho Center"/>
    <x v="1"/>
    <d v="2026-02-05T00:00:00"/>
    <d v="2026-02-10T00:00:00"/>
    <n v="12200"/>
    <n v="0"/>
    <s v="Denied"/>
    <s v="Medical Necessity Not Met"/>
    <s v="Priya K"/>
    <n v="247"/>
    <x v="1"/>
    <n v="0"/>
    <s v="Manish Arora"/>
  </r>
  <r>
    <s v="C20556"/>
    <s v="P-1289"/>
    <s v="Sunrise Hospital"/>
    <x v="0"/>
    <d v="2026-09-12T00:00:00"/>
    <d v="2026-09-17T00:00:00"/>
    <n v="5800"/>
    <m/>
    <s v="Pending"/>
    <s v=""/>
    <s v="Kavita D"/>
    <n v="28"/>
    <x v="3"/>
    <n v="5800"/>
    <s v="Deepak Nair"/>
  </r>
  <r>
    <s v="C20557"/>
    <s v="P-1204"/>
    <s v="City Care Clinic"/>
    <x v="1"/>
    <d v="2026-01-27T00:00:00"/>
    <d v="2026-02-11T00:00:00"/>
    <n v="11350"/>
    <n v="9387.7199999999993"/>
    <s v="Paid"/>
    <s v=""/>
    <s v="Priya K"/>
    <n v="246"/>
    <x v="1"/>
    <n v="0"/>
    <s v="Manish Arora"/>
  </r>
  <r>
    <s v="C20558"/>
    <s v="P-1075"/>
    <s v="Apex Ortho Center"/>
    <x v="6"/>
    <d v="2026-08-15T00:00:00"/>
    <d v="2026-08-31T00:00:00"/>
    <n v="5900"/>
    <n v="3819.1"/>
    <s v="Paid"/>
    <s v=""/>
    <s v="Rohit B"/>
    <n v="45"/>
    <x v="0"/>
    <n v="0"/>
    <s v="Deepak Nair"/>
  </r>
  <r>
    <s v="C20559"/>
    <s v="P-1038"/>
    <s v="City Care Clinic"/>
    <x v="3"/>
    <d v="2026-07-07T00:00:00"/>
    <d v="2026-07-10T00:00:00"/>
    <n v="12550"/>
    <m/>
    <s v="Pending"/>
    <s v=""/>
    <s v="Pooja M"/>
    <n v="97"/>
    <x v="1"/>
    <n v="12550"/>
    <s v="Sunita Rao"/>
  </r>
  <r>
    <s v="C20560"/>
    <s v="P-1182"/>
    <s v="City Care Clinic"/>
    <x v="4"/>
    <d v="2026-01-13T00:00:00"/>
    <d v="2026-01-30T00:00:00"/>
    <n v="5325"/>
    <n v="4686.47"/>
    <s v="Paid"/>
    <s v=""/>
    <s v="Vikas R"/>
    <n v="258"/>
    <x v="1"/>
    <n v="0"/>
    <s v="Sunita Rao"/>
  </r>
  <r>
    <s v="C20561"/>
    <s v="P-1397"/>
    <s v="Apex Ortho Center"/>
    <x v="3"/>
    <d v="2026-08-29T00:00:00"/>
    <d v="2026-09-18T00:00:00"/>
    <n v="5725"/>
    <m/>
    <s v="Pending"/>
    <s v=""/>
    <s v="Rahul S"/>
    <n v="27"/>
    <x v="3"/>
    <n v="5725"/>
    <s v="Manish Arora"/>
  </r>
  <r>
    <s v="C20562"/>
    <s v="P-1048"/>
    <s v="Green Valley Health"/>
    <x v="4"/>
    <d v="2026-08-18T00:00:00"/>
    <d v="2026-09-04T00:00:00"/>
    <n v="3975"/>
    <n v="3309.43"/>
    <s v="Paid"/>
    <s v=""/>
    <s v="Vikas R"/>
    <n v="41"/>
    <x v="0"/>
    <n v="0"/>
    <s v="Sunita Rao"/>
  </r>
  <r>
    <s v="C20563"/>
    <s v="P-1095"/>
    <s v="Green Valley Health"/>
    <x v="1"/>
    <d v="2026-01-21T00:00:00"/>
    <d v="2026-02-07T00:00:00"/>
    <n v="4950"/>
    <m/>
    <s v="Pending"/>
    <s v=""/>
    <s v="Rohit B"/>
    <n v="250"/>
    <x v="1"/>
    <n v="4950"/>
    <s v="Deepak Nair"/>
  </r>
  <r>
    <s v="C20564"/>
    <s v="P-1014"/>
    <s v="Sunrise Hospital"/>
    <x v="6"/>
    <d v="2026-05-04T00:00:00"/>
    <d v="2026-05-11T00:00:00"/>
    <n v="14975"/>
    <n v="9849.5499999999993"/>
    <s v="Paid"/>
    <s v=""/>
    <s v="Neha G"/>
    <n v="157"/>
    <x v="1"/>
    <n v="0"/>
    <s v="Manish Arora"/>
  </r>
  <r>
    <s v="C20565"/>
    <s v="P-1122"/>
    <s v="Green Valley Health"/>
    <x v="1"/>
    <d v="2026-05-19T00:00:00"/>
    <d v="2026-06-08T00:00:00"/>
    <n v="13250"/>
    <n v="8681.2099999999991"/>
    <s v="Paid"/>
    <s v=""/>
    <s v="Rahul S"/>
    <n v="129"/>
    <x v="1"/>
    <n v="0"/>
    <s v="Manish Arora"/>
  </r>
  <r>
    <s v="C20566"/>
    <s v="P-1231"/>
    <s v="City Care Clinic"/>
    <x v="3"/>
    <d v="2026-05-09T00:00:00"/>
    <d v="2026-05-26T00:00:00"/>
    <n v="2500"/>
    <n v="1689.13"/>
    <s v="Paid"/>
    <s v=""/>
    <s v="Vikas R"/>
    <n v="142"/>
    <x v="1"/>
    <n v="0"/>
    <s v="Sunita Rao"/>
  </r>
  <r>
    <s v="C20567"/>
    <s v="P-1002"/>
    <s v="Green Valley Health"/>
    <x v="0"/>
    <d v="2026-06-26T00:00:00"/>
    <d v="2026-07-04T00:00:00"/>
    <n v="8200"/>
    <n v="0"/>
    <s v="Denied"/>
    <s v="Coding Error"/>
    <s v="Pooja M"/>
    <n v="103"/>
    <x v="1"/>
    <n v="0"/>
    <s v="Sunita Rao"/>
  </r>
  <r>
    <s v="C20568"/>
    <s v="P-1385"/>
    <s v="Apex Ortho Center"/>
    <x v="6"/>
    <d v="2026-04-12T00:00:00"/>
    <d v="2026-04-29T00:00:00"/>
    <n v="5400"/>
    <n v="3828.7"/>
    <s v="Paid"/>
    <s v=""/>
    <s v="Pooja M"/>
    <n v="169"/>
    <x v="1"/>
    <n v="0"/>
    <s v="Sunita Rao"/>
  </r>
  <r>
    <s v="C20569"/>
    <s v="P-1416"/>
    <s v="Green Valley Health"/>
    <x v="3"/>
    <d v="2026-03-07T00:00:00"/>
    <d v="2026-03-14T00:00:00"/>
    <n v="9275"/>
    <m/>
    <s v="Pending"/>
    <s v=""/>
    <s v="Sandeep Y"/>
    <n v="215"/>
    <x v="1"/>
    <n v="9275"/>
    <s v="Sunita Rao"/>
  </r>
  <r>
    <s v="C20570"/>
    <s v="P-1465"/>
    <s v="City Care Clinic"/>
    <x v="2"/>
    <d v="2026-01-05T00:00:00"/>
    <d v="2026-01-16T00:00:00"/>
    <n v="12525"/>
    <n v="10261.31"/>
    <s v="Paid"/>
    <s v=""/>
    <s v="Anjali T"/>
    <n v="272"/>
    <x v="1"/>
    <n v="0"/>
    <s v="Deepak Nair"/>
  </r>
  <r>
    <s v="C20571"/>
    <s v="P-1121"/>
    <s v="Sunrise Hospital"/>
    <x v="1"/>
    <d v="2025-12-19T00:00:00"/>
    <d v="2026-01-06T00:00:00"/>
    <n v="14375"/>
    <n v="11319.7"/>
    <s v="Paid"/>
    <s v=""/>
    <s v="Kavita D"/>
    <n v="282"/>
    <x v="1"/>
    <n v="0"/>
    <s v="Deepak Nair"/>
  </r>
  <r>
    <s v="C20572"/>
    <s v="P-1317"/>
    <s v="Green Valley Health"/>
    <x v="0"/>
    <d v="2026-05-30T00:00:00"/>
    <d v="2026-06-09T00:00:00"/>
    <n v="9650"/>
    <n v="6214.54"/>
    <s v="Paid"/>
    <s v=""/>
    <s v="Anjali T"/>
    <n v="128"/>
    <x v="1"/>
    <n v="0"/>
    <s v="Deepak Nair"/>
  </r>
  <r>
    <s v="C20573"/>
    <s v="P-1047"/>
    <s v="Green Valley Health"/>
    <x v="0"/>
    <d v="2026-06-21T00:00:00"/>
    <d v="2026-06-27T00:00:00"/>
    <n v="10275"/>
    <m/>
    <s v="Pending"/>
    <s v=""/>
    <s v="Kavita D"/>
    <n v="110"/>
    <x v="1"/>
    <n v="10275"/>
    <s v="Deepak Nair"/>
  </r>
  <r>
    <s v="C20574"/>
    <s v="P-1133"/>
    <s v="Green Valley Health"/>
    <x v="6"/>
    <d v="2026-03-05T00:00:00"/>
    <d v="2026-03-24T00:00:00"/>
    <n v="13250"/>
    <n v="12802.07"/>
    <s v="Paid"/>
    <s v=""/>
    <s v="Priya K"/>
    <n v="205"/>
    <x v="1"/>
    <n v="0"/>
    <s v="Manish Arora"/>
  </r>
  <r>
    <s v="C20575"/>
    <s v="P-1304"/>
    <s v="Green Valley Health"/>
    <x v="7"/>
    <d v="2026-04-15T00:00:00"/>
    <d v="2026-04-19T00:00:00"/>
    <n v="6225"/>
    <n v="5603.47"/>
    <s v="Paid"/>
    <s v=""/>
    <s v="Amit V"/>
    <n v="179"/>
    <x v="1"/>
    <n v="0"/>
    <s v="Manish Arora"/>
  </r>
  <r>
    <s v="C20576"/>
    <s v="P-1149"/>
    <s v="Sunrise Hospital"/>
    <x v="0"/>
    <d v="2026-04-19T00:00:00"/>
    <d v="2026-04-24T00:00:00"/>
    <n v="2000"/>
    <m/>
    <s v="Pending"/>
    <s v=""/>
    <s v="Anjali T"/>
    <n v="174"/>
    <x v="1"/>
    <n v="2000"/>
    <s v="Deepak Nair"/>
  </r>
  <r>
    <s v="C20577"/>
    <s v="P-1267"/>
    <s v="City Care Clinic"/>
    <x v="6"/>
    <d v="2026-05-12T00:00:00"/>
    <d v="2026-05-31T00:00:00"/>
    <n v="8125"/>
    <n v="5104.33"/>
    <s v="Paid"/>
    <s v=""/>
    <s v="Sandeep Y"/>
    <n v="137"/>
    <x v="1"/>
    <n v="0"/>
    <s v="Sunita Rao"/>
  </r>
  <r>
    <s v="C20578"/>
    <s v="P-1347"/>
    <s v="Apex Ortho Center"/>
    <x v="3"/>
    <d v="2026-05-02T00:00:00"/>
    <d v="2026-05-21T00:00:00"/>
    <n v="7450"/>
    <n v="0"/>
    <s v="Denied"/>
    <s v="Timely Filing Exceeded"/>
    <s v="Rahul S"/>
    <n v="147"/>
    <x v="1"/>
    <n v="0"/>
    <s v="Manish Arora"/>
  </r>
  <r>
    <s v="C20579"/>
    <s v="P-1063"/>
    <s v="City Care Clinic"/>
    <x v="5"/>
    <d v="2026-01-30T00:00:00"/>
    <d v="2026-02-14T00:00:00"/>
    <n v="12100"/>
    <m/>
    <s v="Pending"/>
    <s v=""/>
    <s v="Pooja M"/>
    <n v="243"/>
    <x v="1"/>
    <n v="12100"/>
    <s v="Sunita Rao"/>
  </r>
  <r>
    <s v="C20580"/>
    <s v="P-1376"/>
    <s v="Apex Ortho Center"/>
    <x v="1"/>
    <d v="2026-01-23T00:00:00"/>
    <d v="2026-02-12T00:00:00"/>
    <n v="2525"/>
    <n v="0"/>
    <s v="Denied"/>
    <s v="Patient Not Eligible"/>
    <s v="Rohit B"/>
    <n v="245"/>
    <x v="1"/>
    <n v="0"/>
    <s v="Deepak Nair"/>
  </r>
  <r>
    <s v="C20581"/>
    <s v="P-1279"/>
    <s v="Sunrise Hospital"/>
    <x v="5"/>
    <d v="2026-01-13T00:00:00"/>
    <d v="2026-02-01T00:00:00"/>
    <n v="2400"/>
    <n v="0"/>
    <s v="Denied"/>
    <s v="Medical Necessity Not Met"/>
    <s v="Rahul S"/>
    <n v="256"/>
    <x v="1"/>
    <n v="0"/>
    <s v="Manish Arora"/>
  </r>
  <r>
    <s v="C20582"/>
    <s v="P-1370"/>
    <s v="City Care Clinic"/>
    <x v="6"/>
    <d v="2026-04-21T00:00:00"/>
    <d v="2026-05-03T00:00:00"/>
    <n v="14050"/>
    <n v="11430.32"/>
    <s v="Paid"/>
    <s v=""/>
    <s v="Rahul S"/>
    <n v="165"/>
    <x v="1"/>
    <n v="0"/>
    <s v="Manish Arora"/>
  </r>
  <r>
    <s v="C20583"/>
    <s v="P-1294"/>
    <s v="Sunrise Hospital"/>
    <x v="0"/>
    <d v="2026-06-02T00:00:00"/>
    <d v="2026-06-10T00:00:00"/>
    <n v="10900"/>
    <m/>
    <s v="Pending"/>
    <s v=""/>
    <s v="Rahul S"/>
    <n v="127"/>
    <x v="1"/>
    <n v="10900"/>
    <s v="Manish Arora"/>
  </r>
  <r>
    <s v="C20584"/>
    <s v="P-1306"/>
    <s v="Sunrise Hospital"/>
    <x v="7"/>
    <d v="2026-01-28T00:00:00"/>
    <d v="2026-02-04T00:00:00"/>
    <n v="13450"/>
    <n v="12524.22"/>
    <s v="Paid"/>
    <s v=""/>
    <s v="Amit V"/>
    <n v="253"/>
    <x v="1"/>
    <n v="0"/>
    <s v="Manish Arora"/>
  </r>
  <r>
    <s v="C20585"/>
    <s v="P-1357"/>
    <s v="Apex Ortho Center"/>
    <x v="2"/>
    <d v="2026-04-11T00:00:00"/>
    <d v="2026-04-28T00:00:00"/>
    <n v="5700"/>
    <n v="3709.99"/>
    <s v="Paid"/>
    <s v=""/>
    <s v="Vikas R"/>
    <n v="170"/>
    <x v="1"/>
    <n v="0"/>
    <s v="Sunita Rao"/>
  </r>
  <r>
    <s v="C20586"/>
    <s v="P-1358"/>
    <s v="City Care Clinic"/>
    <x v="5"/>
    <d v="2026-02-28T00:00:00"/>
    <d v="2026-03-06T00:00:00"/>
    <n v="7150"/>
    <n v="4284.91"/>
    <s v="Paid"/>
    <s v=""/>
    <s v="Vikas R"/>
    <n v="223"/>
    <x v="1"/>
    <n v="0"/>
    <s v="Sunita Rao"/>
  </r>
  <r>
    <s v="C20587"/>
    <s v="P-1268"/>
    <s v="Green Valley Health"/>
    <x v="2"/>
    <d v="2026-03-02T00:00:00"/>
    <d v="2026-03-07T00:00:00"/>
    <n v="13875"/>
    <n v="13249.7"/>
    <s v="Paid"/>
    <s v=""/>
    <s v="Vikas R"/>
    <n v="222"/>
    <x v="1"/>
    <n v="0"/>
    <s v="Sunita Rao"/>
  </r>
  <r>
    <s v="C20588"/>
    <s v="P-1108"/>
    <s v="City Care Clinic"/>
    <x v="1"/>
    <d v="2026-06-07T00:00:00"/>
    <d v="2026-06-21T00:00:00"/>
    <n v="13150"/>
    <n v="9405.8700000000008"/>
    <s v="Paid"/>
    <s v=""/>
    <s v="Vikas R"/>
    <n v="116"/>
    <x v="1"/>
    <n v="0"/>
    <s v="Sunita Rao"/>
  </r>
  <r>
    <s v="C20589"/>
    <s v="P-1297"/>
    <s v="Apex Ortho Center"/>
    <x v="6"/>
    <d v="2026-08-18T00:00:00"/>
    <d v="2026-09-04T00:00:00"/>
    <n v="5950"/>
    <m/>
    <s v="Pending"/>
    <s v=""/>
    <s v="Anjali T"/>
    <n v="41"/>
    <x v="0"/>
    <n v="5950"/>
    <s v="Deepak Nair"/>
  </r>
  <r>
    <s v="C20590"/>
    <s v="P-1014"/>
    <s v="Sunrise Hospital"/>
    <x v="4"/>
    <d v="2026-05-05T00:00:00"/>
    <d v="2026-05-10T00:00:00"/>
    <n v="11900"/>
    <n v="6691.64"/>
    <s v="Paid"/>
    <s v=""/>
    <s v="Vikas R"/>
    <n v="158"/>
    <x v="1"/>
    <n v="0"/>
    <s v="Sunita Rao"/>
  </r>
  <r>
    <s v="C20591"/>
    <s v="P-1347"/>
    <s v="Sunrise Hospital"/>
    <x v="6"/>
    <d v="2026-01-12T00:00:00"/>
    <d v="2026-01-21T00:00:00"/>
    <n v="6375"/>
    <m/>
    <s v="Pending"/>
    <s v=""/>
    <s v="Amit V"/>
    <n v="267"/>
    <x v="1"/>
    <n v="6375"/>
    <s v="Manish Arora"/>
  </r>
  <r>
    <s v="C20592"/>
    <s v="P-1426"/>
    <s v="Sunrise Hospital"/>
    <x v="6"/>
    <d v="2025-12-30T00:00:00"/>
    <d v="2026-01-06T00:00:00"/>
    <n v="1200"/>
    <n v="934.59"/>
    <s v="Paid"/>
    <s v=""/>
    <s v="Priya K"/>
    <n v="282"/>
    <x v="1"/>
    <n v="0"/>
    <s v="Manish Arora"/>
  </r>
  <r>
    <s v="C20593"/>
    <s v="P-1093"/>
    <s v="Green Valley Health"/>
    <x v="4"/>
    <d v="2026-01-05T00:00:00"/>
    <d v="2026-01-09T00:00:00"/>
    <n v="975"/>
    <m/>
    <s v="Pending"/>
    <s v=""/>
    <s v="Pooja M"/>
    <n v="279"/>
    <x v="1"/>
    <n v="975"/>
    <s v="Sunita Rao"/>
  </r>
  <r>
    <s v="C20594"/>
    <s v="P-1107"/>
    <s v="Green Valley Health"/>
    <x v="4"/>
    <d v="2026-06-22T00:00:00"/>
    <d v="2026-06-29T00:00:00"/>
    <n v="650"/>
    <m/>
    <s v="Pending"/>
    <s v=""/>
    <s v="Amit V"/>
    <n v="108"/>
    <x v="1"/>
    <n v="650"/>
    <s v="Manish Arora"/>
  </r>
  <r>
    <s v="C20595"/>
    <s v="P-1064"/>
    <s v="Apex Ortho Center"/>
    <x v="2"/>
    <d v="2026-06-15T00:00:00"/>
    <d v="2026-06-21T00:00:00"/>
    <n v="7975"/>
    <n v="5269.83"/>
    <s v="Paid"/>
    <s v=""/>
    <s v="Pooja M"/>
    <n v="116"/>
    <x v="1"/>
    <n v="0"/>
    <s v="Sunita Rao"/>
  </r>
  <r>
    <s v="C20596"/>
    <s v="P-1441"/>
    <s v="Sunrise Hospital"/>
    <x v="5"/>
    <d v="2026-01-25T00:00:00"/>
    <d v="2026-02-04T00:00:00"/>
    <n v="13800"/>
    <n v="10610.82"/>
    <s v="Paid"/>
    <s v=""/>
    <s v="Rohit B"/>
    <n v="253"/>
    <x v="1"/>
    <n v="0"/>
    <s v="Deepak Nair"/>
  </r>
  <r>
    <s v="C20597"/>
    <s v="P-1490"/>
    <s v="Apex Ortho Center"/>
    <x v="2"/>
    <d v="2026-04-30T00:00:00"/>
    <d v="2026-05-04T00:00:00"/>
    <n v="675"/>
    <n v="434.39"/>
    <s v="Paid"/>
    <s v=""/>
    <s v="Rahul S"/>
    <n v="164"/>
    <x v="1"/>
    <n v="0"/>
    <s v="Manish Arora"/>
  </r>
  <r>
    <s v="C20598"/>
    <s v="P-1362"/>
    <s v="City Care Clinic"/>
    <x v="3"/>
    <d v="2026-05-20T00:00:00"/>
    <d v="2026-06-02T00:00:00"/>
    <n v="14100"/>
    <n v="13523.02"/>
    <s v="Paid"/>
    <s v=""/>
    <s v="Neha G"/>
    <n v="135"/>
    <x v="1"/>
    <n v="0"/>
    <s v="Manish Arora"/>
  </r>
  <r>
    <s v="C20599"/>
    <s v="P-1370"/>
    <s v="Green Valley Health"/>
    <x v="6"/>
    <d v="2026-03-17T00:00:00"/>
    <d v="2026-03-31T00:00:00"/>
    <n v="8500"/>
    <n v="7099.71"/>
    <s v="Paid"/>
    <s v=""/>
    <s v="Anjali T"/>
    <n v="198"/>
    <x v="1"/>
    <n v="0"/>
    <s v="Deepak Nair"/>
  </r>
  <r>
    <s v="C20600"/>
    <s v="P-1208"/>
    <s v="Green Valley Health"/>
    <x v="5"/>
    <d v="2026-03-05T00:00:00"/>
    <d v="2026-03-09T00:00:00"/>
    <n v="7025"/>
    <n v="0"/>
    <s v="Denied"/>
    <s v="Medical Necessity Not Met"/>
    <s v="Kavita D"/>
    <n v="220"/>
    <x v="1"/>
    <n v="0"/>
    <s v="Deepak Nair"/>
  </r>
  <r>
    <s v="C20601"/>
    <s v="P-1172"/>
    <s v="Green Valley Health"/>
    <x v="3"/>
    <d v="2026-02-15T00:00:00"/>
    <d v="2026-03-06T00:00:00"/>
    <n v="9950"/>
    <m/>
    <s v="Pending"/>
    <s v=""/>
    <s v="Sandeep Y"/>
    <n v="223"/>
    <x v="1"/>
    <n v="9950"/>
    <s v="Sunita Rao"/>
  </r>
  <r>
    <s v="C20602"/>
    <s v="P-1088"/>
    <s v="Apex Ortho Center"/>
    <x v="6"/>
    <d v="2026-09-24T00:00:00"/>
    <d v="2026-09-29T00:00:00"/>
    <n v="7000"/>
    <m/>
    <s v="Pending"/>
    <s v=""/>
    <s v="Neha G"/>
    <n v="16"/>
    <x v="3"/>
    <n v="7000"/>
    <s v="Manish Arora"/>
  </r>
  <r>
    <s v="C20603"/>
    <s v="P-1295"/>
    <s v="Green Valley Health"/>
    <x v="2"/>
    <d v="2026-02-18T00:00:00"/>
    <d v="2026-03-08T00:00:00"/>
    <n v="9400"/>
    <n v="9124.8700000000008"/>
    <s v="Paid"/>
    <s v=""/>
    <s v="Pooja M"/>
    <n v="221"/>
    <x v="1"/>
    <n v="0"/>
    <s v="Sunita Rao"/>
  </r>
  <r>
    <s v="C20604"/>
    <s v="P-1070"/>
    <s v="Apex Ortho Center"/>
    <x v="1"/>
    <d v="2026-06-27T00:00:00"/>
    <d v="2026-07-07T00:00:00"/>
    <n v="2025"/>
    <m/>
    <s v="Pending"/>
    <s v=""/>
    <s v="Rahul S"/>
    <n v="100"/>
    <x v="1"/>
    <n v="2025"/>
    <s v="Manish Arora"/>
  </r>
  <r>
    <s v="C20605"/>
    <s v="P-1416"/>
    <s v="City Care Clinic"/>
    <x v="1"/>
    <d v="2026-02-02T00:00:00"/>
    <d v="2026-02-14T00:00:00"/>
    <n v="7025"/>
    <n v="5249.12"/>
    <s v="Paid"/>
    <s v=""/>
    <s v="Vikas R"/>
    <n v="243"/>
    <x v="1"/>
    <n v="0"/>
    <s v="Sunita Rao"/>
  </r>
  <r>
    <s v="C20606"/>
    <s v="P-1208"/>
    <s v="City Care Clinic"/>
    <x v="4"/>
    <d v="2026-06-27T00:00:00"/>
    <d v="2026-07-14T00:00:00"/>
    <n v="8425"/>
    <n v="0"/>
    <s v="Denied"/>
    <s v="Duplicate Claim"/>
    <s v="Anjali T"/>
    <n v="93"/>
    <x v="1"/>
    <n v="0"/>
    <s v="Deepak Nair"/>
  </r>
  <r>
    <s v="C20607"/>
    <s v="P-1250"/>
    <s v="City Care Clinic"/>
    <x v="7"/>
    <d v="2026-04-07T00:00:00"/>
    <d v="2026-04-20T00:00:00"/>
    <n v="10500"/>
    <n v="7700.5"/>
    <s v="Paid"/>
    <s v=""/>
    <s v="Amit V"/>
    <n v="178"/>
    <x v="1"/>
    <n v="0"/>
    <s v="Manish Arora"/>
  </r>
  <r>
    <s v="C20608"/>
    <s v="P-1023"/>
    <s v="Sunrise Hospital"/>
    <x v="4"/>
    <d v="2026-07-04T00:00:00"/>
    <d v="2026-07-10T00:00:00"/>
    <n v="6525"/>
    <m/>
    <s v="Pending"/>
    <s v=""/>
    <s v="Priya K"/>
    <n v="97"/>
    <x v="1"/>
    <n v="6525"/>
    <s v="Manish Arora"/>
  </r>
  <r>
    <s v="C20609"/>
    <s v="P-1409"/>
    <s v="Green Valley Health"/>
    <x v="1"/>
    <d v="2026-02-19T00:00:00"/>
    <d v="2026-03-07T00:00:00"/>
    <n v="4325"/>
    <n v="3032.55"/>
    <s v="Paid"/>
    <s v=""/>
    <s v="Neha G"/>
    <n v="222"/>
    <x v="1"/>
    <n v="0"/>
    <s v="Manish Arora"/>
  </r>
  <r>
    <s v="C20610"/>
    <s v="P-1233"/>
    <s v="Apex Ortho Center"/>
    <x v="6"/>
    <d v="2026-07-19T00:00:00"/>
    <d v="2026-07-30T00:00:00"/>
    <n v="1700"/>
    <m/>
    <s v="Pending"/>
    <s v=""/>
    <s v="Priya K"/>
    <n v="77"/>
    <x v="2"/>
    <n v="1700"/>
    <s v="Manish Arora"/>
  </r>
  <r>
    <s v="C20611"/>
    <s v="P-1049"/>
    <s v="Apex Ortho Center"/>
    <x v="0"/>
    <d v="2026-07-29T00:00:00"/>
    <d v="2026-08-10T00:00:00"/>
    <n v="13225"/>
    <m/>
    <s v="Pending"/>
    <s v=""/>
    <s v="Pooja M"/>
    <n v="66"/>
    <x v="2"/>
    <n v="13225"/>
    <s v="Sunita Rao"/>
  </r>
  <r>
    <s v="C20612"/>
    <s v="P-1313"/>
    <s v="Green Valley Health"/>
    <x v="2"/>
    <d v="2026-04-22T00:00:00"/>
    <d v="2026-05-06T00:00:00"/>
    <n v="13750"/>
    <n v="11031.67"/>
    <s v="Paid"/>
    <s v=""/>
    <s v="Vikas R"/>
    <n v="162"/>
    <x v="1"/>
    <n v="0"/>
    <s v="Sunita Rao"/>
  </r>
  <r>
    <s v="C20613"/>
    <s v="P-1118"/>
    <s v="City Care Clinic"/>
    <x v="1"/>
    <d v="2026-09-23T00:00:00"/>
    <d v="2026-10-04T00:00:00"/>
    <n v="5625"/>
    <m/>
    <s v="Pending"/>
    <s v=""/>
    <s v="Kavita D"/>
    <n v="11"/>
    <x v="3"/>
    <n v="5625"/>
    <s v="Deepak Nair"/>
  </r>
  <r>
    <s v="C20614"/>
    <s v="P-1043"/>
    <s v="Green Valley Health"/>
    <x v="7"/>
    <d v="2026-08-16T00:00:00"/>
    <d v="2026-08-28T00:00:00"/>
    <n v="7150"/>
    <m/>
    <s v="Pending"/>
    <s v=""/>
    <s v="Pooja M"/>
    <n v="48"/>
    <x v="0"/>
    <n v="7150"/>
    <s v="Sunita Rao"/>
  </r>
  <r>
    <s v="C20615"/>
    <s v="P-1184"/>
    <s v="Apex Ortho Center"/>
    <x v="7"/>
    <d v="2026-06-20T00:00:00"/>
    <d v="2026-06-25T00:00:00"/>
    <n v="8725"/>
    <n v="8487.49"/>
    <s v="Paid"/>
    <s v=""/>
    <s v="Rahul S"/>
    <n v="112"/>
    <x v="1"/>
    <n v="0"/>
    <s v="Manish Arora"/>
  </r>
  <r>
    <s v="C20616"/>
    <s v="P-1239"/>
    <s v="Sunrise Hospital"/>
    <x v="7"/>
    <d v="2026-02-01T00:00:00"/>
    <d v="2026-02-10T00:00:00"/>
    <n v="13800"/>
    <n v="13264.04"/>
    <s v="Paid"/>
    <s v=""/>
    <s v="Amit V"/>
    <n v="247"/>
    <x v="1"/>
    <n v="0"/>
    <s v="Manish Arora"/>
  </r>
  <r>
    <s v="C20617"/>
    <s v="P-1184"/>
    <s v="City Care Clinic"/>
    <x v="5"/>
    <d v="2026-05-21T00:00:00"/>
    <d v="2026-05-31T00:00:00"/>
    <n v="9650"/>
    <n v="5433.67"/>
    <s v="Paid"/>
    <s v=""/>
    <s v="Vikas R"/>
    <n v="137"/>
    <x v="1"/>
    <n v="0"/>
    <s v="Sunita Rao"/>
  </r>
  <r>
    <s v="C20618"/>
    <s v="P-1140"/>
    <s v="Apex Ortho Center"/>
    <x v="7"/>
    <d v="2026-05-03T00:00:00"/>
    <d v="2026-05-23T00:00:00"/>
    <n v="3475"/>
    <n v="2520.79"/>
    <s v="Paid"/>
    <s v=""/>
    <s v="Pooja M"/>
    <n v="145"/>
    <x v="1"/>
    <n v="0"/>
    <s v="Sunita Rao"/>
  </r>
  <r>
    <s v="C20619"/>
    <s v="P-1254"/>
    <s v="Sunrise Hospital"/>
    <x v="6"/>
    <d v="2026-01-27T00:00:00"/>
    <d v="2026-02-14T00:00:00"/>
    <n v="3275"/>
    <m/>
    <s v="Pending"/>
    <s v=""/>
    <s v="Neha G"/>
    <n v="243"/>
    <x v="1"/>
    <n v="3275"/>
    <s v="Manish Arora"/>
  </r>
  <r>
    <s v="C20620"/>
    <s v="P-1412"/>
    <s v="City Care Clinic"/>
    <x v="6"/>
    <d v="2026-09-15T00:00:00"/>
    <d v="2026-09-19T00:00:00"/>
    <n v="725"/>
    <m/>
    <s v="Pending"/>
    <s v=""/>
    <s v="Anjali T"/>
    <n v="26"/>
    <x v="3"/>
    <n v="725"/>
    <s v="Deepak Nair"/>
  </r>
  <r>
    <s v="C20621"/>
    <s v="P-1015"/>
    <s v="City Care Clinic"/>
    <x v="1"/>
    <d v="2026-02-27T00:00:00"/>
    <d v="2026-03-03T00:00:00"/>
    <n v="9125"/>
    <n v="7221.98"/>
    <s v="Paid"/>
    <s v=""/>
    <s v="Neha G"/>
    <n v="226"/>
    <x v="1"/>
    <n v="0"/>
    <s v="Manish Arora"/>
  </r>
  <r>
    <s v="C20622"/>
    <s v="P-1231"/>
    <s v="Green Valley Health"/>
    <x v="5"/>
    <d v="2026-02-19T00:00:00"/>
    <d v="2026-03-11T00:00:00"/>
    <n v="5450"/>
    <n v="4820.99"/>
    <s v="Paid"/>
    <s v=""/>
    <s v="Rohit B"/>
    <n v="218"/>
    <x v="1"/>
    <n v="0"/>
    <s v="Deepak Nair"/>
  </r>
  <r>
    <s v="C20623"/>
    <s v="P-1460"/>
    <s v="City Care Clinic"/>
    <x v="5"/>
    <d v="2026-06-07T00:00:00"/>
    <d v="2026-06-12T00:00:00"/>
    <n v="14625"/>
    <m/>
    <s v="Pending"/>
    <s v=""/>
    <s v="Kavita D"/>
    <n v="125"/>
    <x v="1"/>
    <n v="14625"/>
    <s v="Deepak Nair"/>
  </r>
  <r>
    <s v="C20624"/>
    <s v="P-1225"/>
    <s v="City Care Clinic"/>
    <x v="1"/>
    <d v="2026-01-02T00:00:00"/>
    <d v="2026-01-18T00:00:00"/>
    <n v="14950"/>
    <m/>
    <s v="Pending"/>
    <s v=""/>
    <s v="Anjali T"/>
    <n v="270"/>
    <x v="1"/>
    <n v="14950"/>
    <s v="Deepak Nair"/>
  </r>
  <r>
    <s v="C20625"/>
    <s v="P-1387"/>
    <s v="Sunrise Hospital"/>
    <x v="6"/>
    <d v="2026-05-13T00:00:00"/>
    <d v="2026-05-31T00:00:00"/>
    <n v="12475"/>
    <m/>
    <s v="Pending"/>
    <s v=""/>
    <s v="Rahul S"/>
    <n v="137"/>
    <x v="1"/>
    <n v="12475"/>
    <s v="Manish Arora"/>
  </r>
  <r>
    <s v="C20626"/>
    <s v="P-1327"/>
    <s v="Apex Ortho Center"/>
    <x v="1"/>
    <d v="2026-08-10T00:00:00"/>
    <d v="2026-08-15T00:00:00"/>
    <n v="11350"/>
    <n v="6815.92"/>
    <s v="Paid"/>
    <s v=""/>
    <s v="Amit V"/>
    <n v="61"/>
    <x v="2"/>
    <n v="0"/>
    <s v="Manish Arora"/>
  </r>
  <r>
    <s v="C20627"/>
    <s v="P-1281"/>
    <s v="Green Valley Health"/>
    <x v="5"/>
    <d v="2026-01-16T00:00:00"/>
    <d v="2026-01-22T00:00:00"/>
    <n v="7625"/>
    <m/>
    <s v="Pending"/>
    <s v=""/>
    <s v="Rohit B"/>
    <n v="266"/>
    <x v="1"/>
    <n v="7625"/>
    <s v="Deepak Nair"/>
  </r>
  <r>
    <s v="C20628"/>
    <s v="P-1034"/>
    <s v="Apex Ortho Center"/>
    <x v="1"/>
    <d v="2026-09-11T00:00:00"/>
    <d v="2026-09-29T00:00:00"/>
    <n v="13600"/>
    <m/>
    <s v="Pending"/>
    <s v=""/>
    <s v="Rahul S"/>
    <n v="16"/>
    <x v="3"/>
    <n v="13600"/>
    <s v="Manish Arora"/>
  </r>
  <r>
    <s v="C20629"/>
    <s v="P-1387"/>
    <s v="Apex Ortho Center"/>
    <x v="1"/>
    <d v="2026-04-27T00:00:00"/>
    <d v="2026-05-06T00:00:00"/>
    <n v="5050"/>
    <m/>
    <s v="Pending"/>
    <s v=""/>
    <s v="Amit V"/>
    <n v="162"/>
    <x v="1"/>
    <n v="5050"/>
    <s v="Manish Arora"/>
  </r>
  <r>
    <s v="C20630"/>
    <s v="P-1110"/>
    <s v="Green Valley Health"/>
    <x v="6"/>
    <d v="2026-07-03T00:00:00"/>
    <d v="2026-07-11T00:00:00"/>
    <n v="12525"/>
    <m/>
    <s v="Pending"/>
    <s v=""/>
    <s v="Rahul S"/>
    <n v="96"/>
    <x v="1"/>
    <n v="12525"/>
    <s v="Manish Arora"/>
  </r>
  <r>
    <s v="C20631"/>
    <s v="P-1210"/>
    <s v="Sunrise Hospital"/>
    <x v="7"/>
    <d v="2026-02-15T00:00:00"/>
    <d v="2026-03-03T00:00:00"/>
    <n v="13950"/>
    <n v="0"/>
    <s v="Denied"/>
    <s v="Coding Error"/>
    <s v="Priya K"/>
    <n v="226"/>
    <x v="1"/>
    <n v="0"/>
    <s v="Manish Arora"/>
  </r>
  <r>
    <s v="C20632"/>
    <s v="P-1164"/>
    <s v="Green Valley Health"/>
    <x v="0"/>
    <d v="2026-06-09T00:00:00"/>
    <d v="2026-06-13T00:00:00"/>
    <n v="1775"/>
    <n v="1734.94"/>
    <s v="Paid"/>
    <s v=""/>
    <s v="Vikas R"/>
    <n v="124"/>
    <x v="1"/>
    <n v="0"/>
    <s v="Sunita Rao"/>
  </r>
  <r>
    <s v="C20633"/>
    <s v="P-1083"/>
    <s v="City Care Clinic"/>
    <x v="4"/>
    <d v="2026-01-14T00:00:00"/>
    <d v="2026-02-03T00:00:00"/>
    <n v="12525"/>
    <n v="7090.02"/>
    <s v="Paid"/>
    <s v=""/>
    <s v="Amit V"/>
    <n v="254"/>
    <x v="1"/>
    <n v="0"/>
    <s v="Manish Arora"/>
  </r>
  <r>
    <s v="C20634"/>
    <s v="P-1060"/>
    <s v="Sunrise Hospital"/>
    <x v="4"/>
    <d v="2025-12-29T00:00:00"/>
    <d v="2026-01-12T00:00:00"/>
    <n v="850"/>
    <n v="704.94"/>
    <s v="Paid"/>
    <s v=""/>
    <s v="Kavita D"/>
    <n v="276"/>
    <x v="1"/>
    <n v="0"/>
    <s v="Deepak Nair"/>
  </r>
  <r>
    <s v="C20635"/>
    <s v="P-1216"/>
    <s v="Green Valley Health"/>
    <x v="4"/>
    <d v="2026-06-16T00:00:00"/>
    <d v="2026-07-02T00:00:00"/>
    <n v="11300"/>
    <n v="8603.68"/>
    <s v="Paid"/>
    <s v=""/>
    <s v="Anjali T"/>
    <n v="105"/>
    <x v="1"/>
    <n v="0"/>
    <s v="Deepak Nair"/>
  </r>
  <r>
    <s v="C20636"/>
    <s v="P-1224"/>
    <s v="Sunrise Hospital"/>
    <x v="1"/>
    <d v="2026-05-28T00:00:00"/>
    <d v="2026-06-12T00:00:00"/>
    <n v="13600"/>
    <n v="9858.69"/>
    <s v="Paid"/>
    <s v=""/>
    <s v="Neha G"/>
    <n v="125"/>
    <x v="1"/>
    <n v="0"/>
    <s v="Manish Arora"/>
  </r>
  <r>
    <s v="C20637"/>
    <s v="P-1188"/>
    <s v="Sunrise Hospital"/>
    <x v="8"/>
    <d v="2026-06-30T00:00:00"/>
    <d v="2026-07-18T00:00:00"/>
    <n v="11925"/>
    <m/>
    <s v="Pending"/>
    <s v=""/>
    <s v="Rohit B"/>
    <n v="89"/>
    <x v="2"/>
    <n v="11925"/>
    <s v="Deepak Nair"/>
  </r>
  <r>
    <s v="C20638"/>
    <s v="P-1458"/>
    <s v="Sunrise Hospital"/>
    <x v="6"/>
    <d v="2026-09-06T00:00:00"/>
    <d v="2026-09-14T00:00:00"/>
    <n v="14825"/>
    <n v="12043.87"/>
    <s v="Paid"/>
    <s v=""/>
    <s v="Rahul S"/>
    <n v="31"/>
    <x v="0"/>
    <n v="0"/>
    <s v="Manish Arora"/>
  </r>
  <r>
    <s v="C20639"/>
    <s v="P-1439"/>
    <s v="Sunrise Hospital"/>
    <x v="0"/>
    <d v="2026-04-24T00:00:00"/>
    <d v="2026-05-12T00:00:00"/>
    <n v="6975"/>
    <n v="0"/>
    <s v="Denied"/>
    <s v="Patient Not Eligible"/>
    <s v="Amit V"/>
    <n v="156"/>
    <x v="1"/>
    <n v="0"/>
    <s v="Manish Arora"/>
  </r>
  <r>
    <s v="C20640"/>
    <s v="P-1245"/>
    <s v="Green Valley Health"/>
    <x v="5"/>
    <d v="2026-08-07T00:00:00"/>
    <d v="2026-08-21T00:00:00"/>
    <n v="11975"/>
    <n v="9016.16"/>
    <s v="Paid"/>
    <s v=""/>
    <s v="Rohit B"/>
    <n v="55"/>
    <x v="0"/>
    <n v="0"/>
    <s v="Deepak Nair"/>
  </r>
  <r>
    <s v="C20641"/>
    <s v="P-1209"/>
    <s v="Green Valley Health"/>
    <x v="7"/>
    <d v="2026-02-08T00:00:00"/>
    <d v="2026-02-16T00:00:00"/>
    <n v="8950"/>
    <n v="7000.29"/>
    <s v="Paid"/>
    <s v=""/>
    <s v="Rohit B"/>
    <n v="241"/>
    <x v="1"/>
    <n v="0"/>
    <s v="Deepak Nair"/>
  </r>
  <r>
    <s v="C20642"/>
    <s v="P-1064"/>
    <s v="Green Valley Health"/>
    <x v="2"/>
    <d v="2026-05-06T00:00:00"/>
    <d v="2026-05-09T00:00:00"/>
    <n v="1525"/>
    <n v="1413.62"/>
    <s v="Paid"/>
    <s v=""/>
    <s v="Rohit B"/>
    <n v="159"/>
    <x v="1"/>
    <n v="0"/>
    <s v="Deepak Nair"/>
  </r>
  <r>
    <s v="C20643"/>
    <s v="P-1194"/>
    <s v="Green Valley Health"/>
    <x v="0"/>
    <d v="2026-06-10T00:00:00"/>
    <d v="2026-06-29T00:00:00"/>
    <n v="3775"/>
    <n v="2410.6799999999998"/>
    <s v="Paid"/>
    <s v=""/>
    <s v="Sandeep Y"/>
    <n v="108"/>
    <x v="1"/>
    <n v="0"/>
    <s v="Sunita Rao"/>
  </r>
  <r>
    <s v="C20644"/>
    <s v="P-1252"/>
    <s v="Apex Ortho Center"/>
    <x v="0"/>
    <d v="2025-12-12T00:00:00"/>
    <d v="2026-01-01T00:00:00"/>
    <n v="14275"/>
    <n v="9667.18"/>
    <s v="Paid"/>
    <s v=""/>
    <s v="Amit V"/>
    <n v="287"/>
    <x v="1"/>
    <n v="0"/>
    <s v="Manish Arora"/>
  </r>
  <r>
    <s v="C20645"/>
    <s v="P-1137"/>
    <s v="Sunrise Hospital"/>
    <x v="4"/>
    <d v="2026-08-09T00:00:00"/>
    <d v="2026-08-26T00:00:00"/>
    <n v="775"/>
    <n v="619.51"/>
    <s v="Paid"/>
    <s v=""/>
    <s v="Vikas R"/>
    <n v="50"/>
    <x v="0"/>
    <n v="0"/>
    <s v="Sunita Rao"/>
  </r>
  <r>
    <s v="C20646"/>
    <s v="P-1261"/>
    <s v="Apex Ortho Center"/>
    <x v="7"/>
    <d v="2026-09-30T00:00:00"/>
    <d v="2026-10-03T00:00:00"/>
    <n v="10375"/>
    <m/>
    <s v="Pending"/>
    <s v=""/>
    <s v="Priya K"/>
    <n v="12"/>
    <x v="3"/>
    <n v="10375"/>
    <s v="Manish Arora"/>
  </r>
  <r>
    <s v="C20647"/>
    <s v="P-1409"/>
    <s v="Apex Ortho Center"/>
    <x v="0"/>
    <d v="2026-08-02T00:00:00"/>
    <d v="2026-08-15T00:00:00"/>
    <n v="8300"/>
    <m/>
    <s v="Pending"/>
    <s v=""/>
    <s v="Vikas R"/>
    <n v="61"/>
    <x v="2"/>
    <n v="8300"/>
    <s v="Sunita Rao"/>
  </r>
  <r>
    <s v="C20648"/>
    <s v="P-1355"/>
    <s v="Green Valley Health"/>
    <x v="7"/>
    <d v="2026-06-19T00:00:00"/>
    <d v="2026-06-27T00:00:00"/>
    <n v="13000"/>
    <n v="9615.52"/>
    <s v="Paid"/>
    <s v=""/>
    <s v="Sandeep Y"/>
    <n v="110"/>
    <x v="1"/>
    <n v="0"/>
    <s v="Sunita Rao"/>
  </r>
  <r>
    <s v="C20649"/>
    <s v="P-1272"/>
    <s v="Apex Ortho Center"/>
    <x v="3"/>
    <d v="2026-08-17T00:00:00"/>
    <d v="2026-09-03T00:00:00"/>
    <n v="10200"/>
    <n v="6054.54"/>
    <s v="Paid"/>
    <s v=""/>
    <s v="Priya K"/>
    <n v="42"/>
    <x v="0"/>
    <n v="0"/>
    <s v="Manish Arora"/>
  </r>
  <r>
    <s v="C20650"/>
    <s v="P-1390"/>
    <s v="Apex Ortho Center"/>
    <x v="2"/>
    <d v="2026-03-07T00:00:00"/>
    <d v="2026-03-27T00:00:00"/>
    <n v="7925"/>
    <n v="5977.42"/>
    <s v="Paid"/>
    <s v=""/>
    <s v="Rohit B"/>
    <n v="202"/>
    <x v="1"/>
    <n v="0"/>
    <s v="Deepak Nair"/>
  </r>
  <r>
    <s v="C20651"/>
    <s v="P-1385"/>
    <s v="City Care Clinic"/>
    <x v="7"/>
    <d v="2026-03-16T00:00:00"/>
    <d v="2026-03-31T00:00:00"/>
    <n v="10450"/>
    <n v="6719.5"/>
    <s v="Paid"/>
    <s v=""/>
    <s v="Priya K"/>
    <n v="198"/>
    <x v="1"/>
    <n v="0"/>
    <s v="Manish Arora"/>
  </r>
  <r>
    <s v="C20652"/>
    <s v="P-1224"/>
    <s v="Apex Ortho Center"/>
    <x v="4"/>
    <d v="2026-09-15T00:00:00"/>
    <d v="2026-09-25T00:00:00"/>
    <n v="3625"/>
    <m/>
    <s v="Pending"/>
    <s v=""/>
    <s v="Priya K"/>
    <n v="20"/>
    <x v="3"/>
    <n v="3625"/>
    <s v="Manish Arora"/>
  </r>
  <r>
    <s v="C20653"/>
    <s v="P-1090"/>
    <s v="Green Valley Health"/>
    <x v="6"/>
    <d v="2026-09-21T00:00:00"/>
    <d v="2026-10-02T00:00:00"/>
    <n v="14025"/>
    <m/>
    <s v="Pending"/>
    <s v=""/>
    <s v="Vikas R"/>
    <n v="13"/>
    <x v="3"/>
    <n v="14025"/>
    <s v="Sunita Rao"/>
  </r>
  <r>
    <s v="C20654"/>
    <s v="P-1057"/>
    <s v="Green Valley Health"/>
    <x v="1"/>
    <d v="2026-08-28T00:00:00"/>
    <d v="2026-09-15T00:00:00"/>
    <n v="8025"/>
    <m/>
    <s v="Pending"/>
    <s v=""/>
    <s v="Anjali T"/>
    <n v="30"/>
    <x v="3"/>
    <n v="8025"/>
    <s v="Deepak Nair"/>
  </r>
  <r>
    <s v="C20655"/>
    <s v="P-1316"/>
    <s v="Apex Ortho Center"/>
    <x v="0"/>
    <d v="2026-01-22T00:00:00"/>
    <d v="2026-01-27T00:00:00"/>
    <n v="6300"/>
    <m/>
    <s v="Pending"/>
    <s v=""/>
    <s v="Anjali T"/>
    <n v="261"/>
    <x v="1"/>
    <n v="6300"/>
    <s v="Deepak Nair"/>
  </r>
  <r>
    <s v="C20656"/>
    <s v="P-1412"/>
    <s v="Apex Ortho Center"/>
    <x v="1"/>
    <d v="2026-09-06T00:00:00"/>
    <d v="2026-09-15T00:00:00"/>
    <n v="4225"/>
    <m/>
    <s v="Pending"/>
    <s v=""/>
    <s v="Anjali T"/>
    <n v="30"/>
    <x v="3"/>
    <n v="4225"/>
    <s v="Deepak Nair"/>
  </r>
  <r>
    <s v="C20657"/>
    <s v="P-1054"/>
    <s v="City Care Clinic"/>
    <x v="1"/>
    <d v="2026-02-20T00:00:00"/>
    <d v="2026-03-09T00:00:00"/>
    <n v="7200"/>
    <n v="6991.83"/>
    <s v="Paid"/>
    <s v=""/>
    <s v="Neha G"/>
    <n v="220"/>
    <x v="1"/>
    <n v="0"/>
    <s v="Manish Arora"/>
  </r>
  <r>
    <s v="C20658"/>
    <s v="P-1249"/>
    <s v="Green Valley Health"/>
    <x v="8"/>
    <d v="2026-06-06T00:00:00"/>
    <d v="2026-06-16T00:00:00"/>
    <n v="11525"/>
    <n v="10718.64"/>
    <s v="Paid"/>
    <s v=""/>
    <s v="Rahul S"/>
    <n v="121"/>
    <x v="1"/>
    <n v="0"/>
    <s v="Manish Arora"/>
  </r>
  <r>
    <s v="C20659"/>
    <s v="P-1156"/>
    <s v="City Care Clinic"/>
    <x v="3"/>
    <d v="2026-06-19T00:00:00"/>
    <d v="2026-06-30T00:00:00"/>
    <n v="4875"/>
    <n v="3518.59"/>
    <s v="Paid"/>
    <s v=""/>
    <s v="Anjali T"/>
    <n v="107"/>
    <x v="1"/>
    <n v="0"/>
    <s v="Deepak Nair"/>
  </r>
  <r>
    <s v="C20660"/>
    <s v="P-1378"/>
    <s v="City Care Clinic"/>
    <x v="3"/>
    <d v="2026-01-18T00:00:00"/>
    <d v="2026-01-26T00:00:00"/>
    <n v="9250"/>
    <n v="7474.87"/>
    <s v="Paid"/>
    <s v=""/>
    <s v="Neha G"/>
    <n v="262"/>
    <x v="1"/>
    <n v="0"/>
    <s v="Manish Arora"/>
  </r>
  <r>
    <s v="C20661"/>
    <s v="P-1466"/>
    <s v="Green Valley Health"/>
    <x v="1"/>
    <d v="2026-02-15T00:00:00"/>
    <d v="2026-03-02T00:00:00"/>
    <n v="8075"/>
    <m/>
    <s v="Pending"/>
    <s v=""/>
    <s v="Kavita D"/>
    <n v="227"/>
    <x v="1"/>
    <n v="8075"/>
    <s v="Deepak Nair"/>
  </r>
  <r>
    <s v="C20662"/>
    <s v="P-1067"/>
    <s v="Green Valley Health"/>
    <x v="6"/>
    <d v="2026-05-15T00:00:00"/>
    <d v="2026-06-04T00:00:00"/>
    <n v="1800"/>
    <n v="1339.26"/>
    <s v="Paid"/>
    <s v=""/>
    <s v="Priya K"/>
    <n v="133"/>
    <x v="1"/>
    <n v="0"/>
    <s v="Manish Arora"/>
  </r>
  <r>
    <s v="C20663"/>
    <s v="P-1445"/>
    <s v="Green Valley Health"/>
    <x v="1"/>
    <d v="2026-08-20T00:00:00"/>
    <d v="2026-08-23T00:00:00"/>
    <n v="7175"/>
    <n v="0"/>
    <s v="Denied"/>
    <s v="Coding Error"/>
    <s v="Vikas R"/>
    <n v="53"/>
    <x v="0"/>
    <n v="0"/>
    <s v="Sunita Rao"/>
  </r>
  <r>
    <s v="C20664"/>
    <s v="P-1065"/>
    <s v="City Care Clinic"/>
    <x v="3"/>
    <d v="2026-04-09T00:00:00"/>
    <d v="2026-04-13T00:00:00"/>
    <n v="12975"/>
    <n v="8019.03"/>
    <s v="Paid"/>
    <s v=""/>
    <s v="Anjali T"/>
    <n v="185"/>
    <x v="1"/>
    <n v="0"/>
    <s v="Deepak Nair"/>
  </r>
  <r>
    <s v="C20665"/>
    <s v="P-1154"/>
    <s v="Green Valley Health"/>
    <x v="3"/>
    <d v="2025-12-28T00:00:00"/>
    <d v="2026-01-07T00:00:00"/>
    <n v="6450"/>
    <n v="4998.24"/>
    <s v="Paid"/>
    <s v=""/>
    <s v="Priya K"/>
    <n v="281"/>
    <x v="1"/>
    <n v="0"/>
    <s v="Manish Arora"/>
  </r>
  <r>
    <s v="C20666"/>
    <s v="P-1463"/>
    <s v="Green Valley Health"/>
    <x v="4"/>
    <d v="2026-08-02T00:00:00"/>
    <d v="2026-08-11T00:00:00"/>
    <n v="7400"/>
    <n v="6480.87"/>
    <s v="Paid"/>
    <s v=""/>
    <s v="Priya K"/>
    <n v="65"/>
    <x v="2"/>
    <n v="0"/>
    <s v="Manish Arora"/>
  </r>
  <r>
    <s v="C20667"/>
    <s v="P-1265"/>
    <s v="City Care Clinic"/>
    <x v="7"/>
    <d v="2026-09-20T00:00:00"/>
    <d v="2026-10-01T00:00:00"/>
    <n v="8575"/>
    <m/>
    <s v="Pending"/>
    <s v=""/>
    <s v="Kavita D"/>
    <n v="14"/>
    <x v="3"/>
    <n v="8575"/>
    <s v="Deepak Nair"/>
  </r>
  <r>
    <s v="C20668"/>
    <s v="P-1159"/>
    <s v="Apex Ortho Center"/>
    <x v="1"/>
    <d v="2026-01-02T00:00:00"/>
    <d v="2026-01-20T00:00:00"/>
    <n v="11975"/>
    <n v="11924.49"/>
    <s v="Paid"/>
    <s v=""/>
    <s v="Priya K"/>
    <n v="268"/>
    <x v="1"/>
    <n v="0"/>
    <s v="Manish Arora"/>
  </r>
  <r>
    <s v="C20669"/>
    <s v="P-1452"/>
    <s v="Apex Ortho Center"/>
    <x v="1"/>
    <d v="2026-01-20T00:00:00"/>
    <d v="2026-01-30T00:00:00"/>
    <n v="9750"/>
    <n v="6914.9"/>
    <s v="Paid"/>
    <s v=""/>
    <s v="Neha G"/>
    <n v="258"/>
    <x v="1"/>
    <n v="0"/>
    <s v="Manish Arora"/>
  </r>
  <r>
    <s v="C20670"/>
    <s v="P-1336"/>
    <s v="Green Valley Health"/>
    <x v="2"/>
    <d v="2026-09-18T00:00:00"/>
    <d v="2026-09-30T00:00:00"/>
    <n v="8200"/>
    <m/>
    <s v="Pending"/>
    <s v=""/>
    <s v="Kavita D"/>
    <n v="15"/>
    <x v="3"/>
    <n v="8200"/>
    <s v="Deepak Nair"/>
  </r>
  <r>
    <s v="C20671"/>
    <s v="P-1140"/>
    <s v="Apex Ortho Center"/>
    <x v="6"/>
    <d v="2026-04-01T00:00:00"/>
    <d v="2026-04-19T00:00:00"/>
    <n v="14700"/>
    <n v="0"/>
    <s v="Denied"/>
    <s v="Coding Error"/>
    <s v="Amit V"/>
    <n v="179"/>
    <x v="1"/>
    <n v="0"/>
    <s v="Manish Arora"/>
  </r>
  <r>
    <s v="C20672"/>
    <s v="P-1111"/>
    <s v="Apex Ortho Center"/>
    <x v="0"/>
    <d v="2026-03-07T00:00:00"/>
    <d v="2026-03-10T00:00:00"/>
    <n v="1950"/>
    <n v="1870.35"/>
    <s v="Paid"/>
    <s v=""/>
    <s v="Vikas R"/>
    <n v="219"/>
    <x v="1"/>
    <n v="0"/>
    <s v="Sunita Rao"/>
  </r>
  <r>
    <s v="C20673"/>
    <s v="P-1173"/>
    <s v="Apex Ortho Center"/>
    <x v="1"/>
    <d v="2026-04-22T00:00:00"/>
    <d v="2026-05-10T00:00:00"/>
    <n v="12200"/>
    <m/>
    <s v="Pending"/>
    <s v=""/>
    <s v="Priya K"/>
    <n v="158"/>
    <x v="1"/>
    <n v="12200"/>
    <s v="Manish Arora"/>
  </r>
  <r>
    <s v="C20674"/>
    <s v="P-1175"/>
    <s v="Green Valley Health"/>
    <x v="6"/>
    <d v="2026-03-03T00:00:00"/>
    <d v="2026-03-22T00:00:00"/>
    <n v="11225"/>
    <n v="6781.3"/>
    <s v="Paid"/>
    <s v=""/>
    <s v="Neha G"/>
    <n v="207"/>
    <x v="1"/>
    <n v="0"/>
    <s v="Manish Arora"/>
  </r>
  <r>
    <s v="C20675"/>
    <s v="P-1172"/>
    <s v="Green Valley Health"/>
    <x v="0"/>
    <d v="2026-04-27T00:00:00"/>
    <d v="2026-05-13T00:00:00"/>
    <n v="14275"/>
    <m/>
    <s v="Pending"/>
    <s v=""/>
    <s v="Rahul S"/>
    <n v="155"/>
    <x v="1"/>
    <n v="14275"/>
    <s v="Manish Arora"/>
  </r>
  <r>
    <s v="C20676"/>
    <s v="P-1138"/>
    <s v="Green Valley Health"/>
    <x v="7"/>
    <d v="2026-09-17T00:00:00"/>
    <d v="2026-10-01T00:00:00"/>
    <n v="12750"/>
    <m/>
    <s v="Pending"/>
    <s v=""/>
    <s v="Priya K"/>
    <n v="14"/>
    <x v="3"/>
    <n v="12750"/>
    <s v="Manish Arora"/>
  </r>
  <r>
    <s v="C20677"/>
    <s v="P-1152"/>
    <s v="Apex Ortho Center"/>
    <x v="6"/>
    <d v="2026-05-01T00:00:00"/>
    <d v="2026-05-15T00:00:00"/>
    <n v="975"/>
    <n v="796.31"/>
    <s v="Paid"/>
    <s v=""/>
    <s v="Rohit B"/>
    <n v="153"/>
    <x v="1"/>
    <n v="0"/>
    <s v="Deepak Nair"/>
  </r>
  <r>
    <s v="C20678"/>
    <s v="P-1028"/>
    <s v="Sunrise Hospital"/>
    <x v="2"/>
    <d v="2026-05-18T00:00:00"/>
    <d v="2026-05-30T00:00:00"/>
    <n v="1125"/>
    <n v="0"/>
    <s v="Denied"/>
    <s v="Missing Prior Authorization"/>
    <s v="Sandeep Y"/>
    <n v="138"/>
    <x v="1"/>
    <n v="0"/>
    <s v="Sunita Rao"/>
  </r>
  <r>
    <s v="C20679"/>
    <s v="P-1112"/>
    <s v="City Care Clinic"/>
    <x v="4"/>
    <d v="2026-06-15T00:00:00"/>
    <d v="2026-07-04T00:00:00"/>
    <n v="13300"/>
    <n v="9278.02"/>
    <s v="Paid"/>
    <s v=""/>
    <s v="Kavita D"/>
    <n v="103"/>
    <x v="1"/>
    <n v="0"/>
    <s v="Deepak Nair"/>
  </r>
  <r>
    <s v="C20680"/>
    <s v="P-1209"/>
    <s v="City Care Clinic"/>
    <x v="3"/>
    <d v="2026-02-03T00:00:00"/>
    <d v="2026-02-13T00:00:00"/>
    <n v="2100"/>
    <n v="0"/>
    <s v="Denied"/>
    <s v="Incorrect Patient Info"/>
    <s v="Rohit B"/>
    <n v="244"/>
    <x v="1"/>
    <n v="0"/>
    <s v="Deepak Nair"/>
  </r>
  <r>
    <s v="C20681"/>
    <s v="P-1036"/>
    <s v="Apex Ortho Center"/>
    <x v="1"/>
    <d v="2026-09-13T00:00:00"/>
    <d v="2026-09-29T00:00:00"/>
    <n v="13550"/>
    <m/>
    <s v="Pending"/>
    <s v=""/>
    <s v="Rahul S"/>
    <n v="16"/>
    <x v="3"/>
    <n v="13550"/>
    <s v="Manish Arora"/>
  </r>
  <r>
    <s v="C20682"/>
    <s v="P-1480"/>
    <s v="Sunrise Hospital"/>
    <x v="0"/>
    <d v="2026-03-28T00:00:00"/>
    <d v="2026-04-03T00:00:00"/>
    <n v="8525"/>
    <n v="6233.46"/>
    <s v="Paid"/>
    <s v=""/>
    <s v="Vikas R"/>
    <n v="195"/>
    <x v="1"/>
    <n v="0"/>
    <s v="Sunita Rao"/>
  </r>
  <r>
    <s v="C20683"/>
    <s v="P-1006"/>
    <s v="Green Valley Health"/>
    <x v="5"/>
    <d v="2025-12-28T00:00:00"/>
    <d v="2026-01-16T00:00:00"/>
    <n v="5775"/>
    <n v="0"/>
    <s v="Denied"/>
    <s v="Coding Error"/>
    <s v="Kavita D"/>
    <n v="272"/>
    <x v="1"/>
    <n v="0"/>
    <s v="Deepak Nair"/>
  </r>
  <r>
    <s v="C20684"/>
    <s v="P-1060"/>
    <s v="Sunrise Hospital"/>
    <x v="0"/>
    <d v="2026-01-26T00:00:00"/>
    <d v="2026-02-01T00:00:00"/>
    <n v="350"/>
    <n v="223.67"/>
    <s v="Paid"/>
    <s v=""/>
    <s v="Priya K"/>
    <n v="256"/>
    <x v="1"/>
    <n v="0"/>
    <s v="Manish Arora"/>
  </r>
  <r>
    <s v="C20685"/>
    <s v="P-1172"/>
    <s v="Green Valley Health"/>
    <x v="7"/>
    <d v="2026-04-30T00:00:00"/>
    <d v="2026-05-06T00:00:00"/>
    <n v="9925"/>
    <m/>
    <s v="Pending"/>
    <s v=""/>
    <s v="Kavita D"/>
    <n v="162"/>
    <x v="1"/>
    <n v="9925"/>
    <s v="Deepak Nair"/>
  </r>
  <r>
    <s v="C20686"/>
    <s v="P-1091"/>
    <s v="Green Valley Health"/>
    <x v="0"/>
    <d v="2026-06-09T00:00:00"/>
    <d v="2026-06-28T00:00:00"/>
    <n v="5325"/>
    <n v="4906.8999999999996"/>
    <s v="Paid"/>
    <s v=""/>
    <s v="Anjali T"/>
    <n v="109"/>
    <x v="1"/>
    <n v="0"/>
    <s v="Deepak Nair"/>
  </r>
  <r>
    <s v="C20687"/>
    <s v="P-1486"/>
    <s v="Sunrise Hospital"/>
    <x v="5"/>
    <d v="2026-02-24T00:00:00"/>
    <d v="2026-03-04T00:00:00"/>
    <n v="3225"/>
    <n v="1861.32"/>
    <s v="Paid"/>
    <s v=""/>
    <s v="Amit V"/>
    <n v="225"/>
    <x v="1"/>
    <n v="0"/>
    <s v="Manish Arora"/>
  </r>
  <r>
    <s v="C20688"/>
    <s v="P-1068"/>
    <s v="Green Valley Health"/>
    <x v="6"/>
    <d v="2026-06-02T00:00:00"/>
    <d v="2026-06-10T00:00:00"/>
    <n v="12300"/>
    <n v="7882.62"/>
    <s v="Paid"/>
    <s v=""/>
    <s v="Vikas R"/>
    <n v="127"/>
    <x v="1"/>
    <n v="0"/>
    <s v="Sunita Rao"/>
  </r>
  <r>
    <s v="C20689"/>
    <s v="P-1417"/>
    <s v="Apex Ortho Center"/>
    <x v="3"/>
    <d v="2026-05-17T00:00:00"/>
    <d v="2026-06-05T00:00:00"/>
    <n v="11325"/>
    <m/>
    <s v="Pending"/>
    <s v=""/>
    <s v="Sandeep Y"/>
    <n v="132"/>
    <x v="1"/>
    <n v="11325"/>
    <s v="Sunita Rao"/>
  </r>
  <r>
    <s v="C20690"/>
    <s v="P-1028"/>
    <s v="City Care Clinic"/>
    <x v="6"/>
    <d v="2026-02-08T00:00:00"/>
    <d v="2026-02-12T00:00:00"/>
    <n v="5775"/>
    <n v="5735.11"/>
    <s v="Paid"/>
    <s v=""/>
    <s v="Anjali T"/>
    <n v="245"/>
    <x v="1"/>
    <n v="0"/>
    <s v="Deepak Nair"/>
  </r>
  <r>
    <s v="C20691"/>
    <s v="P-1383"/>
    <s v="City Care Clinic"/>
    <x v="2"/>
    <d v="2026-02-14T00:00:00"/>
    <d v="2026-02-18T00:00:00"/>
    <n v="9450"/>
    <n v="6751.47"/>
    <s v="Paid"/>
    <s v=""/>
    <s v="Rohit B"/>
    <n v="239"/>
    <x v="1"/>
    <n v="0"/>
    <s v="Deepak Nair"/>
  </r>
  <r>
    <s v="C20692"/>
    <s v="P-1142"/>
    <s v="Green Valley Health"/>
    <x v="2"/>
    <d v="2026-02-10T00:00:00"/>
    <d v="2026-02-21T00:00:00"/>
    <n v="12025"/>
    <n v="9404.9599999999991"/>
    <s v="Paid"/>
    <s v=""/>
    <s v="Sandeep Y"/>
    <n v="236"/>
    <x v="1"/>
    <n v="0"/>
    <s v="Sunita Rao"/>
  </r>
  <r>
    <s v="C20693"/>
    <s v="P-1231"/>
    <s v="Apex Ortho Center"/>
    <x v="6"/>
    <d v="2026-03-29T00:00:00"/>
    <d v="2026-04-14T00:00:00"/>
    <n v="7025"/>
    <m/>
    <s v="Pending"/>
    <s v=""/>
    <s v="Rohit B"/>
    <n v="184"/>
    <x v="1"/>
    <n v="7025"/>
    <s v="Deepak Nair"/>
  </r>
  <r>
    <s v="C20694"/>
    <s v="P-1334"/>
    <s v="Green Valley Health"/>
    <x v="1"/>
    <d v="2026-09-01T00:00:00"/>
    <d v="2026-09-15T00:00:00"/>
    <n v="10925"/>
    <m/>
    <s v="Pending"/>
    <s v=""/>
    <s v="Anjali T"/>
    <n v="30"/>
    <x v="3"/>
    <n v="10925"/>
    <s v="Deepak Nair"/>
  </r>
  <r>
    <s v="C20695"/>
    <s v="P-1066"/>
    <s v="Green Valley Health"/>
    <x v="3"/>
    <d v="2026-02-04T00:00:00"/>
    <d v="2026-02-16T00:00:00"/>
    <n v="12425"/>
    <n v="0"/>
    <s v="Denied"/>
    <s v="Patient Not Eligible"/>
    <s v="Rohit B"/>
    <n v="241"/>
    <x v="1"/>
    <n v="0"/>
    <s v="Deepak Nair"/>
  </r>
  <r>
    <s v="C20696"/>
    <s v="P-1267"/>
    <s v="Green Valley Health"/>
    <x v="6"/>
    <d v="2026-03-30T00:00:00"/>
    <d v="2026-04-18T00:00:00"/>
    <n v="1100"/>
    <n v="664.54"/>
    <s v="Paid"/>
    <s v=""/>
    <s v="Amit V"/>
    <n v="180"/>
    <x v="1"/>
    <n v="0"/>
    <s v="Manish Arora"/>
  </r>
  <r>
    <s v="C20697"/>
    <s v="P-1294"/>
    <s v="Apex Ortho Center"/>
    <x v="2"/>
    <d v="2026-08-19T00:00:00"/>
    <d v="2026-08-25T00:00:00"/>
    <n v="625"/>
    <n v="578.19000000000005"/>
    <s v="Paid"/>
    <s v=""/>
    <s v="Vikas R"/>
    <n v="51"/>
    <x v="0"/>
    <n v="0"/>
    <s v="Sunita Rao"/>
  </r>
  <r>
    <s v="C20698"/>
    <s v="P-1082"/>
    <s v="Sunrise Hospital"/>
    <x v="1"/>
    <d v="2026-01-09T00:00:00"/>
    <d v="2026-01-15T00:00:00"/>
    <n v="4175"/>
    <m/>
    <s v="Pending"/>
    <s v=""/>
    <s v="Rahul S"/>
    <n v="273"/>
    <x v="1"/>
    <n v="4175"/>
    <s v="Manish Arora"/>
  </r>
  <r>
    <s v="C20699"/>
    <s v="P-1061"/>
    <s v="Green Valley Health"/>
    <x v="2"/>
    <d v="2026-09-10T00:00:00"/>
    <d v="2026-09-25T00:00:00"/>
    <n v="6050"/>
    <m/>
    <s v="Pending"/>
    <s v=""/>
    <s v="Anjali T"/>
    <n v="20"/>
    <x v="3"/>
    <n v="6050"/>
    <s v="Deepak Nair"/>
  </r>
  <r>
    <s v="C20700"/>
    <s v="P-1192"/>
    <s v="Sunrise Hospital"/>
    <x v="1"/>
    <d v="2026-04-25T00:00:00"/>
    <d v="2026-05-06T00:00:00"/>
    <n v="1875"/>
    <n v="1742.95"/>
    <s v="Paid"/>
    <s v=""/>
    <s v="Pooja M"/>
    <n v="162"/>
    <x v="1"/>
    <n v="0"/>
    <s v="Sunita Rao"/>
  </r>
  <r>
    <s v="C20701"/>
    <s v="P-1402"/>
    <s v="Sunrise Hospital"/>
    <x v="1"/>
    <d v="2026-07-04T00:00:00"/>
    <d v="2026-07-14T00:00:00"/>
    <n v="10650"/>
    <n v="0"/>
    <s v="Denied"/>
    <s v="Missing Prior Authorization"/>
    <s v="Vikas R"/>
    <n v="93"/>
    <x v="1"/>
    <n v="0"/>
    <s v="Sunita Rao"/>
  </r>
  <r>
    <s v="C20702"/>
    <s v="P-1332"/>
    <s v="Apex Ortho Center"/>
    <x v="1"/>
    <d v="2026-03-13T00:00:00"/>
    <d v="2026-03-27T00:00:00"/>
    <n v="1225"/>
    <m/>
    <s v="Pending"/>
    <s v=""/>
    <s v="Sandeep Y"/>
    <n v="202"/>
    <x v="1"/>
    <n v="1225"/>
    <s v="Sunita Rao"/>
  </r>
  <r>
    <s v="C20703"/>
    <s v="P-1010"/>
    <s v="Apex Ortho Center"/>
    <x v="7"/>
    <d v="2026-03-16T00:00:00"/>
    <d v="2026-04-03T00:00:00"/>
    <n v="11475"/>
    <n v="0"/>
    <s v="Denied"/>
    <s v="Patient Not Eligible"/>
    <s v="Amit V"/>
    <n v="195"/>
    <x v="1"/>
    <n v="0"/>
    <s v="Manish Arora"/>
  </r>
  <r>
    <s v="C20704"/>
    <s v="P-1266"/>
    <s v="City Care Clinic"/>
    <x v="1"/>
    <d v="2026-04-26T00:00:00"/>
    <d v="2026-05-05T00:00:00"/>
    <n v="9850"/>
    <n v="9324.2900000000009"/>
    <s v="Paid"/>
    <s v=""/>
    <s v="Kavita D"/>
    <n v="163"/>
    <x v="1"/>
    <n v="0"/>
    <s v="Deepak Nair"/>
  </r>
  <r>
    <s v="C20705"/>
    <s v="P-1083"/>
    <s v="Green Valley Health"/>
    <x v="0"/>
    <d v="2026-02-25T00:00:00"/>
    <d v="2026-03-10T00:00:00"/>
    <n v="7750"/>
    <n v="6603.77"/>
    <s v="Paid"/>
    <s v=""/>
    <s v="Sandeep Y"/>
    <n v="219"/>
    <x v="1"/>
    <n v="0"/>
    <s v="Sunita Rao"/>
  </r>
  <r>
    <s v="C20706"/>
    <s v="P-1259"/>
    <s v="Apex Ortho Center"/>
    <x v="0"/>
    <d v="2026-06-26T00:00:00"/>
    <d v="2026-07-05T00:00:00"/>
    <n v="4350"/>
    <n v="3809.81"/>
    <s v="Paid"/>
    <s v=""/>
    <s v="Rohit B"/>
    <n v="102"/>
    <x v="1"/>
    <n v="0"/>
    <s v="Deepak Nair"/>
  </r>
  <r>
    <s v="C20707"/>
    <s v="P-1227"/>
    <s v="Apex Ortho Center"/>
    <x v="6"/>
    <d v="2026-02-11T00:00:00"/>
    <d v="2026-03-01T00:00:00"/>
    <n v="14700"/>
    <m/>
    <s v="Pending"/>
    <s v=""/>
    <s v="Rohit B"/>
    <n v="228"/>
    <x v="1"/>
    <n v="14700"/>
    <s v="Deepak Nair"/>
  </r>
  <r>
    <s v="C20708"/>
    <s v="P-1434"/>
    <s v="Sunrise Hospital"/>
    <x v="6"/>
    <d v="2026-08-29T00:00:00"/>
    <d v="2026-09-18T00:00:00"/>
    <n v="9350"/>
    <m/>
    <s v="Pending"/>
    <s v=""/>
    <s v="Neha G"/>
    <n v="27"/>
    <x v="3"/>
    <n v="9350"/>
    <s v="Manish Arora"/>
  </r>
  <r>
    <s v="C20709"/>
    <s v="P-1441"/>
    <s v="City Care Clinic"/>
    <x v="1"/>
    <d v="2026-09-07T00:00:00"/>
    <d v="2026-09-27T00:00:00"/>
    <n v="10650"/>
    <m/>
    <s v="Pending"/>
    <s v=""/>
    <s v="Pooja M"/>
    <n v="18"/>
    <x v="3"/>
    <n v="10650"/>
    <s v="Sunita Rao"/>
  </r>
  <r>
    <s v="C20710"/>
    <s v="P-1211"/>
    <s v="Apex Ortho Center"/>
    <x v="1"/>
    <d v="2026-05-20T00:00:00"/>
    <d v="2026-06-02T00:00:00"/>
    <n v="10400"/>
    <n v="7435.26"/>
    <s v="Paid"/>
    <s v=""/>
    <s v="Amit V"/>
    <n v="135"/>
    <x v="1"/>
    <n v="0"/>
    <s v="Manish Arora"/>
  </r>
  <r>
    <s v="C20711"/>
    <s v="P-1248"/>
    <s v="City Care Clinic"/>
    <x v="1"/>
    <d v="2026-01-02T00:00:00"/>
    <d v="2026-01-22T00:00:00"/>
    <n v="9850"/>
    <n v="7026.9"/>
    <s v="Paid"/>
    <s v=""/>
    <s v="Neha G"/>
    <n v="266"/>
    <x v="1"/>
    <n v="0"/>
    <s v="Manish Arora"/>
  </r>
  <r>
    <s v="C20712"/>
    <s v="P-1188"/>
    <s v="City Care Clinic"/>
    <x v="6"/>
    <d v="2026-04-16T00:00:00"/>
    <d v="2026-05-06T00:00:00"/>
    <n v="4525"/>
    <n v="3895.49"/>
    <s v="Paid"/>
    <s v=""/>
    <s v="Rahul S"/>
    <n v="162"/>
    <x v="1"/>
    <n v="0"/>
    <s v="Manish Arora"/>
  </r>
  <r>
    <s v="C20713"/>
    <s v="P-1024"/>
    <s v="Green Valley Health"/>
    <x v="0"/>
    <d v="2026-03-21T00:00:00"/>
    <d v="2026-03-25T00:00:00"/>
    <n v="4050"/>
    <m/>
    <s v="Pending"/>
    <s v=""/>
    <s v="Amit V"/>
    <n v="204"/>
    <x v="1"/>
    <n v="4050"/>
    <s v="Manish Arora"/>
  </r>
  <r>
    <s v="C20714"/>
    <s v="P-1452"/>
    <s v="Apex Ortho Center"/>
    <x v="0"/>
    <d v="2026-07-02T00:00:00"/>
    <d v="2026-07-14T00:00:00"/>
    <n v="3625"/>
    <n v="3153.23"/>
    <s v="Paid"/>
    <s v=""/>
    <s v="Rahul S"/>
    <n v="93"/>
    <x v="1"/>
    <n v="0"/>
    <s v="Manish Arora"/>
  </r>
  <r>
    <s v="C20715"/>
    <s v="P-1363"/>
    <s v="Sunrise Hospital"/>
    <x v="1"/>
    <d v="2026-01-15T00:00:00"/>
    <d v="2026-01-20T00:00:00"/>
    <n v="2475"/>
    <n v="1699.66"/>
    <s v="Paid"/>
    <s v=""/>
    <s v="Anjali T"/>
    <n v="268"/>
    <x v="1"/>
    <n v="0"/>
    <s v="Deepak Nair"/>
  </r>
  <r>
    <s v="C20716"/>
    <s v="P-1301"/>
    <s v="City Care Clinic"/>
    <x v="2"/>
    <d v="2026-06-23T00:00:00"/>
    <d v="2026-07-04T00:00:00"/>
    <n v="12550"/>
    <n v="10403.43"/>
    <s v="Paid"/>
    <s v=""/>
    <s v="Kavita D"/>
    <n v="103"/>
    <x v="1"/>
    <n v="0"/>
    <s v="Deepak Nair"/>
  </r>
  <r>
    <s v="C20717"/>
    <s v="P-1325"/>
    <s v="Sunrise Hospital"/>
    <x v="2"/>
    <d v="2026-07-04T00:00:00"/>
    <d v="2026-07-16T00:00:00"/>
    <n v="13350"/>
    <n v="10333.18"/>
    <s v="Paid"/>
    <s v=""/>
    <s v="Vikas R"/>
    <n v="91"/>
    <x v="1"/>
    <n v="0"/>
    <s v="Sunita Rao"/>
  </r>
  <r>
    <s v="C20718"/>
    <s v="P-1010"/>
    <s v="Apex Ortho Center"/>
    <x v="1"/>
    <d v="2026-04-03T00:00:00"/>
    <d v="2026-04-12T00:00:00"/>
    <n v="4550"/>
    <n v="0"/>
    <s v="Denied"/>
    <s v="Coding Error"/>
    <s v="Sandeep Y"/>
    <n v="186"/>
    <x v="1"/>
    <n v="0"/>
    <s v="Sunita Rao"/>
  </r>
  <r>
    <s v="C20719"/>
    <s v="P-1182"/>
    <s v="Green Valley Health"/>
    <x v="2"/>
    <d v="2026-04-03T00:00:00"/>
    <d v="2026-04-08T00:00:00"/>
    <n v="7125"/>
    <n v="5006.1099999999997"/>
    <s v="Paid"/>
    <s v=""/>
    <s v="Neha G"/>
    <n v="190"/>
    <x v="1"/>
    <n v="0"/>
    <s v="Manish Arora"/>
  </r>
  <r>
    <s v="C20720"/>
    <s v="P-1354"/>
    <s v="Green Valley Health"/>
    <x v="7"/>
    <d v="2026-03-31T00:00:00"/>
    <d v="2026-04-14T00:00:00"/>
    <n v="4550"/>
    <n v="3475.1"/>
    <s v="Paid"/>
    <s v=""/>
    <s v="Vikas R"/>
    <n v="184"/>
    <x v="1"/>
    <n v="0"/>
    <s v="Sunita Rao"/>
  </r>
  <r>
    <s v="C20721"/>
    <s v="P-1228"/>
    <s v="Green Valley Health"/>
    <x v="0"/>
    <d v="2026-03-17T00:00:00"/>
    <d v="2026-03-31T00:00:00"/>
    <n v="5375"/>
    <m/>
    <s v="Pending"/>
    <s v=""/>
    <s v="Rahul S"/>
    <n v="198"/>
    <x v="1"/>
    <n v="5375"/>
    <s v="Manish Arora"/>
  </r>
  <r>
    <s v="C20722"/>
    <s v="P-1019"/>
    <s v="Sunrise Hospital"/>
    <x v="4"/>
    <d v="2026-04-29T00:00:00"/>
    <d v="2026-05-15T00:00:00"/>
    <n v="3000"/>
    <n v="1683.4"/>
    <s v="Paid"/>
    <s v=""/>
    <s v="Sandeep Y"/>
    <n v="153"/>
    <x v="1"/>
    <n v="0"/>
    <s v="Sunita Rao"/>
  </r>
  <r>
    <s v="C20723"/>
    <s v="P-1078"/>
    <s v="Green Valley Health"/>
    <x v="4"/>
    <d v="2026-05-31T00:00:00"/>
    <d v="2026-06-11T00:00:00"/>
    <n v="10175"/>
    <n v="6203.58"/>
    <s v="Paid"/>
    <s v=""/>
    <s v="Amit V"/>
    <n v="126"/>
    <x v="1"/>
    <n v="0"/>
    <s v="Manish Arora"/>
  </r>
  <r>
    <s v="C20724"/>
    <s v="P-1177"/>
    <s v="Apex Ortho Center"/>
    <x v="1"/>
    <d v="2026-02-06T00:00:00"/>
    <d v="2026-02-20T00:00:00"/>
    <n v="2075"/>
    <n v="1326.78"/>
    <s v="Paid"/>
    <s v=""/>
    <s v="Neha G"/>
    <n v="237"/>
    <x v="1"/>
    <n v="0"/>
    <s v="Manish Arora"/>
  </r>
  <r>
    <s v="C20725"/>
    <s v="P-1403"/>
    <s v="City Care Clinic"/>
    <x v="1"/>
    <d v="2026-01-08T00:00:00"/>
    <d v="2026-01-16T00:00:00"/>
    <n v="425"/>
    <m/>
    <s v="Pending"/>
    <s v=""/>
    <s v="Rohit B"/>
    <n v="272"/>
    <x v="1"/>
    <n v="425"/>
    <s v="Deepak Nair"/>
  </r>
  <r>
    <s v="C20726"/>
    <s v="P-1327"/>
    <s v="City Care Clinic"/>
    <x v="1"/>
    <d v="2026-03-02T00:00:00"/>
    <d v="2026-03-08T00:00:00"/>
    <n v="2075"/>
    <n v="1920.77"/>
    <s v="Paid"/>
    <s v=""/>
    <s v="Vikas R"/>
    <n v="221"/>
    <x v="1"/>
    <n v="0"/>
    <s v="Sunita Rao"/>
  </r>
  <r>
    <s v="C20727"/>
    <s v="P-1371"/>
    <s v="Sunrise Hospital"/>
    <x v="1"/>
    <d v="2026-09-16T00:00:00"/>
    <d v="2026-09-27T00:00:00"/>
    <n v="7200"/>
    <m/>
    <s v="Pending"/>
    <s v=""/>
    <s v="Rahul S"/>
    <n v="18"/>
    <x v="3"/>
    <n v="7200"/>
    <s v="Manish Arora"/>
  </r>
  <r>
    <s v="C20728"/>
    <s v="P-1415"/>
    <s v="Green Valley Health"/>
    <x v="1"/>
    <d v="2026-06-04T00:00:00"/>
    <d v="2026-06-16T00:00:00"/>
    <n v="5650"/>
    <m/>
    <s v="Pending"/>
    <s v=""/>
    <s v="Vikas R"/>
    <n v="121"/>
    <x v="1"/>
    <n v="5650"/>
    <s v="Sunita Rao"/>
  </r>
  <r>
    <s v="C20729"/>
    <s v="P-1286"/>
    <s v="City Care Clinic"/>
    <x v="0"/>
    <d v="2026-01-15T00:00:00"/>
    <d v="2026-01-24T00:00:00"/>
    <n v="8475"/>
    <n v="8159.92"/>
    <s v="Paid"/>
    <s v=""/>
    <s v="Priya K"/>
    <n v="264"/>
    <x v="1"/>
    <n v="0"/>
    <s v="Manish Arora"/>
  </r>
  <r>
    <s v="C20730"/>
    <s v="P-1321"/>
    <s v="Green Valley Health"/>
    <x v="1"/>
    <d v="2026-08-11T00:00:00"/>
    <d v="2026-08-19T00:00:00"/>
    <n v="9625"/>
    <m/>
    <s v="Pending"/>
    <s v=""/>
    <s v="Kavita D"/>
    <n v="57"/>
    <x v="0"/>
    <n v="9625"/>
    <s v="Deepak Nair"/>
  </r>
  <r>
    <s v="C20731"/>
    <s v="P-1396"/>
    <s v="Apex Ortho Center"/>
    <x v="3"/>
    <d v="2026-08-18T00:00:00"/>
    <d v="2026-08-26T00:00:00"/>
    <n v="9500"/>
    <m/>
    <s v="Pending"/>
    <s v=""/>
    <s v="Rohit B"/>
    <n v="50"/>
    <x v="0"/>
    <n v="9500"/>
    <s v="Deepak Nair"/>
  </r>
  <r>
    <s v="C20732"/>
    <s v="P-1289"/>
    <s v="City Care Clinic"/>
    <x v="2"/>
    <d v="2025-12-24T00:00:00"/>
    <d v="2026-01-04T00:00:00"/>
    <n v="12975"/>
    <n v="0"/>
    <s v="Denied"/>
    <s v="Coding Error"/>
    <s v="Neha G"/>
    <n v="284"/>
    <x v="1"/>
    <n v="0"/>
    <s v="Manish Arora"/>
  </r>
  <r>
    <s v="C20733"/>
    <s v="P-1438"/>
    <s v="Apex Ortho Center"/>
    <x v="6"/>
    <d v="2026-03-04T00:00:00"/>
    <d v="2026-03-08T00:00:00"/>
    <n v="8150"/>
    <n v="6817.9"/>
    <s v="Paid"/>
    <s v=""/>
    <s v="Pooja M"/>
    <n v="221"/>
    <x v="1"/>
    <n v="0"/>
    <s v="Sunita Rao"/>
  </r>
  <r>
    <s v="C20734"/>
    <s v="P-1348"/>
    <s v="Green Valley Health"/>
    <x v="3"/>
    <d v="2026-07-19T00:00:00"/>
    <d v="2026-08-03T00:00:00"/>
    <n v="4475"/>
    <m/>
    <s v="Pending"/>
    <s v=""/>
    <s v="Amit V"/>
    <n v="73"/>
    <x v="2"/>
    <n v="4475"/>
    <s v="Manish Arora"/>
  </r>
  <r>
    <s v="C20735"/>
    <s v="P-1039"/>
    <s v="City Care Clinic"/>
    <x v="5"/>
    <d v="2026-02-08T00:00:00"/>
    <d v="2026-02-24T00:00:00"/>
    <n v="4725"/>
    <n v="4447.96"/>
    <s v="Paid"/>
    <s v=""/>
    <s v="Priya K"/>
    <n v="233"/>
    <x v="1"/>
    <n v="0"/>
    <s v="Manish Arora"/>
  </r>
  <r>
    <s v="C20736"/>
    <s v="P-1494"/>
    <s v="Sunrise Hospital"/>
    <x v="2"/>
    <d v="2026-09-14T00:00:00"/>
    <d v="2026-09-25T00:00:00"/>
    <n v="7425"/>
    <m/>
    <s v="Pending"/>
    <s v=""/>
    <s v="Sandeep Y"/>
    <n v="20"/>
    <x v="3"/>
    <n v="7425"/>
    <s v="Sunita Rao"/>
  </r>
  <r>
    <s v="C20737"/>
    <s v="P-1131"/>
    <s v="City Care Clinic"/>
    <x v="0"/>
    <d v="2026-04-25T00:00:00"/>
    <d v="2026-04-29T00:00:00"/>
    <n v="14450"/>
    <n v="0"/>
    <s v="Denied"/>
    <s v="Duplicate Claim"/>
    <s v="Priya K"/>
    <n v="169"/>
    <x v="1"/>
    <n v="0"/>
    <s v="Manish Arora"/>
  </r>
  <r>
    <s v="C20738"/>
    <s v="P-1056"/>
    <s v="Apex Ortho Center"/>
    <x v="1"/>
    <d v="2026-06-26T00:00:00"/>
    <d v="2026-07-12T00:00:00"/>
    <n v="11350"/>
    <n v="10235"/>
    <s v="Paid"/>
    <s v=""/>
    <s v="Pooja M"/>
    <n v="95"/>
    <x v="1"/>
    <n v="0"/>
    <s v="Sunita Rao"/>
  </r>
  <r>
    <s v="C20739"/>
    <s v="P-1035"/>
    <s v="Green Valley Health"/>
    <x v="4"/>
    <d v="2026-03-10T00:00:00"/>
    <d v="2026-03-26T00:00:00"/>
    <n v="6675"/>
    <n v="5362.58"/>
    <s v="Paid"/>
    <s v=""/>
    <s v="Pooja M"/>
    <n v="203"/>
    <x v="1"/>
    <n v="0"/>
    <s v="Sunita Rao"/>
  </r>
  <r>
    <s v="C20740"/>
    <s v="P-1224"/>
    <s v="Apex Ortho Center"/>
    <x v="3"/>
    <d v="2026-02-01T00:00:00"/>
    <d v="2026-02-18T00:00:00"/>
    <n v="7950"/>
    <n v="5869.09"/>
    <s v="Paid"/>
    <s v=""/>
    <s v="Anjali T"/>
    <n v="239"/>
    <x v="1"/>
    <n v="0"/>
    <s v="Deepak Nair"/>
  </r>
  <r>
    <s v="C20741"/>
    <s v="P-1269"/>
    <s v="Apex Ortho Center"/>
    <x v="4"/>
    <d v="2026-06-14T00:00:00"/>
    <d v="2026-06-30T00:00:00"/>
    <n v="6150"/>
    <n v="4857.59"/>
    <s v="Paid"/>
    <s v=""/>
    <s v="Priya K"/>
    <n v="107"/>
    <x v="1"/>
    <n v="0"/>
    <s v="Manish Arora"/>
  </r>
  <r>
    <s v="C20742"/>
    <s v="P-1427"/>
    <s v="Apex Ortho Center"/>
    <x v="3"/>
    <d v="2026-05-02T00:00:00"/>
    <d v="2026-05-07T00:00:00"/>
    <n v="14950"/>
    <n v="10158.23"/>
    <s v="Paid"/>
    <s v=""/>
    <s v="Amit V"/>
    <n v="161"/>
    <x v="1"/>
    <n v="0"/>
    <s v="Manish Arora"/>
  </r>
  <r>
    <s v="C20743"/>
    <s v="P-1359"/>
    <s v="City Care Clinic"/>
    <x v="4"/>
    <d v="2026-04-22T00:00:00"/>
    <d v="2026-05-01T00:00:00"/>
    <n v="4900"/>
    <n v="3687.12"/>
    <s v="Paid"/>
    <s v=""/>
    <s v="Vikas R"/>
    <n v="167"/>
    <x v="1"/>
    <n v="0"/>
    <s v="Sunita Rao"/>
  </r>
  <r>
    <s v="C20744"/>
    <s v="P-1336"/>
    <s v="Apex Ortho Center"/>
    <x v="1"/>
    <d v="2026-04-17T00:00:00"/>
    <d v="2026-04-20T00:00:00"/>
    <n v="3250"/>
    <m/>
    <s v="Pending"/>
    <s v=""/>
    <s v="Pooja M"/>
    <n v="178"/>
    <x v="1"/>
    <n v="3250"/>
    <s v="Sunita Rao"/>
  </r>
  <r>
    <s v="C20745"/>
    <s v="P-1360"/>
    <s v="Sunrise Hospital"/>
    <x v="4"/>
    <d v="2026-06-21T00:00:00"/>
    <d v="2026-07-11T00:00:00"/>
    <n v="14200"/>
    <n v="14105.37"/>
    <s v="Paid"/>
    <s v=""/>
    <s v="Anjali T"/>
    <n v="96"/>
    <x v="1"/>
    <n v="0"/>
    <s v="Deepak Nair"/>
  </r>
  <r>
    <s v="C20746"/>
    <s v="P-1056"/>
    <s v="City Care Clinic"/>
    <x v="8"/>
    <d v="2026-03-05T00:00:00"/>
    <d v="2026-03-08T00:00:00"/>
    <n v="4650"/>
    <n v="2583.7399999999998"/>
    <s v="Paid"/>
    <s v=""/>
    <s v="Kavita D"/>
    <n v="221"/>
    <x v="1"/>
    <n v="0"/>
    <s v="Deepak Nair"/>
  </r>
  <r>
    <s v="C20747"/>
    <s v="P-1033"/>
    <s v="Apex Ortho Center"/>
    <x v="4"/>
    <d v="2026-06-10T00:00:00"/>
    <d v="2026-06-19T00:00:00"/>
    <n v="11675"/>
    <n v="0"/>
    <s v="Denied"/>
    <s v="Incorrect Patient Info"/>
    <s v="Priya K"/>
    <n v="118"/>
    <x v="1"/>
    <n v="0"/>
    <s v="Manish Arora"/>
  </r>
  <r>
    <s v="C20748"/>
    <s v="P-1161"/>
    <s v="City Care Clinic"/>
    <x v="6"/>
    <d v="2026-05-09T00:00:00"/>
    <d v="2026-05-18T00:00:00"/>
    <n v="4000"/>
    <n v="3100.6"/>
    <s v="Paid"/>
    <s v=""/>
    <s v="Neha G"/>
    <n v="150"/>
    <x v="1"/>
    <n v="0"/>
    <s v="Manish Arora"/>
  </r>
  <r>
    <s v="C20749"/>
    <s v="P-1009"/>
    <s v="Sunrise Hospital"/>
    <x v="4"/>
    <d v="2026-08-10T00:00:00"/>
    <d v="2026-08-27T00:00:00"/>
    <n v="2225"/>
    <m/>
    <s v="Pending"/>
    <s v=""/>
    <s v="Amit V"/>
    <n v="49"/>
    <x v="0"/>
    <n v="2225"/>
    <s v="Manish Arora"/>
  </r>
  <r>
    <s v="C20750"/>
    <s v="P-1459"/>
    <s v="Apex Ortho Center"/>
    <x v="4"/>
    <d v="2026-06-09T00:00:00"/>
    <d v="2026-06-24T00:00:00"/>
    <n v="3775"/>
    <n v="3577.57"/>
    <s v="Paid"/>
    <s v=""/>
    <s v="Neha G"/>
    <n v="113"/>
    <x v="1"/>
    <n v="0"/>
    <s v="Manish Arora"/>
  </r>
  <r>
    <s v="C20751"/>
    <s v="P-1486"/>
    <s v="Sunrise Hospital"/>
    <x v="1"/>
    <d v="2026-03-08T00:00:00"/>
    <d v="2026-03-26T00:00:00"/>
    <n v="11125"/>
    <n v="9073.49"/>
    <s v="Paid"/>
    <s v=""/>
    <s v="Rahul S"/>
    <n v="203"/>
    <x v="1"/>
    <n v="0"/>
    <s v="Manish Arora"/>
  </r>
  <r>
    <s v="C20752"/>
    <s v="P-1242"/>
    <s v="Apex Ortho Center"/>
    <x v="1"/>
    <d v="2026-03-22T00:00:00"/>
    <d v="2026-04-01T00:00:00"/>
    <n v="2425"/>
    <m/>
    <s v="Pending"/>
    <s v=""/>
    <s v="Rohit B"/>
    <n v="197"/>
    <x v="1"/>
    <n v="2425"/>
    <s v="Deepak Nair"/>
  </r>
  <r>
    <s v="C20753"/>
    <s v="P-1136"/>
    <s v="City Care Clinic"/>
    <x v="7"/>
    <d v="2026-08-28T00:00:00"/>
    <d v="2026-09-11T00:00:00"/>
    <n v="6275"/>
    <m/>
    <s v="Pending"/>
    <s v=""/>
    <s v="Pooja M"/>
    <n v="34"/>
    <x v="0"/>
    <n v="6275"/>
    <s v="Sunita Rao"/>
  </r>
  <r>
    <s v="C20754"/>
    <s v="P-1204"/>
    <s v="Apex Ortho Center"/>
    <x v="0"/>
    <d v="2026-05-29T00:00:00"/>
    <d v="2026-06-14T00:00:00"/>
    <n v="6250"/>
    <n v="6217.96"/>
    <s v="Paid"/>
    <s v=""/>
    <s v="Anjali T"/>
    <n v="123"/>
    <x v="1"/>
    <n v="0"/>
    <s v="Deepak Nair"/>
  </r>
  <r>
    <s v="C20755"/>
    <s v="P-1039"/>
    <s v="Sunrise Hospital"/>
    <x v="4"/>
    <d v="2026-06-29T00:00:00"/>
    <d v="2026-07-19T00:00:00"/>
    <n v="10025"/>
    <m/>
    <s v="Pending"/>
    <s v=""/>
    <s v="Neha G"/>
    <n v="88"/>
    <x v="2"/>
    <n v="10025"/>
    <s v="Manish Arora"/>
  </r>
  <r>
    <s v="C20756"/>
    <s v="P-1211"/>
    <s v="City Care Clinic"/>
    <x v="1"/>
    <d v="2026-01-20T00:00:00"/>
    <d v="2026-01-23T00:00:00"/>
    <n v="4400"/>
    <n v="0"/>
    <s v="Denied"/>
    <s v="Patient Not Eligible"/>
    <s v="Neha G"/>
    <n v="265"/>
    <x v="1"/>
    <n v="0"/>
    <s v="Manish Arora"/>
  </r>
  <r>
    <s v="C20757"/>
    <s v="P-1232"/>
    <s v="Green Valley Health"/>
    <x v="0"/>
    <d v="2026-07-17T00:00:00"/>
    <d v="2026-07-20T00:00:00"/>
    <n v="12900"/>
    <n v="10340.16"/>
    <s v="Paid"/>
    <s v=""/>
    <s v="Amit V"/>
    <n v="87"/>
    <x v="2"/>
    <n v="0"/>
    <s v="Manish Arora"/>
  </r>
  <r>
    <s v="C20758"/>
    <s v="P-1122"/>
    <s v="Sunrise Hospital"/>
    <x v="3"/>
    <d v="2026-02-28T00:00:00"/>
    <d v="2026-03-11T00:00:00"/>
    <n v="3675"/>
    <n v="2271.1"/>
    <s v="Paid"/>
    <s v=""/>
    <s v="Rahul S"/>
    <n v="218"/>
    <x v="1"/>
    <n v="0"/>
    <s v="Manish Arora"/>
  </r>
  <r>
    <s v="C20759"/>
    <s v="P-1224"/>
    <s v="Sunrise Hospital"/>
    <x v="3"/>
    <d v="2026-05-02T00:00:00"/>
    <d v="2026-05-13T00:00:00"/>
    <n v="13775"/>
    <n v="13222.57"/>
    <s v="Paid"/>
    <s v=""/>
    <s v="Amit V"/>
    <n v="155"/>
    <x v="1"/>
    <n v="0"/>
    <s v="Manish Arora"/>
  </r>
  <r>
    <s v="C20760"/>
    <s v="P-1022"/>
    <s v="Apex Ortho Center"/>
    <x v="4"/>
    <d v="2026-08-07T00:00:00"/>
    <d v="2026-08-10T00:00:00"/>
    <n v="10250"/>
    <m/>
    <s v="Pending"/>
    <s v=""/>
    <s v="Anjali T"/>
    <n v="66"/>
    <x v="2"/>
    <n v="10250"/>
    <s v="Deepak Nair"/>
  </r>
  <r>
    <s v="C20761"/>
    <s v="P-1034"/>
    <s v="Apex Ortho Center"/>
    <x v="1"/>
    <d v="2026-06-07T00:00:00"/>
    <d v="2026-06-24T00:00:00"/>
    <n v="3325"/>
    <n v="2878.74"/>
    <s v="Paid"/>
    <s v=""/>
    <s v="Anjali T"/>
    <n v="113"/>
    <x v="1"/>
    <n v="0"/>
    <s v="Deepak Nair"/>
  </r>
  <r>
    <s v="C20762"/>
    <s v="P-1328"/>
    <s v="Green Valley Health"/>
    <x v="5"/>
    <d v="2026-03-27T00:00:00"/>
    <d v="2026-04-12T00:00:00"/>
    <n v="3050"/>
    <n v="0"/>
    <s v="Denied"/>
    <s v="Coding Error"/>
    <s v="Kavita D"/>
    <n v="186"/>
    <x v="1"/>
    <n v="0"/>
    <s v="Deepak Nair"/>
  </r>
  <r>
    <s v="C20763"/>
    <s v="P-1134"/>
    <s v="Apex Ortho Center"/>
    <x v="3"/>
    <d v="2026-06-22T00:00:00"/>
    <d v="2026-07-01T00:00:00"/>
    <n v="12975"/>
    <n v="11830.56"/>
    <s v="Paid"/>
    <s v=""/>
    <s v="Neha G"/>
    <n v="106"/>
    <x v="1"/>
    <n v="0"/>
    <s v="Manish Arora"/>
  </r>
  <r>
    <s v="C20764"/>
    <s v="P-1135"/>
    <s v="Sunrise Hospital"/>
    <x v="4"/>
    <d v="2026-08-27T00:00:00"/>
    <d v="2026-09-03T00:00:00"/>
    <n v="2050"/>
    <m/>
    <s v="Pending"/>
    <s v=""/>
    <s v="Rohit B"/>
    <n v="42"/>
    <x v="0"/>
    <n v="2050"/>
    <s v="Deepak Nair"/>
  </r>
  <r>
    <s v="C20765"/>
    <s v="P-1384"/>
    <s v="Green Valley Health"/>
    <x v="1"/>
    <d v="2026-05-19T00:00:00"/>
    <d v="2026-06-07T00:00:00"/>
    <n v="13475"/>
    <m/>
    <s v="Pending"/>
    <s v=""/>
    <s v="Priya K"/>
    <n v="130"/>
    <x v="1"/>
    <n v="13475"/>
    <s v="Manish Arora"/>
  </r>
  <r>
    <s v="C20766"/>
    <s v="P-1415"/>
    <s v="Green Valley Health"/>
    <x v="4"/>
    <d v="2026-08-19T00:00:00"/>
    <d v="2026-09-02T00:00:00"/>
    <n v="13875"/>
    <n v="13384.66"/>
    <s v="Paid"/>
    <s v=""/>
    <s v="Rohit B"/>
    <n v="43"/>
    <x v="0"/>
    <n v="0"/>
    <s v="Deepak Nair"/>
  </r>
  <r>
    <s v="C20767"/>
    <s v="P-1054"/>
    <s v="City Care Clinic"/>
    <x v="1"/>
    <d v="2026-02-23T00:00:00"/>
    <d v="2026-03-02T00:00:00"/>
    <n v="10000"/>
    <n v="9468.76"/>
    <s v="Paid"/>
    <s v=""/>
    <s v="Amit V"/>
    <n v="227"/>
    <x v="1"/>
    <n v="0"/>
    <s v="Manish Arora"/>
  </r>
  <r>
    <s v="C20768"/>
    <s v="P-1242"/>
    <s v="Sunrise Hospital"/>
    <x v="7"/>
    <d v="2026-01-27T00:00:00"/>
    <d v="2026-02-13T00:00:00"/>
    <n v="3000"/>
    <m/>
    <s v="Pending"/>
    <s v=""/>
    <s v="Kavita D"/>
    <n v="244"/>
    <x v="1"/>
    <n v="3000"/>
    <s v="Deepak Nair"/>
  </r>
  <r>
    <s v="C20769"/>
    <s v="P-1087"/>
    <s v="Green Valley Health"/>
    <x v="1"/>
    <d v="2026-06-30T00:00:00"/>
    <d v="2026-07-08T00:00:00"/>
    <n v="14075"/>
    <m/>
    <s v="Pending"/>
    <s v=""/>
    <s v="Anjali T"/>
    <n v="99"/>
    <x v="1"/>
    <n v="14075"/>
    <s v="Deepak Nair"/>
  </r>
  <r>
    <s v="C20770"/>
    <s v="P-1343"/>
    <s v="City Care Clinic"/>
    <x v="3"/>
    <d v="2026-06-02T00:00:00"/>
    <d v="2026-06-12T00:00:00"/>
    <n v="3225"/>
    <n v="2530.08"/>
    <s v="Paid"/>
    <s v=""/>
    <s v="Vikas R"/>
    <n v="125"/>
    <x v="1"/>
    <n v="0"/>
    <s v="Sunita Rao"/>
  </r>
  <r>
    <s v="C20771"/>
    <s v="P-1496"/>
    <s v="City Care Clinic"/>
    <x v="6"/>
    <d v="2026-06-15T00:00:00"/>
    <d v="2026-06-25T00:00:00"/>
    <n v="13250"/>
    <m/>
    <s v="Pending"/>
    <s v=""/>
    <s v="Neha G"/>
    <n v="112"/>
    <x v="1"/>
    <n v="13250"/>
    <s v="Manish Arora"/>
  </r>
  <r>
    <s v="C20772"/>
    <s v="P-1179"/>
    <s v="Apex Ortho Center"/>
    <x v="7"/>
    <d v="2026-04-25T00:00:00"/>
    <d v="2026-05-04T00:00:00"/>
    <n v="8350"/>
    <n v="7949.18"/>
    <s v="Paid"/>
    <s v=""/>
    <s v="Kavita D"/>
    <n v="164"/>
    <x v="1"/>
    <n v="0"/>
    <s v="Deepak Nair"/>
  </r>
  <r>
    <s v="C20773"/>
    <s v="P-1147"/>
    <s v="Green Valley Health"/>
    <x v="4"/>
    <d v="2026-01-09T00:00:00"/>
    <d v="2026-01-23T00:00:00"/>
    <n v="1050"/>
    <n v="935.86"/>
    <s v="Paid"/>
    <s v=""/>
    <s v="Rahul S"/>
    <n v="265"/>
    <x v="1"/>
    <n v="0"/>
    <s v="Manish Arora"/>
  </r>
  <r>
    <s v="C20774"/>
    <s v="P-1500"/>
    <s v="City Care Clinic"/>
    <x v="2"/>
    <d v="2026-07-20T00:00:00"/>
    <d v="2026-07-24T00:00:00"/>
    <n v="1925"/>
    <n v="0"/>
    <s v="Denied"/>
    <s v="Coding Error"/>
    <s v="Pooja M"/>
    <n v="83"/>
    <x v="2"/>
    <n v="0"/>
    <s v="Sunita Rao"/>
  </r>
  <r>
    <s v="C20775"/>
    <s v="P-1276"/>
    <s v="Green Valley Health"/>
    <x v="1"/>
    <d v="2026-01-29T00:00:00"/>
    <d v="2026-02-06T00:00:00"/>
    <n v="10850"/>
    <n v="0"/>
    <s v="Denied"/>
    <s v="Coding Error"/>
    <s v="Amit V"/>
    <n v="251"/>
    <x v="1"/>
    <n v="0"/>
    <s v="Manish Arora"/>
  </r>
  <r>
    <s v="C20776"/>
    <s v="P-1139"/>
    <s v="Sunrise Hospital"/>
    <x v="1"/>
    <d v="2026-06-19T00:00:00"/>
    <d v="2026-06-29T00:00:00"/>
    <n v="9650"/>
    <n v="9398.1200000000008"/>
    <s v="Paid"/>
    <s v=""/>
    <s v="Sandeep Y"/>
    <n v="108"/>
    <x v="1"/>
    <n v="0"/>
    <s v="Sunita Rao"/>
  </r>
  <r>
    <s v="C20777"/>
    <s v="P-1067"/>
    <s v="City Care Clinic"/>
    <x v="4"/>
    <d v="2026-04-18T00:00:00"/>
    <d v="2026-05-01T00:00:00"/>
    <n v="7925"/>
    <n v="0"/>
    <s v="Denied"/>
    <s v="Medical Necessity Not Met"/>
    <s v="Neha G"/>
    <n v="167"/>
    <x v="1"/>
    <n v="0"/>
    <s v="Manish Arora"/>
  </r>
  <r>
    <s v="C20778"/>
    <s v="P-1399"/>
    <s v="Apex Ortho Center"/>
    <x v="5"/>
    <d v="2026-09-17T00:00:00"/>
    <d v="2026-09-26T00:00:00"/>
    <n v="12625"/>
    <n v="11471.29"/>
    <s v="Paid"/>
    <s v=""/>
    <s v="Priya K"/>
    <n v="19"/>
    <x v="3"/>
    <n v="0"/>
    <s v="Manish Arora"/>
  </r>
  <r>
    <s v="C20779"/>
    <s v="P-1000"/>
    <s v="Sunrise Hospital"/>
    <x v="4"/>
    <d v="2026-03-22T00:00:00"/>
    <d v="2026-03-25T00:00:00"/>
    <n v="3350"/>
    <n v="2335.04"/>
    <s v="Paid"/>
    <s v=""/>
    <s v="Pooja M"/>
    <n v="204"/>
    <x v="1"/>
    <n v="0"/>
    <s v="Sunita Rao"/>
  </r>
  <r>
    <s v="C20780"/>
    <s v="P-1039"/>
    <s v="Green Valley Health"/>
    <x v="4"/>
    <d v="2026-01-20T00:00:00"/>
    <d v="2026-02-08T00:00:00"/>
    <n v="4600"/>
    <n v="3752.97"/>
    <s v="Paid"/>
    <s v=""/>
    <s v="Pooja M"/>
    <n v="249"/>
    <x v="1"/>
    <n v="0"/>
    <s v="Sunita Rao"/>
  </r>
  <r>
    <s v="C20781"/>
    <s v="P-1225"/>
    <s v="Apex Ortho Center"/>
    <x v="3"/>
    <d v="2026-08-14T00:00:00"/>
    <d v="2026-08-30T00:00:00"/>
    <n v="5325"/>
    <n v="5019.96"/>
    <s v="Paid"/>
    <s v=""/>
    <s v="Anjali T"/>
    <n v="46"/>
    <x v="0"/>
    <n v="0"/>
    <s v="Deepak Nair"/>
  </r>
  <r>
    <s v="C20782"/>
    <s v="P-1011"/>
    <s v="City Care Clinic"/>
    <x v="3"/>
    <d v="2026-08-30T00:00:00"/>
    <d v="2026-09-03T00:00:00"/>
    <n v="14550"/>
    <n v="10001.280000000001"/>
    <s v="Paid"/>
    <s v=""/>
    <s v="Neha G"/>
    <n v="42"/>
    <x v="0"/>
    <n v="0"/>
    <s v="Manish Arora"/>
  </r>
  <r>
    <s v="C20783"/>
    <s v="P-1342"/>
    <s v="Apex Ortho Center"/>
    <x v="0"/>
    <d v="2026-06-16T00:00:00"/>
    <d v="2026-06-29T00:00:00"/>
    <n v="3750"/>
    <n v="0"/>
    <s v="Denied"/>
    <s v="Coding Error"/>
    <s v="Sandeep Y"/>
    <n v="108"/>
    <x v="1"/>
    <n v="0"/>
    <s v="Sunita Rao"/>
  </r>
  <r>
    <s v="C20784"/>
    <s v="P-1105"/>
    <s v="Green Valley Health"/>
    <x v="3"/>
    <d v="2026-04-07T00:00:00"/>
    <d v="2026-04-22T00:00:00"/>
    <n v="10200"/>
    <n v="7513.04"/>
    <s v="Paid"/>
    <s v=""/>
    <s v="Priya K"/>
    <n v="176"/>
    <x v="1"/>
    <n v="0"/>
    <s v="Manish Arora"/>
  </r>
  <r>
    <s v="C20785"/>
    <s v="P-1021"/>
    <s v="Green Valley Health"/>
    <x v="3"/>
    <d v="2026-08-17T00:00:00"/>
    <d v="2026-09-05T00:00:00"/>
    <n v="7625"/>
    <m/>
    <s v="Pending"/>
    <s v=""/>
    <s v="Anjali T"/>
    <n v="40"/>
    <x v="0"/>
    <n v="7625"/>
    <s v="Deepak Nair"/>
  </r>
  <r>
    <s v="C20786"/>
    <s v="P-1429"/>
    <s v="City Care Clinic"/>
    <x v="4"/>
    <d v="2025-12-24T00:00:00"/>
    <d v="2026-01-10T00:00:00"/>
    <n v="4450"/>
    <n v="4341.93"/>
    <s v="Paid"/>
    <s v=""/>
    <s v="Neha G"/>
    <n v="278"/>
    <x v="1"/>
    <n v="0"/>
    <s v="Manish Arora"/>
  </r>
  <r>
    <s v="C20787"/>
    <s v="P-1373"/>
    <s v="Sunrise Hospital"/>
    <x v="0"/>
    <d v="2025-12-16T00:00:00"/>
    <d v="2026-01-01T00:00:00"/>
    <n v="8900"/>
    <n v="7066.76"/>
    <s v="Paid"/>
    <s v=""/>
    <s v="Amit V"/>
    <n v="287"/>
    <x v="1"/>
    <n v="0"/>
    <s v="Manish Arora"/>
  </r>
  <r>
    <s v="C20788"/>
    <s v="P-1044"/>
    <s v="Green Valley Health"/>
    <x v="0"/>
    <d v="2025-12-31T00:00:00"/>
    <d v="2026-01-18T00:00:00"/>
    <n v="7025"/>
    <n v="6757.3"/>
    <s v="Paid"/>
    <s v=""/>
    <s v="Kavita D"/>
    <n v="270"/>
    <x v="1"/>
    <n v="0"/>
    <s v="Deepak Nair"/>
  </r>
  <r>
    <s v="C20789"/>
    <s v="P-1234"/>
    <s v="Sunrise Hospital"/>
    <x v="3"/>
    <d v="2026-06-03T00:00:00"/>
    <d v="2026-06-21T00:00:00"/>
    <n v="11550"/>
    <n v="7350.43"/>
    <s v="Paid"/>
    <s v=""/>
    <s v="Rohit B"/>
    <n v="116"/>
    <x v="1"/>
    <n v="0"/>
    <s v="Deepak Nair"/>
  </r>
  <r>
    <s v="C20790"/>
    <s v="P-1061"/>
    <s v="City Care Clinic"/>
    <x v="1"/>
    <d v="2026-06-23T00:00:00"/>
    <d v="2026-06-26T00:00:00"/>
    <n v="13475"/>
    <n v="7413.18"/>
    <s v="Paid"/>
    <s v=""/>
    <s v="Sandeep Y"/>
    <n v="111"/>
    <x v="1"/>
    <n v="0"/>
    <s v="Sunita Rao"/>
  </r>
  <r>
    <s v="C20791"/>
    <s v="P-1184"/>
    <s v="Green Valley Health"/>
    <x v="0"/>
    <d v="2026-01-22T00:00:00"/>
    <d v="2026-02-09T00:00:00"/>
    <n v="11150"/>
    <n v="10514.42"/>
    <s v="Paid"/>
    <s v=""/>
    <s v="Vikas R"/>
    <n v="248"/>
    <x v="1"/>
    <n v="0"/>
    <s v="Sunita Rao"/>
  </r>
  <r>
    <s v="C20792"/>
    <s v="P-1154"/>
    <s v="Apex Ortho Center"/>
    <x v="7"/>
    <d v="2026-02-17T00:00:00"/>
    <d v="2026-03-08T00:00:00"/>
    <n v="3450"/>
    <m/>
    <s v="Pending"/>
    <s v=""/>
    <s v="Priya K"/>
    <n v="221"/>
    <x v="1"/>
    <n v="3450"/>
    <s v="Manish Arora"/>
  </r>
  <r>
    <s v="C20793"/>
    <s v="P-1407"/>
    <s v="City Care Clinic"/>
    <x v="5"/>
    <d v="2026-05-25T00:00:00"/>
    <d v="2026-06-03T00:00:00"/>
    <n v="6700"/>
    <n v="0"/>
    <s v="Denied"/>
    <s v="Coding Error"/>
    <s v="Pooja M"/>
    <n v="134"/>
    <x v="1"/>
    <n v="0"/>
    <s v="Sunita Rao"/>
  </r>
  <r>
    <s v="C20794"/>
    <s v="P-1031"/>
    <s v="Green Valley Health"/>
    <x v="3"/>
    <d v="2026-04-29T00:00:00"/>
    <d v="2026-05-07T00:00:00"/>
    <n v="350"/>
    <n v="0"/>
    <s v="Denied"/>
    <s v="Timely Filing Exceeded"/>
    <s v="Vikas R"/>
    <n v="161"/>
    <x v="1"/>
    <n v="0"/>
    <s v="Sunita Rao"/>
  </r>
  <r>
    <s v="C20795"/>
    <s v="P-1169"/>
    <s v="Green Valley Health"/>
    <x v="1"/>
    <d v="2026-06-22T00:00:00"/>
    <d v="2026-06-27T00:00:00"/>
    <n v="10525"/>
    <m/>
    <s v="Pending"/>
    <s v=""/>
    <s v="Amit V"/>
    <n v="110"/>
    <x v="1"/>
    <n v="10525"/>
    <s v="Manish Arora"/>
  </r>
  <r>
    <s v="C20796"/>
    <s v="P-1121"/>
    <s v="Sunrise Hospital"/>
    <x v="6"/>
    <d v="2026-08-12T00:00:00"/>
    <d v="2026-08-16T00:00:00"/>
    <n v="3400"/>
    <n v="2727.06"/>
    <s v="Paid"/>
    <s v=""/>
    <s v="Amit V"/>
    <n v="60"/>
    <x v="0"/>
    <n v="0"/>
    <s v="Manish Arora"/>
  </r>
  <r>
    <s v="C20797"/>
    <s v="P-1293"/>
    <s v="Apex Ortho Center"/>
    <x v="2"/>
    <d v="2026-06-07T00:00:00"/>
    <d v="2026-06-20T00:00:00"/>
    <n v="1625"/>
    <n v="1586.54"/>
    <s v="Paid"/>
    <s v=""/>
    <s v="Anjali T"/>
    <n v="117"/>
    <x v="1"/>
    <n v="0"/>
    <s v="Deepak Nair"/>
  </r>
  <r>
    <s v="C20798"/>
    <s v="P-1266"/>
    <s v="City Care Clinic"/>
    <x v="1"/>
    <d v="2026-09-14T00:00:00"/>
    <d v="2026-09-24T00:00:00"/>
    <n v="11575"/>
    <m/>
    <s v="Pending"/>
    <s v=""/>
    <s v="Pooja M"/>
    <n v="21"/>
    <x v="3"/>
    <n v="11575"/>
    <s v="Sunita Rao"/>
  </r>
  <r>
    <s v="C20799"/>
    <s v="P-1412"/>
    <s v="City Care Clinic"/>
    <x v="0"/>
    <d v="2026-01-10T00:00:00"/>
    <d v="2026-01-14T00:00:00"/>
    <n v="5350"/>
    <n v="5185.8500000000004"/>
    <s v="Paid"/>
    <s v=""/>
    <s v="Sandeep Y"/>
    <n v="274"/>
    <x v="1"/>
    <n v="0"/>
    <s v="Sunita Rao"/>
  </r>
  <r>
    <s v="C20800"/>
    <s v="P-1275"/>
    <s v="City Care Clinic"/>
    <x v="4"/>
    <d v="2026-01-28T00:00:00"/>
    <d v="2026-02-08T00:00:00"/>
    <n v="7700"/>
    <n v="4282.12"/>
    <s v="Paid"/>
    <s v=""/>
    <s v="Anjali T"/>
    <n v="249"/>
    <x v="1"/>
    <n v="0"/>
    <s v="Deepak Nair"/>
  </r>
  <r>
    <s v="C20801"/>
    <s v="P-1031"/>
    <s v="City Care Clinic"/>
    <x v="0"/>
    <d v="2026-06-15T00:00:00"/>
    <d v="2026-06-25T00:00:00"/>
    <n v="5875"/>
    <n v="5527.89"/>
    <s v="Paid"/>
    <s v=""/>
    <s v="Anjali T"/>
    <n v="112"/>
    <x v="1"/>
    <n v="0"/>
    <s v="Deepak Nair"/>
  </r>
  <r>
    <s v="C20802"/>
    <s v="P-1049"/>
    <s v="Apex Ortho Center"/>
    <x v="0"/>
    <d v="2026-05-22T00:00:00"/>
    <d v="2026-05-29T00:00:00"/>
    <n v="4600"/>
    <n v="4400.4799999999996"/>
    <s v="Paid"/>
    <s v=""/>
    <s v="Sandeep Y"/>
    <n v="139"/>
    <x v="1"/>
    <n v="0"/>
    <s v="Sunita Rao"/>
  </r>
  <r>
    <s v="C20803"/>
    <s v="P-1477"/>
    <s v="Sunrise Hospital"/>
    <x v="2"/>
    <d v="2026-07-12T00:00:00"/>
    <d v="2026-08-01T00:00:00"/>
    <n v="7225"/>
    <m/>
    <s v="Pending"/>
    <s v=""/>
    <s v="Rohit B"/>
    <n v="75"/>
    <x v="2"/>
    <n v="7225"/>
    <s v="Deepak Nair"/>
  </r>
  <r>
    <s v="C20804"/>
    <s v="P-1029"/>
    <s v="City Care Clinic"/>
    <x v="0"/>
    <d v="2026-01-20T00:00:00"/>
    <d v="2026-02-09T00:00:00"/>
    <n v="13825"/>
    <m/>
    <s v="Pending"/>
    <s v=""/>
    <s v="Anjali T"/>
    <n v="248"/>
    <x v="1"/>
    <n v="13825"/>
    <s v="Deepak Nair"/>
  </r>
  <r>
    <s v="C20805"/>
    <s v="P-1070"/>
    <s v="Green Valley Health"/>
    <x v="4"/>
    <d v="2026-07-15T00:00:00"/>
    <d v="2026-08-02T00:00:00"/>
    <n v="11675"/>
    <m/>
    <s v="Pending"/>
    <s v=""/>
    <s v="Rahul S"/>
    <n v="74"/>
    <x v="2"/>
    <n v="11675"/>
    <s v="Manish Arora"/>
  </r>
  <r>
    <s v="C20806"/>
    <s v="P-1013"/>
    <s v="Sunrise Hospital"/>
    <x v="6"/>
    <d v="2026-02-22T00:00:00"/>
    <d v="2026-03-03T00:00:00"/>
    <n v="10475"/>
    <n v="10399.969999999999"/>
    <s v="Paid"/>
    <s v=""/>
    <s v="Sandeep Y"/>
    <n v="226"/>
    <x v="1"/>
    <n v="0"/>
    <s v="Sunita Rao"/>
  </r>
  <r>
    <s v="C20807"/>
    <s v="P-1328"/>
    <s v="City Care Clinic"/>
    <x v="4"/>
    <d v="2026-06-25T00:00:00"/>
    <d v="2026-07-07T00:00:00"/>
    <n v="7500"/>
    <n v="6644.43"/>
    <s v="Paid"/>
    <s v=""/>
    <s v="Kavita D"/>
    <n v="100"/>
    <x v="1"/>
    <n v="0"/>
    <s v="Deepak Nair"/>
  </r>
  <r>
    <s v="C20808"/>
    <s v="P-1286"/>
    <s v="Apex Ortho Center"/>
    <x v="6"/>
    <d v="2026-06-21T00:00:00"/>
    <d v="2026-06-29T00:00:00"/>
    <n v="10100"/>
    <m/>
    <s v="Pending"/>
    <s v=""/>
    <s v="Priya K"/>
    <n v="108"/>
    <x v="1"/>
    <n v="10100"/>
    <s v="Manish Arora"/>
  </r>
  <r>
    <s v="C20809"/>
    <s v="P-1102"/>
    <s v="Sunrise Hospital"/>
    <x v="6"/>
    <d v="2026-03-11T00:00:00"/>
    <d v="2026-03-22T00:00:00"/>
    <n v="1000"/>
    <m/>
    <s v="Pending"/>
    <s v=""/>
    <s v="Priya K"/>
    <n v="207"/>
    <x v="1"/>
    <n v="1000"/>
    <s v="Manish Arora"/>
  </r>
  <r>
    <s v="C20810"/>
    <s v="P-1204"/>
    <s v="Apex Ortho Center"/>
    <x v="3"/>
    <d v="2026-02-09T00:00:00"/>
    <d v="2026-02-17T00:00:00"/>
    <n v="4725"/>
    <n v="2742.53"/>
    <s v="Paid"/>
    <s v=""/>
    <s v="Priya K"/>
    <n v="240"/>
    <x v="1"/>
    <n v="0"/>
    <s v="Manish Arora"/>
  </r>
  <r>
    <s v="C20811"/>
    <s v="P-1485"/>
    <s v="Sunrise Hospital"/>
    <x v="0"/>
    <d v="2026-06-11T00:00:00"/>
    <d v="2026-06-27T00:00:00"/>
    <n v="6425"/>
    <n v="3909.53"/>
    <s v="Paid"/>
    <s v=""/>
    <s v="Kavita D"/>
    <n v="110"/>
    <x v="1"/>
    <n v="0"/>
    <s v="Deepak Nair"/>
  </r>
  <r>
    <s v="C20812"/>
    <s v="P-1312"/>
    <s v="Green Valley Health"/>
    <x v="7"/>
    <d v="2026-09-15T00:00:00"/>
    <d v="2026-09-27T00:00:00"/>
    <n v="10825"/>
    <m/>
    <s v="Pending"/>
    <s v=""/>
    <s v="Rohit B"/>
    <n v="18"/>
    <x v="3"/>
    <n v="10825"/>
    <s v="Deepak Nair"/>
  </r>
  <r>
    <s v="C20813"/>
    <s v="P-1037"/>
    <s v="City Care Clinic"/>
    <x v="0"/>
    <d v="2026-03-13T00:00:00"/>
    <d v="2026-03-24T00:00:00"/>
    <n v="10900"/>
    <n v="9136.06"/>
    <s v="Paid"/>
    <s v=""/>
    <s v="Rohit B"/>
    <n v="205"/>
    <x v="1"/>
    <n v="0"/>
    <s v="Deepak Nair"/>
  </r>
  <r>
    <s v="C20814"/>
    <s v="P-1048"/>
    <s v="Sunrise Hospital"/>
    <x v="5"/>
    <d v="2026-08-27T00:00:00"/>
    <d v="2026-09-09T00:00:00"/>
    <n v="7400"/>
    <m/>
    <s v="Pending"/>
    <s v=""/>
    <s v="Kavita D"/>
    <n v="36"/>
    <x v="0"/>
    <n v="7400"/>
    <s v="Deepak Nair"/>
  </r>
  <r>
    <s v="C20815"/>
    <s v="P-1451"/>
    <s v="Sunrise Hospital"/>
    <x v="1"/>
    <d v="2026-04-22T00:00:00"/>
    <d v="2026-04-28T00:00:00"/>
    <n v="10225"/>
    <n v="0"/>
    <s v="Denied"/>
    <s v="Incorrect Patient Info"/>
    <s v="Amit V"/>
    <n v="170"/>
    <x v="1"/>
    <n v="0"/>
    <s v="Manish Arora"/>
  </r>
  <r>
    <s v="C20816"/>
    <s v="P-1433"/>
    <s v="City Care Clinic"/>
    <x v="3"/>
    <d v="2026-03-21T00:00:00"/>
    <d v="2026-03-28T00:00:00"/>
    <n v="13925"/>
    <n v="0"/>
    <s v="Denied"/>
    <s v="Patient Not Eligible"/>
    <s v="Priya K"/>
    <n v="201"/>
    <x v="1"/>
    <n v="0"/>
    <s v="Manish Arora"/>
  </r>
  <r>
    <s v="C20817"/>
    <s v="P-1400"/>
    <s v="Apex Ortho Center"/>
    <x v="6"/>
    <d v="2026-01-14T00:00:00"/>
    <d v="2026-02-01T00:00:00"/>
    <n v="6025"/>
    <n v="0"/>
    <s v="Denied"/>
    <s v="Patient Not Eligible"/>
    <s v="Rohit B"/>
    <n v="256"/>
    <x v="1"/>
    <n v="0"/>
    <s v="Deepak Nair"/>
  </r>
  <r>
    <s v="C20818"/>
    <s v="P-1390"/>
    <s v="City Care Clinic"/>
    <x v="2"/>
    <d v="2026-09-17T00:00:00"/>
    <d v="2026-10-05T00:00:00"/>
    <n v="11675"/>
    <m/>
    <s v="Pending"/>
    <s v=""/>
    <s v="Neha G"/>
    <n v="10"/>
    <x v="3"/>
    <n v="11675"/>
    <s v="Manish Arora"/>
  </r>
  <r>
    <s v="C20819"/>
    <s v="P-1071"/>
    <s v="Sunrise Hospital"/>
    <x v="0"/>
    <d v="2026-02-26T00:00:00"/>
    <d v="2026-03-04T00:00:00"/>
    <n v="13175"/>
    <n v="11726.77"/>
    <s v="Paid"/>
    <s v=""/>
    <s v="Amit V"/>
    <n v="225"/>
    <x v="1"/>
    <n v="0"/>
    <s v="Manish Arora"/>
  </r>
  <r>
    <s v="C20820"/>
    <s v="P-1354"/>
    <s v="Apex Ortho Center"/>
    <x v="0"/>
    <d v="2026-08-14T00:00:00"/>
    <d v="2026-08-27T00:00:00"/>
    <n v="7400"/>
    <n v="6191.4"/>
    <s v="Paid"/>
    <s v=""/>
    <s v="Anjali T"/>
    <n v="49"/>
    <x v="0"/>
    <n v="0"/>
    <s v="Deepak Nair"/>
  </r>
  <r>
    <s v="C20821"/>
    <s v="P-1495"/>
    <s v="Apex Ortho Center"/>
    <x v="1"/>
    <d v="2026-07-17T00:00:00"/>
    <d v="2026-08-05T00:00:00"/>
    <n v="12775"/>
    <m/>
    <s v="Pending"/>
    <s v=""/>
    <s v="Priya K"/>
    <n v="71"/>
    <x v="2"/>
    <n v="12775"/>
    <s v="Manish Arora"/>
  </r>
  <r>
    <s v="C20822"/>
    <s v="P-1178"/>
    <s v="Sunrise Hospital"/>
    <x v="0"/>
    <d v="2026-06-29T00:00:00"/>
    <d v="2026-07-17T00:00:00"/>
    <n v="7175"/>
    <n v="6179.74"/>
    <s v="Paid"/>
    <s v=""/>
    <s v="Vikas R"/>
    <n v="90"/>
    <x v="2"/>
    <n v="0"/>
    <s v="Sunita Rao"/>
  </r>
  <r>
    <s v="C20823"/>
    <s v="P-1473"/>
    <s v="Green Valley Health"/>
    <x v="0"/>
    <d v="2026-07-11T00:00:00"/>
    <d v="2026-07-18T00:00:00"/>
    <n v="6825"/>
    <m/>
    <s v="Pending"/>
    <s v=""/>
    <s v="Rohit B"/>
    <n v="89"/>
    <x v="2"/>
    <n v="6825"/>
    <s v="Deepak Nair"/>
  </r>
  <r>
    <s v="C20824"/>
    <s v="P-1122"/>
    <s v="City Care Clinic"/>
    <x v="2"/>
    <d v="2026-07-05T00:00:00"/>
    <d v="2026-07-25T00:00:00"/>
    <n v="14125"/>
    <m/>
    <s v="Pending"/>
    <s v=""/>
    <s v="Priya K"/>
    <n v="82"/>
    <x v="2"/>
    <n v="14125"/>
    <s v="Manish Arora"/>
  </r>
  <r>
    <s v="C20825"/>
    <s v="P-1229"/>
    <s v="City Care Clinic"/>
    <x v="0"/>
    <d v="2026-06-22T00:00:00"/>
    <d v="2026-07-10T00:00:00"/>
    <n v="8225"/>
    <n v="0"/>
    <s v="Denied"/>
    <s v="Timely Filing Exceeded"/>
    <s v="Anjali T"/>
    <n v="97"/>
    <x v="1"/>
    <n v="0"/>
    <s v="Deepak Nair"/>
  </r>
  <r>
    <s v="C20826"/>
    <s v="P-1023"/>
    <s v="Sunrise Hospital"/>
    <x v="3"/>
    <d v="2026-09-06T00:00:00"/>
    <d v="2026-09-14T00:00:00"/>
    <n v="11175"/>
    <m/>
    <s v="Pending"/>
    <s v=""/>
    <s v="Pooja M"/>
    <n v="31"/>
    <x v="0"/>
    <n v="11175"/>
    <s v="Sunita Rao"/>
  </r>
  <r>
    <s v="C20827"/>
    <s v="P-1176"/>
    <s v="Apex Ortho Center"/>
    <x v="2"/>
    <d v="2026-10-02T00:00:00"/>
    <d v="2026-10-05T00:00:00"/>
    <n v="1325"/>
    <n v="0"/>
    <s v="Denied"/>
    <s v="Incorrect Patient Info"/>
    <s v="Rahul S"/>
    <n v="10"/>
    <x v="3"/>
    <n v="0"/>
    <s v="Manish Arora"/>
  </r>
  <r>
    <s v="C20828"/>
    <s v="P-1126"/>
    <s v="Apex Ortho Center"/>
    <x v="3"/>
    <d v="2026-07-06T00:00:00"/>
    <d v="2026-07-13T00:00:00"/>
    <n v="5525"/>
    <n v="0"/>
    <s v="Denied"/>
    <s v="Missing Prior Authorization"/>
    <s v="Pooja M"/>
    <n v="94"/>
    <x v="1"/>
    <n v="0"/>
    <s v="Sunita Rao"/>
  </r>
  <r>
    <s v="C20829"/>
    <s v="P-1422"/>
    <s v="Sunrise Hospital"/>
    <x v="4"/>
    <d v="2026-05-19T00:00:00"/>
    <d v="2026-06-05T00:00:00"/>
    <n v="3200"/>
    <n v="0"/>
    <s v="Denied"/>
    <s v="Duplicate Claim"/>
    <s v="Pooja M"/>
    <n v="132"/>
    <x v="1"/>
    <n v="0"/>
    <s v="Sunita Rao"/>
  </r>
  <r>
    <s v="C20830"/>
    <s v="P-1158"/>
    <s v="City Care Clinic"/>
    <x v="3"/>
    <d v="2026-01-18T00:00:00"/>
    <d v="2026-02-02T00:00:00"/>
    <n v="5125"/>
    <n v="0"/>
    <s v="Denied"/>
    <s v="Incorrect Patient Info"/>
    <s v="Kavita D"/>
    <n v="255"/>
    <x v="1"/>
    <n v="0"/>
    <s v="Deepak Nair"/>
  </r>
  <r>
    <s v="C20831"/>
    <s v="P-1126"/>
    <s v="City Care Clinic"/>
    <x v="1"/>
    <d v="2026-07-22T00:00:00"/>
    <d v="2026-07-27T00:00:00"/>
    <n v="9975"/>
    <m/>
    <s v="Pending"/>
    <s v=""/>
    <s v="Anjali T"/>
    <n v="80"/>
    <x v="2"/>
    <n v="9975"/>
    <s v="Deepak Nair"/>
  </r>
  <r>
    <s v="C20832"/>
    <s v="P-1058"/>
    <s v="City Care Clinic"/>
    <x v="6"/>
    <d v="2026-05-16T00:00:00"/>
    <d v="2026-05-27T00:00:00"/>
    <n v="3700"/>
    <n v="2061.06"/>
    <s v="Paid"/>
    <s v=""/>
    <s v="Anjali T"/>
    <n v="141"/>
    <x v="1"/>
    <n v="0"/>
    <s v="Deepak Nair"/>
  </r>
  <r>
    <s v="C20833"/>
    <s v="P-1208"/>
    <s v="Apex Ortho Center"/>
    <x v="6"/>
    <d v="2026-02-01T00:00:00"/>
    <d v="2026-02-20T00:00:00"/>
    <n v="5925"/>
    <n v="3760.68"/>
    <s v="Paid"/>
    <s v=""/>
    <s v="Sandeep Y"/>
    <n v="237"/>
    <x v="1"/>
    <n v="0"/>
    <s v="Sunita Rao"/>
  </r>
  <r>
    <s v="C20834"/>
    <s v="P-1166"/>
    <s v="Sunrise Hospital"/>
    <x v="6"/>
    <d v="2026-08-20T00:00:00"/>
    <d v="2026-08-24T00:00:00"/>
    <n v="6825"/>
    <m/>
    <s v="Pending"/>
    <s v=""/>
    <s v="Pooja M"/>
    <n v="52"/>
    <x v="0"/>
    <n v="6825"/>
    <s v="Sunita Rao"/>
  </r>
  <r>
    <s v="C20835"/>
    <s v="P-1289"/>
    <s v="Apex Ortho Center"/>
    <x v="6"/>
    <d v="2026-09-18T00:00:00"/>
    <d v="2026-09-30T00:00:00"/>
    <n v="7250"/>
    <m/>
    <s v="Pending"/>
    <s v=""/>
    <s v="Amit V"/>
    <n v="15"/>
    <x v="3"/>
    <n v="7250"/>
    <s v="Manish Arora"/>
  </r>
  <r>
    <s v="C20836"/>
    <s v="P-1098"/>
    <s v="City Care Clinic"/>
    <x v="1"/>
    <d v="2026-02-27T00:00:00"/>
    <d v="2026-03-15T00:00:00"/>
    <n v="10625"/>
    <m/>
    <s v="Pending"/>
    <s v=""/>
    <s v="Rohit B"/>
    <n v="214"/>
    <x v="1"/>
    <n v="10625"/>
    <s v="Deepak Nair"/>
  </r>
  <r>
    <s v="C20837"/>
    <s v="P-1078"/>
    <s v="City Care Clinic"/>
    <x v="4"/>
    <d v="2026-08-19T00:00:00"/>
    <d v="2026-08-31T00:00:00"/>
    <n v="14850"/>
    <m/>
    <s v="Pending"/>
    <s v=""/>
    <s v="Rahul S"/>
    <n v="45"/>
    <x v="0"/>
    <n v="14850"/>
    <s v="Manish Arora"/>
  </r>
  <r>
    <s v="C20838"/>
    <s v="P-1087"/>
    <s v="Apex Ortho Center"/>
    <x v="2"/>
    <d v="2026-09-08T00:00:00"/>
    <d v="2026-09-17T00:00:00"/>
    <n v="12225"/>
    <n v="9985.14"/>
    <s v="Paid"/>
    <s v=""/>
    <s v="Sandeep Y"/>
    <n v="28"/>
    <x v="3"/>
    <n v="0"/>
    <s v="Sunita Rao"/>
  </r>
  <r>
    <s v="C20839"/>
    <s v="P-1443"/>
    <s v="Apex Ortho Center"/>
    <x v="6"/>
    <d v="2026-03-31T00:00:00"/>
    <d v="2026-04-11T00:00:00"/>
    <n v="12250"/>
    <m/>
    <s v="Pending"/>
    <s v=""/>
    <s v="Neha G"/>
    <n v="187"/>
    <x v="1"/>
    <n v="12250"/>
    <s v="Manish Arora"/>
  </r>
  <r>
    <s v="C20840"/>
    <s v="P-1311"/>
    <s v="Sunrise Hospital"/>
    <x v="1"/>
    <d v="2026-02-22T00:00:00"/>
    <d v="2026-03-07T00:00:00"/>
    <n v="11275"/>
    <n v="7779.37"/>
    <s v="Paid"/>
    <s v=""/>
    <s v="Sandeep Y"/>
    <n v="222"/>
    <x v="1"/>
    <n v="0"/>
    <s v="Sunita Rao"/>
  </r>
  <r>
    <s v="C20841"/>
    <s v="P-1429"/>
    <s v="City Care Clinic"/>
    <x v="1"/>
    <d v="2026-02-12T00:00:00"/>
    <d v="2026-02-23T00:00:00"/>
    <n v="5075"/>
    <n v="5074.8599999999997"/>
    <s v="Paid"/>
    <s v=""/>
    <s v="Anjali T"/>
    <n v="234"/>
    <x v="1"/>
    <n v="0"/>
    <s v="Deepak Nair"/>
  </r>
  <r>
    <s v="C20842"/>
    <s v="P-1439"/>
    <s v="Sunrise Hospital"/>
    <x v="0"/>
    <d v="2026-09-05T00:00:00"/>
    <d v="2026-09-10T00:00:00"/>
    <n v="1825"/>
    <m/>
    <s v="Pending"/>
    <s v=""/>
    <s v="Sandeep Y"/>
    <n v="35"/>
    <x v="0"/>
    <n v="1825"/>
    <s v="Sunita Rao"/>
  </r>
  <r>
    <s v="C20843"/>
    <s v="P-1215"/>
    <s v="Green Valley Health"/>
    <x v="7"/>
    <d v="2025-12-30T00:00:00"/>
    <d v="2026-01-09T00:00:00"/>
    <n v="2425"/>
    <n v="2119.0100000000002"/>
    <s v="Paid"/>
    <s v=""/>
    <s v="Rohit B"/>
    <n v="279"/>
    <x v="1"/>
    <n v="0"/>
    <s v="Deepak Nair"/>
  </r>
  <r>
    <s v="C20844"/>
    <s v="P-1253"/>
    <s v="City Care Clinic"/>
    <x v="0"/>
    <d v="2026-06-10T00:00:00"/>
    <d v="2026-06-17T00:00:00"/>
    <n v="13500"/>
    <n v="10229.23"/>
    <s v="Paid"/>
    <s v=""/>
    <s v="Rahul S"/>
    <n v="120"/>
    <x v="1"/>
    <n v="0"/>
    <s v="Manish Arora"/>
  </r>
  <r>
    <s v="C20845"/>
    <s v="P-1379"/>
    <s v="Apex Ortho Center"/>
    <x v="4"/>
    <d v="2026-02-25T00:00:00"/>
    <d v="2026-03-13T00:00:00"/>
    <n v="12275"/>
    <n v="0"/>
    <s v="Denied"/>
    <s v="Coding Error"/>
    <s v="Neha G"/>
    <n v="216"/>
    <x v="1"/>
    <n v="0"/>
    <s v="Manish Arora"/>
  </r>
  <r>
    <s v="C20846"/>
    <s v="P-1497"/>
    <s v="Green Valley Health"/>
    <x v="4"/>
    <d v="2026-02-26T00:00:00"/>
    <d v="2026-03-17T00:00:00"/>
    <n v="2625"/>
    <m/>
    <s v="Pending"/>
    <s v=""/>
    <s v="Vikas R"/>
    <n v="212"/>
    <x v="1"/>
    <n v="2625"/>
    <s v="Sunita Rao"/>
  </r>
  <r>
    <s v="C20847"/>
    <s v="P-1401"/>
    <s v="City Care Clinic"/>
    <x v="0"/>
    <d v="2026-05-15T00:00:00"/>
    <d v="2026-05-29T00:00:00"/>
    <n v="7500"/>
    <n v="0"/>
    <s v="Denied"/>
    <s v="Medical Necessity Not Met"/>
    <s v="Anjali T"/>
    <n v="139"/>
    <x v="1"/>
    <n v="0"/>
    <s v="Deepak Nair"/>
  </r>
  <r>
    <s v="C20848"/>
    <s v="P-1181"/>
    <s v="Apex Ortho Center"/>
    <x v="7"/>
    <d v="2026-02-09T00:00:00"/>
    <d v="2026-02-13T00:00:00"/>
    <n v="12400"/>
    <n v="7054.01"/>
    <s v="Paid"/>
    <s v=""/>
    <s v="Pooja M"/>
    <n v="244"/>
    <x v="1"/>
    <n v="0"/>
    <s v="Sunita Rao"/>
  </r>
  <r>
    <s v="C20849"/>
    <s v="P-1020"/>
    <s v="Green Valley Health"/>
    <x v="6"/>
    <d v="2026-06-09T00:00:00"/>
    <d v="2026-06-19T00:00:00"/>
    <n v="2700"/>
    <n v="0"/>
    <s v="Denied"/>
    <s v="Medical Necessity Not Met"/>
    <s v="Vikas R"/>
    <n v="118"/>
    <x v="1"/>
    <n v="0"/>
    <s v="Sunita Rao"/>
  </r>
  <r>
    <s v="C20850"/>
    <s v="P-1438"/>
    <s v="Sunrise Hospital"/>
    <x v="7"/>
    <d v="2026-02-11T00:00:00"/>
    <d v="2026-02-24T00:00:00"/>
    <n v="12725"/>
    <n v="8099.71"/>
    <s v="Paid"/>
    <s v=""/>
    <s v="Priya K"/>
    <n v="233"/>
    <x v="1"/>
    <n v="0"/>
    <s v="Manish Arora"/>
  </r>
  <r>
    <s v="C20851"/>
    <s v="P-1040"/>
    <s v="Green Valley Health"/>
    <x v="3"/>
    <d v="2026-03-09T00:00:00"/>
    <d v="2026-03-20T00:00:00"/>
    <n v="6475"/>
    <n v="4902.2700000000004"/>
    <s v="Paid"/>
    <s v=""/>
    <s v="Neha G"/>
    <n v="209"/>
    <x v="1"/>
    <n v="0"/>
    <s v="Manish Arora"/>
  </r>
  <r>
    <s v="C20852"/>
    <s v="P-1263"/>
    <s v="City Care Clinic"/>
    <x v="5"/>
    <d v="2026-06-24T00:00:00"/>
    <d v="2026-07-12T00:00:00"/>
    <n v="4125"/>
    <m/>
    <s v="Pending"/>
    <s v=""/>
    <s v="Rahul S"/>
    <n v="95"/>
    <x v="1"/>
    <n v="4125"/>
    <s v="Manish Arora"/>
  </r>
  <r>
    <s v="C20853"/>
    <s v="P-1342"/>
    <s v="City Care Clinic"/>
    <x v="0"/>
    <d v="2026-05-28T00:00:00"/>
    <d v="2026-06-08T00:00:00"/>
    <n v="9575"/>
    <n v="8674.99"/>
    <s v="Paid"/>
    <s v=""/>
    <s v="Rohit B"/>
    <n v="129"/>
    <x v="1"/>
    <n v="0"/>
    <s v="Deepak Nair"/>
  </r>
  <r>
    <s v="C20854"/>
    <s v="P-1330"/>
    <s v="Green Valley Health"/>
    <x v="0"/>
    <d v="2026-02-18T00:00:00"/>
    <d v="2026-03-10T00:00:00"/>
    <n v="4425"/>
    <n v="4363.6899999999996"/>
    <s v="Paid"/>
    <s v=""/>
    <s v="Priya K"/>
    <n v="219"/>
    <x v="1"/>
    <n v="0"/>
    <s v="Manish Arora"/>
  </r>
  <r>
    <s v="C20855"/>
    <s v="P-1401"/>
    <s v="Sunrise Hospital"/>
    <x v="2"/>
    <d v="2025-12-21T00:00:00"/>
    <d v="2026-01-10T00:00:00"/>
    <n v="1425"/>
    <n v="923.17"/>
    <s v="Paid"/>
    <s v=""/>
    <s v="Rohit B"/>
    <n v="278"/>
    <x v="1"/>
    <n v="0"/>
    <s v="Deepak Nair"/>
  </r>
  <r>
    <s v="C20856"/>
    <s v="P-1182"/>
    <s v="Green Valley Health"/>
    <x v="0"/>
    <d v="2026-07-23T00:00:00"/>
    <d v="2026-08-12T00:00:00"/>
    <n v="3350"/>
    <n v="2251.8200000000002"/>
    <s v="Paid"/>
    <s v=""/>
    <s v="Pooja M"/>
    <n v="64"/>
    <x v="2"/>
    <n v="0"/>
    <s v="Sunita Rao"/>
  </r>
  <r>
    <s v="C20857"/>
    <s v="P-1069"/>
    <s v="Green Valley Health"/>
    <x v="1"/>
    <d v="2026-06-28T00:00:00"/>
    <d v="2026-07-12T00:00:00"/>
    <n v="325"/>
    <n v="236.8"/>
    <s v="Paid"/>
    <s v=""/>
    <s v="Sandeep Y"/>
    <n v="95"/>
    <x v="1"/>
    <n v="0"/>
    <s v="Sunita Rao"/>
  </r>
  <r>
    <s v="C20858"/>
    <s v="P-1467"/>
    <s v="Apex Ortho Center"/>
    <x v="3"/>
    <d v="2026-02-12T00:00:00"/>
    <d v="2026-02-15T00:00:00"/>
    <n v="4175"/>
    <n v="3286.42"/>
    <s v="Paid"/>
    <s v=""/>
    <s v="Amit V"/>
    <n v="242"/>
    <x v="1"/>
    <n v="0"/>
    <s v="Manish Arora"/>
  </r>
  <r>
    <s v="C20859"/>
    <s v="P-1103"/>
    <s v="City Care Clinic"/>
    <x v="0"/>
    <d v="2026-01-11T00:00:00"/>
    <d v="2026-01-22T00:00:00"/>
    <n v="5675"/>
    <m/>
    <s v="Pending"/>
    <s v=""/>
    <s v="Rohit B"/>
    <n v="266"/>
    <x v="1"/>
    <n v="5675"/>
    <s v="Deepak Nair"/>
  </r>
  <r>
    <s v="C20860"/>
    <s v="P-1345"/>
    <s v="Sunrise Hospital"/>
    <x v="4"/>
    <d v="2026-06-27T00:00:00"/>
    <d v="2026-07-14T00:00:00"/>
    <n v="14450"/>
    <n v="10776.45"/>
    <s v="Paid"/>
    <s v=""/>
    <s v="Pooja M"/>
    <n v="93"/>
    <x v="1"/>
    <n v="0"/>
    <s v="Sunita Rao"/>
  </r>
  <r>
    <s v="C20861"/>
    <s v="P-1119"/>
    <s v="Apex Ortho Center"/>
    <x v="7"/>
    <d v="2026-06-20T00:00:00"/>
    <d v="2026-07-08T00:00:00"/>
    <n v="4275"/>
    <n v="4159.72"/>
    <s v="Paid"/>
    <s v=""/>
    <s v="Anjali T"/>
    <n v="99"/>
    <x v="1"/>
    <n v="0"/>
    <s v="Deepak Nair"/>
  </r>
  <r>
    <s v="C20862"/>
    <s v="P-1403"/>
    <s v="Apex Ortho Center"/>
    <x v="1"/>
    <d v="2026-06-05T00:00:00"/>
    <d v="2026-06-19T00:00:00"/>
    <n v="3300"/>
    <n v="1863.82"/>
    <s v="Paid"/>
    <s v=""/>
    <s v="Rohit B"/>
    <n v="118"/>
    <x v="1"/>
    <n v="0"/>
    <s v="Deepak Nair"/>
  </r>
  <r>
    <s v="C20863"/>
    <s v="P-1459"/>
    <s v="City Care Clinic"/>
    <x v="4"/>
    <d v="2026-03-08T00:00:00"/>
    <d v="2026-03-22T00:00:00"/>
    <n v="14700"/>
    <n v="13771.23"/>
    <s v="Paid"/>
    <s v=""/>
    <s v="Rohit B"/>
    <n v="207"/>
    <x v="1"/>
    <n v="0"/>
    <s v="Deepak Nair"/>
  </r>
  <r>
    <s v="C20864"/>
    <s v="P-1325"/>
    <s v="Sunrise Hospital"/>
    <x v="7"/>
    <d v="2026-07-18T00:00:00"/>
    <d v="2026-07-27T00:00:00"/>
    <n v="6875"/>
    <n v="5847.86"/>
    <s v="Paid"/>
    <s v=""/>
    <s v="Anjali T"/>
    <n v="80"/>
    <x v="2"/>
    <n v="0"/>
    <s v="Deepak Nair"/>
  </r>
  <r>
    <s v="C20865"/>
    <s v="P-1165"/>
    <s v="Apex Ortho Center"/>
    <x v="1"/>
    <d v="2026-09-28T00:00:00"/>
    <d v="2026-10-02T00:00:00"/>
    <n v="13875"/>
    <n v="10991.45"/>
    <s v="Paid"/>
    <s v=""/>
    <s v="Rahul S"/>
    <n v="13"/>
    <x v="3"/>
    <n v="0"/>
    <s v="Manish Arora"/>
  </r>
  <r>
    <s v="C20866"/>
    <s v="P-1229"/>
    <s v="Green Valley Health"/>
    <x v="4"/>
    <d v="2026-01-20T00:00:00"/>
    <d v="2026-02-03T00:00:00"/>
    <n v="4375"/>
    <n v="4300.63"/>
    <s v="Paid"/>
    <s v=""/>
    <s v="Amit V"/>
    <n v="254"/>
    <x v="1"/>
    <n v="0"/>
    <s v="Manish Arora"/>
  </r>
  <r>
    <s v="C20867"/>
    <s v="P-1193"/>
    <s v="Apex Ortho Center"/>
    <x v="4"/>
    <d v="2026-01-19T00:00:00"/>
    <d v="2026-01-31T00:00:00"/>
    <n v="14825"/>
    <n v="11148.76"/>
    <s v="Paid"/>
    <s v=""/>
    <s v="Sandeep Y"/>
    <n v="257"/>
    <x v="1"/>
    <n v="0"/>
    <s v="Sunita Rao"/>
  </r>
  <r>
    <s v="C20868"/>
    <s v="P-1104"/>
    <s v="Green Valley Health"/>
    <x v="0"/>
    <d v="2026-06-05T00:00:00"/>
    <d v="2026-06-13T00:00:00"/>
    <n v="3550"/>
    <n v="0"/>
    <s v="Denied"/>
    <s v="Duplicate Claim"/>
    <s v="Pooja M"/>
    <n v="124"/>
    <x v="1"/>
    <n v="0"/>
    <s v="Sunita Rao"/>
  </r>
  <r>
    <s v="C20869"/>
    <s v="P-1099"/>
    <s v="Apex Ortho Center"/>
    <x v="6"/>
    <d v="2026-07-18T00:00:00"/>
    <d v="2026-08-01T00:00:00"/>
    <n v="5800"/>
    <m/>
    <s v="Pending"/>
    <s v=""/>
    <s v="Anjali T"/>
    <n v="75"/>
    <x v="2"/>
    <n v="5800"/>
    <s v="Deepak Nair"/>
  </r>
  <r>
    <s v="C20870"/>
    <s v="P-1221"/>
    <s v="Apex Ortho Center"/>
    <x v="1"/>
    <d v="2026-05-25T00:00:00"/>
    <d v="2026-05-29T00:00:00"/>
    <n v="4100"/>
    <n v="0"/>
    <s v="Denied"/>
    <s v="Coding Error"/>
    <s v="Amit V"/>
    <n v="139"/>
    <x v="1"/>
    <n v="0"/>
    <s v="Manish Arora"/>
  </r>
  <r>
    <s v="C20871"/>
    <s v="P-1395"/>
    <s v="Sunrise Hospital"/>
    <x v="6"/>
    <d v="2026-02-22T00:00:00"/>
    <d v="2026-03-03T00:00:00"/>
    <n v="8000"/>
    <n v="5718.28"/>
    <s v="Paid"/>
    <s v=""/>
    <s v="Amit V"/>
    <n v="226"/>
    <x v="1"/>
    <n v="0"/>
    <s v="Manish Arora"/>
  </r>
  <r>
    <s v="C20872"/>
    <s v="P-1030"/>
    <s v="Sunrise Hospital"/>
    <x v="7"/>
    <d v="2026-01-12T00:00:00"/>
    <d v="2026-01-31T00:00:00"/>
    <n v="12075"/>
    <n v="6657.32"/>
    <s v="Paid"/>
    <s v=""/>
    <s v="Rahul S"/>
    <n v="257"/>
    <x v="1"/>
    <n v="0"/>
    <s v="Manish Arora"/>
  </r>
  <r>
    <s v="C20873"/>
    <s v="P-1395"/>
    <s v="Sunrise Hospital"/>
    <x v="1"/>
    <d v="2026-07-21T00:00:00"/>
    <d v="2026-08-03T00:00:00"/>
    <n v="3575"/>
    <n v="0"/>
    <s v="Denied"/>
    <s v="Incorrect Patient Info"/>
    <s v="Rahul S"/>
    <n v="73"/>
    <x v="2"/>
    <n v="0"/>
    <s v="Manish Arora"/>
  </r>
  <r>
    <s v="C20874"/>
    <s v="P-1008"/>
    <s v="City Care Clinic"/>
    <x v="6"/>
    <d v="2026-03-11T00:00:00"/>
    <d v="2026-03-15T00:00:00"/>
    <n v="2575"/>
    <n v="2090.37"/>
    <s v="Paid"/>
    <s v=""/>
    <s v="Neha G"/>
    <n v="214"/>
    <x v="1"/>
    <n v="0"/>
    <s v="Manish Arora"/>
  </r>
  <r>
    <s v="C20875"/>
    <s v="P-1357"/>
    <s v="Sunrise Hospital"/>
    <x v="1"/>
    <d v="2026-01-08T00:00:00"/>
    <d v="2026-01-20T00:00:00"/>
    <n v="5325"/>
    <n v="3243.34"/>
    <s v="Paid"/>
    <s v=""/>
    <s v="Amit V"/>
    <n v="268"/>
    <x v="1"/>
    <n v="0"/>
    <s v="Manish Arora"/>
  </r>
  <r>
    <s v="C20876"/>
    <s v="P-1446"/>
    <s v="Green Valley Health"/>
    <x v="1"/>
    <d v="2025-12-31T00:00:00"/>
    <d v="2026-01-06T00:00:00"/>
    <n v="8700"/>
    <n v="5980.2"/>
    <s v="Paid"/>
    <s v=""/>
    <s v="Kavita D"/>
    <n v="282"/>
    <x v="1"/>
    <n v="0"/>
    <s v="Deepak Nair"/>
  </r>
  <r>
    <s v="C20877"/>
    <s v="P-1499"/>
    <s v="Apex Ortho Center"/>
    <x v="3"/>
    <d v="2026-03-18T00:00:00"/>
    <d v="2026-03-22T00:00:00"/>
    <n v="4275"/>
    <n v="2423.31"/>
    <s v="Paid"/>
    <s v=""/>
    <s v="Vikas R"/>
    <n v="207"/>
    <x v="1"/>
    <n v="0"/>
    <s v="Sunita Rao"/>
  </r>
  <r>
    <s v="C20878"/>
    <s v="P-1489"/>
    <s v="Apex Ortho Center"/>
    <x v="0"/>
    <d v="2026-07-23T00:00:00"/>
    <d v="2026-08-08T00:00:00"/>
    <n v="2500"/>
    <m/>
    <s v="Pending"/>
    <s v=""/>
    <s v="Kavita D"/>
    <n v="68"/>
    <x v="2"/>
    <n v="2500"/>
    <s v="Deepak Nair"/>
  </r>
  <r>
    <s v="C20879"/>
    <s v="P-1104"/>
    <s v="Sunrise Hospital"/>
    <x v="5"/>
    <d v="2026-05-17T00:00:00"/>
    <d v="2026-06-05T00:00:00"/>
    <n v="11625"/>
    <n v="9827.57"/>
    <s v="Paid"/>
    <s v=""/>
    <s v="Vikas R"/>
    <n v="132"/>
    <x v="1"/>
    <n v="0"/>
    <s v="Sunita Rao"/>
  </r>
  <r>
    <s v="C20880"/>
    <s v="P-1162"/>
    <s v="Sunrise Hospital"/>
    <x v="4"/>
    <d v="2026-03-25T00:00:00"/>
    <d v="2026-04-07T00:00:00"/>
    <n v="7000"/>
    <n v="6293.38"/>
    <s v="Paid"/>
    <s v=""/>
    <s v="Kavita D"/>
    <n v="191"/>
    <x v="1"/>
    <n v="0"/>
    <s v="Deepak Nair"/>
  </r>
  <r>
    <s v="C20881"/>
    <s v="P-1204"/>
    <s v="Sunrise Hospital"/>
    <x v="6"/>
    <d v="2026-04-02T00:00:00"/>
    <d v="2026-04-19T00:00:00"/>
    <n v="12375"/>
    <n v="8737.06"/>
    <s v="Paid"/>
    <s v=""/>
    <s v="Neha G"/>
    <n v="179"/>
    <x v="1"/>
    <n v="0"/>
    <s v="Manish Arora"/>
  </r>
  <r>
    <s v="C20882"/>
    <s v="P-1098"/>
    <s v="Apex Ortho Center"/>
    <x v="0"/>
    <d v="2026-09-10T00:00:00"/>
    <d v="2026-09-23T00:00:00"/>
    <n v="5575"/>
    <n v="5276.24"/>
    <s v="Paid"/>
    <s v=""/>
    <s v="Neha G"/>
    <n v="22"/>
    <x v="3"/>
    <n v="0"/>
    <s v="Manish Arora"/>
  </r>
  <r>
    <s v="C20883"/>
    <s v="P-1079"/>
    <s v="Apex Ortho Center"/>
    <x v="4"/>
    <d v="2026-01-10T00:00:00"/>
    <d v="2026-01-24T00:00:00"/>
    <n v="8125"/>
    <m/>
    <s v="Pending"/>
    <s v=""/>
    <s v="Anjali T"/>
    <n v="264"/>
    <x v="1"/>
    <n v="8125"/>
    <s v="Deepak Nair"/>
  </r>
  <r>
    <s v="C20884"/>
    <s v="P-1075"/>
    <s v="Apex Ortho Center"/>
    <x v="0"/>
    <d v="2026-06-04T00:00:00"/>
    <d v="2026-06-21T00:00:00"/>
    <n v="7850"/>
    <n v="5635.58"/>
    <s v="Paid"/>
    <s v=""/>
    <s v="Rahul S"/>
    <n v="116"/>
    <x v="1"/>
    <n v="0"/>
    <s v="Manish Arora"/>
  </r>
  <r>
    <s v="C20885"/>
    <s v="P-1199"/>
    <s v="Apex Ortho Center"/>
    <x v="1"/>
    <d v="2026-03-02T00:00:00"/>
    <d v="2026-03-16T00:00:00"/>
    <n v="9650"/>
    <n v="9023.26"/>
    <s v="Paid"/>
    <s v=""/>
    <s v="Rahul S"/>
    <n v="213"/>
    <x v="1"/>
    <n v="0"/>
    <s v="Manish Arora"/>
  </r>
  <r>
    <s v="C20886"/>
    <s v="P-1154"/>
    <s v="City Care Clinic"/>
    <x v="1"/>
    <d v="2026-05-20T00:00:00"/>
    <d v="2026-06-03T00:00:00"/>
    <n v="13275"/>
    <n v="11963.53"/>
    <s v="Paid"/>
    <s v=""/>
    <s v="Rahul S"/>
    <n v="134"/>
    <x v="1"/>
    <n v="0"/>
    <s v="Manish Arora"/>
  </r>
  <r>
    <s v="C20887"/>
    <s v="P-1477"/>
    <s v="Apex Ortho Center"/>
    <x v="2"/>
    <d v="2026-07-27T00:00:00"/>
    <d v="2026-08-14T00:00:00"/>
    <n v="5650"/>
    <n v="5542.24"/>
    <s v="Paid"/>
    <s v=""/>
    <s v="Amit V"/>
    <n v="62"/>
    <x v="2"/>
    <n v="0"/>
    <s v="Manish Arora"/>
  </r>
  <r>
    <s v="C20888"/>
    <s v="P-1136"/>
    <s v="Apex Ortho Center"/>
    <x v="2"/>
    <d v="2026-06-18T00:00:00"/>
    <d v="2026-06-23T00:00:00"/>
    <n v="9125"/>
    <n v="0"/>
    <s v="Denied"/>
    <s v="Missing Prior Authorization"/>
    <s v="Kavita D"/>
    <n v="114"/>
    <x v="1"/>
    <n v="0"/>
    <s v="Deepak Nair"/>
  </r>
  <r>
    <s v="C20889"/>
    <s v="P-1360"/>
    <s v="City Care Clinic"/>
    <x v="1"/>
    <d v="2026-06-04T00:00:00"/>
    <d v="2026-06-20T00:00:00"/>
    <n v="13875"/>
    <n v="0"/>
    <s v="Denied"/>
    <s v="Duplicate Claim"/>
    <s v="Vikas R"/>
    <n v="117"/>
    <x v="1"/>
    <n v="0"/>
    <s v="Sunita Rao"/>
  </r>
  <r>
    <s v="C20890"/>
    <s v="P-1268"/>
    <s v="Apex Ortho Center"/>
    <x v="6"/>
    <d v="2026-05-18T00:00:00"/>
    <d v="2026-06-01T00:00:00"/>
    <n v="11900"/>
    <n v="11786.6"/>
    <s v="Paid"/>
    <s v=""/>
    <s v="Vikas R"/>
    <n v="136"/>
    <x v="1"/>
    <n v="0"/>
    <s v="Sunita Rao"/>
  </r>
  <r>
    <s v="C20891"/>
    <s v="P-1376"/>
    <s v="Apex Ortho Center"/>
    <x v="2"/>
    <d v="2026-08-12T00:00:00"/>
    <d v="2026-08-30T00:00:00"/>
    <n v="14875"/>
    <m/>
    <s v="Pending"/>
    <s v=""/>
    <s v="Neha G"/>
    <n v="46"/>
    <x v="0"/>
    <n v="14875"/>
    <s v="Manish Arora"/>
  </r>
  <r>
    <s v="C20892"/>
    <s v="P-1497"/>
    <s v="Green Valley Health"/>
    <x v="2"/>
    <d v="2026-02-25T00:00:00"/>
    <d v="2026-03-04T00:00:00"/>
    <n v="5575"/>
    <n v="3102.83"/>
    <s v="Paid"/>
    <s v=""/>
    <s v="Neha G"/>
    <n v="225"/>
    <x v="1"/>
    <n v="0"/>
    <s v="Manish Arora"/>
  </r>
  <r>
    <s v="C20893"/>
    <s v="P-1071"/>
    <s v="Green Valley Health"/>
    <x v="0"/>
    <d v="2026-05-21T00:00:00"/>
    <d v="2026-06-10T00:00:00"/>
    <n v="14400"/>
    <m/>
    <s v="Pending"/>
    <s v=""/>
    <s v="Rohit B"/>
    <n v="127"/>
    <x v="1"/>
    <n v="14400"/>
    <s v="Deepak Nair"/>
  </r>
  <r>
    <s v="C20894"/>
    <s v="P-1248"/>
    <s v="Sunrise Hospital"/>
    <x v="2"/>
    <d v="2026-03-08T00:00:00"/>
    <d v="2026-03-19T00:00:00"/>
    <n v="1150"/>
    <n v="1132.0899999999999"/>
    <s v="Paid"/>
    <s v=""/>
    <s v="Neha G"/>
    <n v="210"/>
    <x v="1"/>
    <n v="0"/>
    <s v="Manish Arora"/>
  </r>
  <r>
    <s v="C20895"/>
    <s v="P-1357"/>
    <s v="Apex Ortho Center"/>
    <x v="1"/>
    <d v="2026-05-26T00:00:00"/>
    <d v="2026-06-15T00:00:00"/>
    <n v="1000"/>
    <n v="869.72"/>
    <s v="Paid"/>
    <s v=""/>
    <s v="Pooja M"/>
    <n v="122"/>
    <x v="1"/>
    <n v="0"/>
    <s v="Sunita Rao"/>
  </r>
  <r>
    <s v="C20896"/>
    <s v="P-1440"/>
    <s v="Sunrise Hospital"/>
    <x v="0"/>
    <d v="2026-06-12T00:00:00"/>
    <d v="2026-06-21T00:00:00"/>
    <n v="4650"/>
    <m/>
    <s v="Pending"/>
    <s v=""/>
    <s v="Amit V"/>
    <n v="116"/>
    <x v="1"/>
    <n v="4650"/>
    <s v="Manish Arora"/>
  </r>
  <r>
    <s v="C20897"/>
    <s v="P-1384"/>
    <s v="Green Valley Health"/>
    <x v="1"/>
    <d v="2026-03-13T00:00:00"/>
    <d v="2026-03-22T00:00:00"/>
    <n v="5725"/>
    <m/>
    <s v="Pending"/>
    <s v=""/>
    <s v="Pooja M"/>
    <n v="207"/>
    <x v="1"/>
    <n v="5725"/>
    <s v="Sunita Rao"/>
  </r>
  <r>
    <s v="C20898"/>
    <s v="P-1324"/>
    <s v="City Care Clinic"/>
    <x v="3"/>
    <d v="2026-02-23T00:00:00"/>
    <d v="2026-03-13T00:00:00"/>
    <n v="4850"/>
    <n v="4307.18"/>
    <s v="Paid"/>
    <s v=""/>
    <s v="Priya K"/>
    <n v="216"/>
    <x v="1"/>
    <n v="0"/>
    <s v="Manish Arora"/>
  </r>
  <r>
    <s v="C20899"/>
    <s v="P-1360"/>
    <s v="Green Valley Health"/>
    <x v="1"/>
    <d v="2026-08-25T00:00:00"/>
    <d v="2026-09-12T00:00:00"/>
    <n v="3650"/>
    <n v="3606.55"/>
    <s v="Paid"/>
    <s v=""/>
    <s v="Neha G"/>
    <n v="33"/>
    <x v="0"/>
    <n v="0"/>
    <s v="Manish Arora"/>
  </r>
  <r>
    <s v="C20900"/>
    <s v="P-1105"/>
    <s v="Green Valley Health"/>
    <x v="7"/>
    <d v="2026-03-23T00:00:00"/>
    <d v="2026-03-26T00:00:00"/>
    <n v="2425"/>
    <n v="2290.85"/>
    <s v="Paid"/>
    <s v=""/>
    <s v="Pooja M"/>
    <n v="203"/>
    <x v="1"/>
    <n v="0"/>
    <s v="Sunita Rao"/>
  </r>
  <r>
    <s v="C20901"/>
    <s v="P-1428"/>
    <s v="Sunrise Hospital"/>
    <x v="0"/>
    <d v="2026-08-19T00:00:00"/>
    <d v="2026-09-05T00:00:00"/>
    <n v="7200"/>
    <m/>
    <s v="Pending"/>
    <s v=""/>
    <s v="Vikas R"/>
    <n v="40"/>
    <x v="0"/>
    <n v="7200"/>
    <s v="Sunita Rao"/>
  </r>
  <r>
    <s v="C20902"/>
    <s v="P-1283"/>
    <s v="City Care Clinic"/>
    <x v="1"/>
    <d v="2026-01-12T00:00:00"/>
    <d v="2026-01-25T00:00:00"/>
    <n v="10575"/>
    <m/>
    <s v="Pending"/>
    <s v=""/>
    <s v="Amit V"/>
    <n v="263"/>
    <x v="1"/>
    <n v="10575"/>
    <s v="Manish Arora"/>
  </r>
  <r>
    <s v="C20903"/>
    <s v="P-1381"/>
    <s v="Green Valley Health"/>
    <x v="0"/>
    <d v="2026-05-10T00:00:00"/>
    <d v="2026-05-23T00:00:00"/>
    <n v="2175"/>
    <n v="2116.62"/>
    <s v="Paid"/>
    <s v=""/>
    <s v="Rohit B"/>
    <n v="145"/>
    <x v="1"/>
    <n v="0"/>
    <s v="Deepak Nair"/>
  </r>
  <r>
    <s v="C20904"/>
    <s v="P-1299"/>
    <s v="Sunrise Hospital"/>
    <x v="6"/>
    <d v="2026-04-25T00:00:00"/>
    <d v="2026-05-12T00:00:00"/>
    <n v="11000"/>
    <n v="6923.9"/>
    <s v="Paid"/>
    <s v=""/>
    <s v="Rahul S"/>
    <n v="156"/>
    <x v="1"/>
    <n v="0"/>
    <s v="Manish Arora"/>
  </r>
  <r>
    <s v="C20905"/>
    <s v="P-1495"/>
    <s v="Apex Ortho Center"/>
    <x v="3"/>
    <d v="2026-03-15T00:00:00"/>
    <d v="2026-03-24T00:00:00"/>
    <n v="14600"/>
    <m/>
    <s v="Pending"/>
    <s v=""/>
    <s v="Pooja M"/>
    <n v="205"/>
    <x v="1"/>
    <n v="14600"/>
    <s v="Sunita Rao"/>
  </r>
  <r>
    <s v="C20906"/>
    <s v="P-1060"/>
    <s v="Apex Ortho Center"/>
    <x v="1"/>
    <d v="2026-02-10T00:00:00"/>
    <d v="2026-02-26T00:00:00"/>
    <n v="4675"/>
    <n v="3458.54"/>
    <s v="Paid"/>
    <s v=""/>
    <s v="Neha G"/>
    <n v="231"/>
    <x v="1"/>
    <n v="0"/>
    <s v="Manish Arora"/>
  </r>
  <r>
    <s v="C20907"/>
    <s v="P-1287"/>
    <s v="City Care Clinic"/>
    <x v="3"/>
    <d v="2026-05-04T00:00:00"/>
    <d v="2026-05-23T00:00:00"/>
    <n v="6675"/>
    <n v="0"/>
    <s v="Denied"/>
    <s v="Patient Not Eligible"/>
    <s v="Amit V"/>
    <n v="145"/>
    <x v="1"/>
    <n v="0"/>
    <s v="Manish Arora"/>
  </r>
  <r>
    <s v="C20908"/>
    <s v="P-1106"/>
    <s v="City Care Clinic"/>
    <x v="7"/>
    <d v="2026-01-09T00:00:00"/>
    <d v="2026-01-13T00:00:00"/>
    <n v="13500"/>
    <n v="11425.11"/>
    <s v="Paid"/>
    <s v=""/>
    <s v="Neha G"/>
    <n v="275"/>
    <x v="1"/>
    <n v="0"/>
    <s v="Manish Arora"/>
  </r>
  <r>
    <s v="C20909"/>
    <s v="P-1030"/>
    <s v="City Care Clinic"/>
    <x v="2"/>
    <d v="2026-09-10T00:00:00"/>
    <d v="2026-09-30T00:00:00"/>
    <n v="5100"/>
    <n v="3043.72"/>
    <s v="Paid"/>
    <s v=""/>
    <s v="Kavita D"/>
    <n v="15"/>
    <x v="3"/>
    <n v="0"/>
    <s v="Deepak Nair"/>
  </r>
  <r>
    <s v="C20910"/>
    <s v="P-1384"/>
    <s v="City Care Clinic"/>
    <x v="1"/>
    <d v="2026-04-06T00:00:00"/>
    <d v="2026-04-25T00:00:00"/>
    <n v="975"/>
    <m/>
    <s v="Pending"/>
    <s v=""/>
    <s v="Anjali T"/>
    <n v="173"/>
    <x v="1"/>
    <n v="975"/>
    <s v="Deepak Nair"/>
  </r>
  <r>
    <s v="C20911"/>
    <s v="P-1316"/>
    <s v="Apex Ortho Center"/>
    <x v="1"/>
    <d v="2026-03-13T00:00:00"/>
    <d v="2026-03-20T00:00:00"/>
    <n v="12350"/>
    <n v="10022.16"/>
    <s v="Paid"/>
    <s v=""/>
    <s v="Rahul S"/>
    <n v="209"/>
    <x v="1"/>
    <n v="0"/>
    <s v="Manish Arora"/>
  </r>
  <r>
    <s v="C20912"/>
    <s v="P-1393"/>
    <s v="City Care Clinic"/>
    <x v="4"/>
    <d v="2026-03-05T00:00:00"/>
    <d v="2026-03-22T00:00:00"/>
    <n v="13300"/>
    <m/>
    <s v="Pending"/>
    <s v=""/>
    <s v="Rahul S"/>
    <n v="207"/>
    <x v="1"/>
    <n v="13300"/>
    <s v="Manish Arora"/>
  </r>
  <r>
    <s v="C20913"/>
    <s v="P-1260"/>
    <s v="Apex Ortho Center"/>
    <x v="4"/>
    <d v="2026-07-30T00:00:00"/>
    <d v="2026-08-14T00:00:00"/>
    <n v="11700"/>
    <m/>
    <s v="Pending"/>
    <s v=""/>
    <s v="Vikas R"/>
    <n v="62"/>
    <x v="2"/>
    <n v="11700"/>
    <s v="Sunita Rao"/>
  </r>
  <r>
    <s v="C20914"/>
    <s v="P-1187"/>
    <s v="Sunrise Hospital"/>
    <x v="1"/>
    <d v="2026-02-15T00:00:00"/>
    <d v="2026-02-24T00:00:00"/>
    <n v="2050"/>
    <n v="1552.65"/>
    <s v="Paid"/>
    <s v=""/>
    <s v="Kavita D"/>
    <n v="233"/>
    <x v="1"/>
    <n v="0"/>
    <s v="Deepak Nair"/>
  </r>
  <r>
    <s v="C20915"/>
    <s v="P-1064"/>
    <s v="City Care Clinic"/>
    <x v="7"/>
    <d v="2026-03-10T00:00:00"/>
    <d v="2026-03-24T00:00:00"/>
    <n v="3600"/>
    <n v="0"/>
    <s v="Denied"/>
    <s v="Coding Error"/>
    <s v="Kavita D"/>
    <n v="205"/>
    <x v="1"/>
    <n v="0"/>
    <s v="Deepak Nair"/>
  </r>
  <r>
    <s v="C20916"/>
    <s v="P-1136"/>
    <s v="Apex Ortho Center"/>
    <x v="2"/>
    <d v="2026-01-26T00:00:00"/>
    <d v="2026-02-14T00:00:00"/>
    <n v="8650"/>
    <n v="6173.82"/>
    <s v="Paid"/>
    <s v=""/>
    <s v="Priya K"/>
    <n v="243"/>
    <x v="1"/>
    <n v="0"/>
    <s v="Manish Arora"/>
  </r>
  <r>
    <s v="C20917"/>
    <s v="P-1371"/>
    <s v="Sunrise Hospital"/>
    <x v="7"/>
    <d v="2026-06-08T00:00:00"/>
    <d v="2026-06-24T00:00:00"/>
    <n v="14400"/>
    <m/>
    <s v="Pending"/>
    <s v=""/>
    <s v="Priya K"/>
    <n v="113"/>
    <x v="1"/>
    <n v="14400"/>
    <s v="Manish Arora"/>
  </r>
  <r>
    <s v="C20918"/>
    <s v="P-1082"/>
    <s v="Sunrise Hospital"/>
    <x v="0"/>
    <d v="2026-01-29T00:00:00"/>
    <d v="2026-02-12T00:00:00"/>
    <n v="3825"/>
    <m/>
    <s v="Pending"/>
    <s v=""/>
    <s v="Sandeep Y"/>
    <n v="245"/>
    <x v="1"/>
    <n v="3825"/>
    <s v="Sunita Rao"/>
  </r>
  <r>
    <s v="C20919"/>
    <s v="P-1165"/>
    <s v="Sunrise Hospital"/>
    <x v="0"/>
    <d v="2026-03-07T00:00:00"/>
    <d v="2026-03-14T00:00:00"/>
    <n v="12975"/>
    <n v="12189"/>
    <s v="Paid"/>
    <s v=""/>
    <s v="Pooja M"/>
    <n v="215"/>
    <x v="1"/>
    <n v="0"/>
    <s v="Sunita Rao"/>
  </r>
  <r>
    <s v="C20920"/>
    <s v="P-1216"/>
    <s v="Apex Ortho Center"/>
    <x v="1"/>
    <d v="2026-07-27T00:00:00"/>
    <d v="2026-08-04T00:00:00"/>
    <n v="1950"/>
    <n v="1728.06"/>
    <s v="Paid"/>
    <s v=""/>
    <s v="Sandeep Y"/>
    <n v="72"/>
    <x v="2"/>
    <n v="0"/>
    <s v="Sunita Rao"/>
  </r>
  <r>
    <s v="C20921"/>
    <s v="P-1301"/>
    <s v="Green Valley Health"/>
    <x v="0"/>
    <d v="2026-04-08T00:00:00"/>
    <d v="2026-04-28T00:00:00"/>
    <n v="10825"/>
    <m/>
    <s v="Pending"/>
    <s v=""/>
    <s v="Kavita D"/>
    <n v="170"/>
    <x v="1"/>
    <n v="10825"/>
    <s v="Deepak Nair"/>
  </r>
  <r>
    <s v="C20922"/>
    <s v="P-1129"/>
    <s v="City Care Clinic"/>
    <x v="1"/>
    <d v="2026-08-28T00:00:00"/>
    <d v="2026-08-31T00:00:00"/>
    <n v="13275"/>
    <m/>
    <s v="Pending"/>
    <s v=""/>
    <s v="Vikas R"/>
    <n v="45"/>
    <x v="0"/>
    <n v="13275"/>
    <s v="Sunita Rao"/>
  </r>
  <r>
    <s v="C20923"/>
    <s v="P-1317"/>
    <s v="Green Valley Health"/>
    <x v="7"/>
    <d v="2026-06-09T00:00:00"/>
    <d v="2026-06-24T00:00:00"/>
    <n v="5625"/>
    <n v="3836.94"/>
    <s v="Paid"/>
    <s v=""/>
    <s v="Pooja M"/>
    <n v="113"/>
    <x v="1"/>
    <n v="0"/>
    <s v="Sunita Rao"/>
  </r>
  <r>
    <s v="C20924"/>
    <s v="P-1011"/>
    <s v="Sunrise Hospital"/>
    <x v="0"/>
    <d v="2026-02-28T00:00:00"/>
    <d v="2026-03-12T00:00:00"/>
    <n v="1100"/>
    <n v="0"/>
    <s v="Denied"/>
    <s v="Medical Necessity Not Met"/>
    <s v="Neha G"/>
    <n v="217"/>
    <x v="1"/>
    <n v="0"/>
    <s v="Manish Arora"/>
  </r>
  <r>
    <s v="C20925"/>
    <s v="P-1424"/>
    <s v="City Care Clinic"/>
    <x v="2"/>
    <d v="2026-04-01T00:00:00"/>
    <d v="2026-04-19T00:00:00"/>
    <n v="5625"/>
    <n v="3492.55"/>
    <s v="Paid"/>
    <s v=""/>
    <s v="Anjali T"/>
    <n v="179"/>
    <x v="1"/>
    <n v="0"/>
    <s v="Deepak Nair"/>
  </r>
  <r>
    <s v="C20926"/>
    <s v="P-1017"/>
    <s v="Green Valley Health"/>
    <x v="6"/>
    <d v="2026-03-16T00:00:00"/>
    <d v="2026-04-03T00:00:00"/>
    <n v="14675"/>
    <n v="12120.34"/>
    <s v="Paid"/>
    <s v=""/>
    <s v="Sandeep Y"/>
    <n v="195"/>
    <x v="1"/>
    <n v="0"/>
    <s v="Sunita Rao"/>
  </r>
  <r>
    <s v="C20927"/>
    <s v="P-1145"/>
    <s v="Apex Ortho Center"/>
    <x v="6"/>
    <d v="2026-04-01T00:00:00"/>
    <d v="2026-04-10T00:00:00"/>
    <n v="11350"/>
    <n v="9674.01"/>
    <s v="Paid"/>
    <s v=""/>
    <s v="Sandeep Y"/>
    <n v="188"/>
    <x v="1"/>
    <n v="0"/>
    <s v="Sunita Rao"/>
  </r>
  <r>
    <s v="C20928"/>
    <s v="P-1334"/>
    <s v="Sunrise Hospital"/>
    <x v="3"/>
    <d v="2026-05-13T00:00:00"/>
    <d v="2026-05-19T00:00:00"/>
    <n v="750"/>
    <n v="638.25"/>
    <s v="Paid"/>
    <s v=""/>
    <s v="Kavita D"/>
    <n v="149"/>
    <x v="1"/>
    <n v="0"/>
    <s v="Deepak Nair"/>
  </r>
  <r>
    <s v="C20929"/>
    <s v="P-1232"/>
    <s v="City Care Clinic"/>
    <x v="2"/>
    <d v="2026-01-07T00:00:00"/>
    <d v="2026-01-26T00:00:00"/>
    <n v="8450"/>
    <n v="7510.44"/>
    <s v="Paid"/>
    <s v=""/>
    <s v="Anjali T"/>
    <n v="262"/>
    <x v="1"/>
    <n v="0"/>
    <s v="Deepak Nair"/>
  </r>
  <r>
    <s v="C20930"/>
    <s v="P-1138"/>
    <s v="Sunrise Hospital"/>
    <x v="0"/>
    <d v="2026-03-02T00:00:00"/>
    <d v="2026-03-05T00:00:00"/>
    <n v="12775"/>
    <n v="10055.59"/>
    <s v="Paid"/>
    <s v=""/>
    <s v="Pooja M"/>
    <n v="224"/>
    <x v="1"/>
    <n v="0"/>
    <s v="Sunita Rao"/>
  </r>
  <r>
    <s v="C20931"/>
    <s v="P-1178"/>
    <s v="Apex Ortho Center"/>
    <x v="4"/>
    <d v="2026-06-13T00:00:00"/>
    <d v="2026-06-22T00:00:00"/>
    <n v="6675"/>
    <n v="4190.4799999999996"/>
    <s v="Paid"/>
    <s v=""/>
    <s v="Priya K"/>
    <n v="115"/>
    <x v="1"/>
    <n v="0"/>
    <s v="Manish Arora"/>
  </r>
  <r>
    <s v="C20932"/>
    <s v="P-1438"/>
    <s v="Apex Ortho Center"/>
    <x v="2"/>
    <d v="2026-08-17T00:00:00"/>
    <d v="2026-09-05T00:00:00"/>
    <n v="6050"/>
    <n v="0"/>
    <s v="Denied"/>
    <s v="Missing Prior Authorization"/>
    <s v="Vikas R"/>
    <n v="40"/>
    <x v="0"/>
    <n v="0"/>
    <s v="Sunita Rao"/>
  </r>
  <r>
    <s v="C20933"/>
    <s v="P-1332"/>
    <s v="Apex Ortho Center"/>
    <x v="2"/>
    <d v="2026-02-15T00:00:00"/>
    <d v="2026-02-20T00:00:00"/>
    <n v="1725"/>
    <n v="1162.3399999999999"/>
    <s v="Paid"/>
    <s v=""/>
    <s v="Priya K"/>
    <n v="237"/>
    <x v="1"/>
    <n v="0"/>
    <s v="Manish Arora"/>
  </r>
  <r>
    <s v="C20934"/>
    <s v="P-1175"/>
    <s v="Green Valley Health"/>
    <x v="1"/>
    <d v="2026-03-05T00:00:00"/>
    <d v="2026-03-15T00:00:00"/>
    <n v="6325"/>
    <m/>
    <s v="Pending"/>
    <s v=""/>
    <s v="Vikas R"/>
    <n v="214"/>
    <x v="1"/>
    <n v="6325"/>
    <s v="Sunita Rao"/>
  </r>
  <r>
    <s v="C20935"/>
    <s v="P-1235"/>
    <s v="City Care Clinic"/>
    <x v="2"/>
    <d v="2026-04-30T00:00:00"/>
    <d v="2026-05-14T00:00:00"/>
    <n v="7050"/>
    <n v="6440.9"/>
    <s v="Paid"/>
    <s v=""/>
    <s v="Pooja M"/>
    <n v="154"/>
    <x v="1"/>
    <n v="0"/>
    <s v="Sunita Rao"/>
  </r>
  <r>
    <s v="C20936"/>
    <s v="P-1402"/>
    <s v="City Care Clinic"/>
    <x v="8"/>
    <d v="2026-07-23T00:00:00"/>
    <d v="2026-08-05T00:00:00"/>
    <n v="11825"/>
    <m/>
    <s v="Pending"/>
    <s v=""/>
    <s v="Amit V"/>
    <n v="71"/>
    <x v="2"/>
    <n v="11825"/>
    <s v="Manish Arora"/>
  </r>
  <r>
    <s v="C20937"/>
    <s v="P-1177"/>
    <s v="Green Valley Health"/>
    <x v="4"/>
    <d v="2026-07-12T00:00:00"/>
    <d v="2026-07-21T00:00:00"/>
    <n v="4075"/>
    <m/>
    <s v="Pending"/>
    <s v=""/>
    <s v="Rahul S"/>
    <n v="86"/>
    <x v="2"/>
    <n v="4075"/>
    <s v="Manish Arora"/>
  </r>
  <r>
    <s v="C20938"/>
    <s v="P-1209"/>
    <s v="Sunrise Hospital"/>
    <x v="6"/>
    <d v="2026-03-22T00:00:00"/>
    <d v="2026-04-08T00:00:00"/>
    <n v="14950"/>
    <m/>
    <s v="Pending"/>
    <s v=""/>
    <s v="Vikas R"/>
    <n v="190"/>
    <x v="1"/>
    <n v="14950"/>
    <s v="Sunita Rao"/>
  </r>
  <r>
    <s v="C20939"/>
    <s v="P-1066"/>
    <s v="Sunrise Hospital"/>
    <x v="1"/>
    <d v="2026-01-06T00:00:00"/>
    <d v="2026-01-14T00:00:00"/>
    <n v="10700"/>
    <n v="9231.33"/>
    <s v="Paid"/>
    <s v=""/>
    <s v="Priya K"/>
    <n v="274"/>
    <x v="1"/>
    <n v="0"/>
    <s v="Manish Arora"/>
  </r>
  <r>
    <s v="C20940"/>
    <s v="P-1192"/>
    <s v="Green Valley Health"/>
    <x v="1"/>
    <d v="2026-08-25T00:00:00"/>
    <d v="2026-09-03T00:00:00"/>
    <n v="5200"/>
    <m/>
    <s v="Pending"/>
    <s v=""/>
    <s v="Anjali T"/>
    <n v="42"/>
    <x v="0"/>
    <n v="5200"/>
    <s v="Deepak Nair"/>
  </r>
  <r>
    <s v="C20941"/>
    <s v="P-1116"/>
    <s v="Sunrise Hospital"/>
    <x v="3"/>
    <d v="2026-08-24T00:00:00"/>
    <d v="2026-09-12T00:00:00"/>
    <n v="2325"/>
    <m/>
    <s v="Pending"/>
    <s v=""/>
    <s v="Amit V"/>
    <n v="33"/>
    <x v="0"/>
    <n v="2325"/>
    <s v="Manish Arora"/>
  </r>
  <r>
    <s v="C20942"/>
    <s v="P-1250"/>
    <s v="City Care Clinic"/>
    <x v="3"/>
    <d v="2026-06-21T00:00:00"/>
    <d v="2026-07-08T00:00:00"/>
    <n v="2100"/>
    <m/>
    <s v="Pending"/>
    <s v=""/>
    <s v="Pooja M"/>
    <n v="99"/>
    <x v="1"/>
    <n v="2100"/>
    <s v="Sunita Rao"/>
  </r>
  <r>
    <s v="C20943"/>
    <s v="P-1384"/>
    <s v="Green Valley Health"/>
    <x v="6"/>
    <d v="2026-08-23T00:00:00"/>
    <d v="2026-08-26T00:00:00"/>
    <n v="1900"/>
    <m/>
    <s v="Pending"/>
    <s v=""/>
    <s v="Sandeep Y"/>
    <n v="50"/>
    <x v="0"/>
    <n v="1900"/>
    <s v="Sunita Rao"/>
  </r>
  <r>
    <s v="C20944"/>
    <s v="P-1009"/>
    <s v="Green Valley Health"/>
    <x v="5"/>
    <d v="2026-04-13T00:00:00"/>
    <d v="2026-04-27T00:00:00"/>
    <n v="1625"/>
    <n v="1187.83"/>
    <s v="Paid"/>
    <s v=""/>
    <s v="Kavita D"/>
    <n v="171"/>
    <x v="1"/>
    <n v="0"/>
    <s v="Deepak Nair"/>
  </r>
  <r>
    <s v="C20945"/>
    <s v="P-1349"/>
    <s v="City Care Clinic"/>
    <x v="1"/>
    <d v="2026-07-02T00:00:00"/>
    <d v="2026-07-16T00:00:00"/>
    <n v="5575"/>
    <n v="5250.56"/>
    <s v="Paid"/>
    <s v=""/>
    <s v="Kavita D"/>
    <n v="91"/>
    <x v="1"/>
    <n v="0"/>
    <s v="Deepak Nair"/>
  </r>
  <r>
    <s v="C20946"/>
    <s v="P-1062"/>
    <s v="Green Valley Health"/>
    <x v="0"/>
    <d v="2026-04-25T00:00:00"/>
    <d v="2026-05-02T00:00:00"/>
    <n v="3075"/>
    <n v="2385.85"/>
    <s v="Paid"/>
    <s v=""/>
    <s v="Priya K"/>
    <n v="166"/>
    <x v="1"/>
    <n v="0"/>
    <s v="Manish Arora"/>
  </r>
  <r>
    <s v="C20947"/>
    <s v="P-1422"/>
    <s v="City Care Clinic"/>
    <x v="6"/>
    <d v="2026-02-07T00:00:00"/>
    <d v="2026-02-26T00:00:00"/>
    <n v="2200"/>
    <n v="1809.4"/>
    <s v="Paid"/>
    <s v=""/>
    <s v="Pooja M"/>
    <n v="231"/>
    <x v="1"/>
    <n v="0"/>
    <s v="Sunita Rao"/>
  </r>
  <r>
    <s v="C20948"/>
    <s v="P-1444"/>
    <s v="Green Valley Health"/>
    <x v="1"/>
    <d v="2026-02-14T00:00:00"/>
    <d v="2026-03-03T00:00:00"/>
    <n v="12125"/>
    <n v="7282.91"/>
    <s v="Paid"/>
    <s v=""/>
    <s v="Priya K"/>
    <n v="226"/>
    <x v="1"/>
    <n v="0"/>
    <s v="Manish Arora"/>
  </r>
  <r>
    <s v="C20949"/>
    <s v="P-1301"/>
    <s v="Green Valley Health"/>
    <x v="3"/>
    <d v="2026-08-12T00:00:00"/>
    <d v="2026-08-23T00:00:00"/>
    <n v="9275"/>
    <m/>
    <s v="Pending"/>
    <s v=""/>
    <s v="Amit V"/>
    <n v="53"/>
    <x v="0"/>
    <n v="9275"/>
    <s v="Manish Arora"/>
  </r>
  <r>
    <s v="C20950"/>
    <s v="P-1423"/>
    <s v="Sunrise Hospital"/>
    <x v="1"/>
    <d v="2026-09-20T00:00:00"/>
    <d v="2026-10-01T00:00:00"/>
    <n v="6075"/>
    <n v="5190.4799999999996"/>
    <s v="Paid"/>
    <s v=""/>
    <s v="Pooja M"/>
    <n v="14"/>
    <x v="3"/>
    <n v="0"/>
    <s v="Sunita Rao"/>
  </r>
  <r>
    <s v="C20951"/>
    <s v="P-1473"/>
    <s v="Apex Ortho Center"/>
    <x v="6"/>
    <d v="2026-07-06T00:00:00"/>
    <d v="2026-07-19T00:00:00"/>
    <n v="3300"/>
    <m/>
    <s v="Pending"/>
    <s v=""/>
    <s v="Vikas R"/>
    <n v="88"/>
    <x v="2"/>
    <n v="3300"/>
    <s v="Sunita Rao"/>
  </r>
  <r>
    <s v="C20952"/>
    <s v="P-1400"/>
    <s v="Apex Ortho Center"/>
    <x v="6"/>
    <d v="2026-08-24T00:00:00"/>
    <d v="2026-09-03T00:00:00"/>
    <n v="2500"/>
    <m/>
    <s v="Pending"/>
    <s v=""/>
    <s v="Kavita D"/>
    <n v="42"/>
    <x v="0"/>
    <n v="2500"/>
    <s v="Deepak Nair"/>
  </r>
  <r>
    <s v="C20953"/>
    <s v="P-1291"/>
    <s v="Apex Ortho Center"/>
    <x v="5"/>
    <d v="2026-03-05T00:00:00"/>
    <d v="2026-03-17T00:00:00"/>
    <n v="11300"/>
    <m/>
    <s v="Pending"/>
    <s v=""/>
    <s v="Rohit B"/>
    <n v="212"/>
    <x v="1"/>
    <n v="11300"/>
    <s v="Deepak Nair"/>
  </r>
  <r>
    <s v="C20954"/>
    <s v="P-1430"/>
    <s v="Sunrise Hospital"/>
    <x v="1"/>
    <d v="2026-05-16T00:00:00"/>
    <d v="2026-06-01T00:00:00"/>
    <n v="13025"/>
    <n v="11269.74"/>
    <s v="Paid"/>
    <s v=""/>
    <s v="Kavita D"/>
    <n v="136"/>
    <x v="1"/>
    <n v="0"/>
    <s v="Deepak Nair"/>
  </r>
  <r>
    <s v="C20955"/>
    <s v="P-1158"/>
    <s v="Sunrise Hospital"/>
    <x v="7"/>
    <d v="2026-06-02T00:00:00"/>
    <d v="2026-06-08T00:00:00"/>
    <n v="8300"/>
    <n v="7963.09"/>
    <s v="Paid"/>
    <s v=""/>
    <s v="Pooja M"/>
    <n v="129"/>
    <x v="1"/>
    <n v="0"/>
    <s v="Sunita Rao"/>
  </r>
  <r>
    <s v="C20956"/>
    <s v="P-1293"/>
    <s v="City Care Clinic"/>
    <x v="7"/>
    <d v="2026-06-04T00:00:00"/>
    <d v="2026-06-15T00:00:00"/>
    <n v="3600"/>
    <n v="2898.72"/>
    <s v="Paid"/>
    <s v=""/>
    <s v="Neha G"/>
    <n v="122"/>
    <x v="1"/>
    <n v="0"/>
    <s v="Manish Arora"/>
  </r>
  <r>
    <s v="C20957"/>
    <s v="P-1294"/>
    <s v="Sunrise Hospital"/>
    <x v="1"/>
    <d v="2026-08-07T00:00:00"/>
    <d v="2026-08-25T00:00:00"/>
    <n v="7375"/>
    <m/>
    <s v="Pending"/>
    <s v=""/>
    <s v="Vikas R"/>
    <n v="51"/>
    <x v="0"/>
    <n v="7375"/>
    <s v="Sunita Rao"/>
  </r>
  <r>
    <s v="C20958"/>
    <s v="P-1349"/>
    <s v="Sunrise Hospital"/>
    <x v="6"/>
    <d v="2026-02-21T00:00:00"/>
    <d v="2026-03-01T00:00:00"/>
    <n v="1550"/>
    <n v="864.69"/>
    <s v="Paid"/>
    <s v=""/>
    <s v="Neha G"/>
    <n v="228"/>
    <x v="1"/>
    <n v="0"/>
    <s v="Manish Arora"/>
  </r>
  <r>
    <s v="C20959"/>
    <s v="P-1405"/>
    <s v="Green Valley Health"/>
    <x v="0"/>
    <d v="2026-06-11T00:00:00"/>
    <d v="2026-06-28T00:00:00"/>
    <n v="1550"/>
    <n v="1142.74"/>
    <s v="Paid"/>
    <s v=""/>
    <s v="Vikas R"/>
    <n v="109"/>
    <x v="1"/>
    <n v="0"/>
    <s v="Sunita Rao"/>
  </r>
  <r>
    <s v="C20960"/>
    <s v="P-1245"/>
    <s v="Sunrise Hospital"/>
    <x v="0"/>
    <d v="2026-04-20T00:00:00"/>
    <d v="2026-04-27T00:00:00"/>
    <n v="13100"/>
    <n v="11706.86"/>
    <s v="Paid"/>
    <s v=""/>
    <s v="Neha G"/>
    <n v="171"/>
    <x v="1"/>
    <n v="0"/>
    <s v="Manish Arora"/>
  </r>
  <r>
    <s v="C20961"/>
    <s v="P-1034"/>
    <s v="Apex Ortho Center"/>
    <x v="6"/>
    <d v="2026-02-10T00:00:00"/>
    <d v="2026-03-02T00:00:00"/>
    <n v="13100"/>
    <n v="0"/>
    <s v="Denied"/>
    <s v="Incorrect Patient Info"/>
    <s v="Neha G"/>
    <n v="227"/>
    <x v="1"/>
    <n v="0"/>
    <s v="Manish Arora"/>
  </r>
  <r>
    <s v="C20962"/>
    <s v="P-1427"/>
    <s v="Apex Ortho Center"/>
    <x v="0"/>
    <d v="2026-05-13T00:00:00"/>
    <d v="2026-05-23T00:00:00"/>
    <n v="14700"/>
    <n v="11192.65"/>
    <s v="Paid"/>
    <s v=""/>
    <s v="Rohit B"/>
    <n v="145"/>
    <x v="1"/>
    <n v="0"/>
    <s v="Deepak Nair"/>
  </r>
  <r>
    <s v="C20963"/>
    <s v="P-1280"/>
    <s v="City Care Clinic"/>
    <x v="0"/>
    <d v="2026-07-12T00:00:00"/>
    <d v="2026-07-16T00:00:00"/>
    <n v="9525"/>
    <n v="5728.88"/>
    <s v="Paid"/>
    <s v=""/>
    <s v="Priya K"/>
    <n v="91"/>
    <x v="1"/>
    <n v="0"/>
    <s v="Manish Arora"/>
  </r>
  <r>
    <s v="C20964"/>
    <s v="P-1108"/>
    <s v="Sunrise Hospital"/>
    <x v="4"/>
    <d v="2026-09-07T00:00:00"/>
    <d v="2026-09-22T00:00:00"/>
    <n v="13750"/>
    <n v="0"/>
    <s v="Denied"/>
    <s v="Medical Necessity Not Met"/>
    <s v="Priya K"/>
    <n v="23"/>
    <x v="3"/>
    <n v="0"/>
    <s v="Manish Arora"/>
  </r>
  <r>
    <s v="C20965"/>
    <s v="P-1029"/>
    <s v="Sunrise Hospital"/>
    <x v="1"/>
    <d v="2026-01-20T00:00:00"/>
    <d v="2026-02-07T00:00:00"/>
    <n v="8675"/>
    <n v="7723.79"/>
    <s v="Paid"/>
    <s v=""/>
    <s v="Rohit B"/>
    <n v="250"/>
    <x v="1"/>
    <n v="0"/>
    <s v="Deepak Nair"/>
  </r>
  <r>
    <s v="C20966"/>
    <s v="P-1208"/>
    <s v="City Care Clinic"/>
    <x v="3"/>
    <d v="2026-01-03T00:00:00"/>
    <d v="2026-01-19T00:00:00"/>
    <n v="14775"/>
    <n v="12363.2"/>
    <s v="Paid"/>
    <s v=""/>
    <s v="Neha G"/>
    <n v="269"/>
    <x v="1"/>
    <n v="0"/>
    <s v="Manish Arora"/>
  </r>
  <r>
    <s v="C20967"/>
    <s v="P-1135"/>
    <s v="Apex Ortho Center"/>
    <x v="0"/>
    <d v="2026-02-14T00:00:00"/>
    <d v="2026-02-21T00:00:00"/>
    <n v="2925"/>
    <m/>
    <s v="Pending"/>
    <s v=""/>
    <s v="Priya K"/>
    <n v="236"/>
    <x v="1"/>
    <n v="2925"/>
    <s v="Manish Arora"/>
  </r>
  <r>
    <s v="C20968"/>
    <s v="P-1358"/>
    <s v="Green Valley Health"/>
    <x v="1"/>
    <d v="2026-04-22T00:00:00"/>
    <d v="2026-04-28T00:00:00"/>
    <n v="9950"/>
    <n v="6349.17"/>
    <s v="Paid"/>
    <s v=""/>
    <s v="Kavita D"/>
    <n v="170"/>
    <x v="1"/>
    <n v="0"/>
    <s v="Deepak Nair"/>
  </r>
  <r>
    <s v="C20969"/>
    <s v="P-1107"/>
    <s v="Apex Ortho Center"/>
    <x v="0"/>
    <d v="2026-01-07T00:00:00"/>
    <d v="2026-01-12T00:00:00"/>
    <n v="10775"/>
    <n v="8975.9"/>
    <s v="Paid"/>
    <s v=""/>
    <s v="Rohit B"/>
    <n v="276"/>
    <x v="1"/>
    <n v="0"/>
    <s v="Deepak Nair"/>
  </r>
  <r>
    <s v="C20970"/>
    <s v="P-1262"/>
    <s v="Green Valley Health"/>
    <x v="4"/>
    <d v="2026-03-02T00:00:00"/>
    <d v="2026-03-15T00:00:00"/>
    <n v="13425"/>
    <n v="8666.9500000000007"/>
    <s v="Paid"/>
    <s v=""/>
    <s v="Neha G"/>
    <n v="214"/>
    <x v="1"/>
    <n v="0"/>
    <s v="Manish Arora"/>
  </r>
  <r>
    <s v="C20971"/>
    <s v="P-1436"/>
    <s v="Green Valley Health"/>
    <x v="2"/>
    <d v="2026-04-09T00:00:00"/>
    <d v="2026-04-18T00:00:00"/>
    <n v="10250"/>
    <n v="9687.32"/>
    <s v="Paid"/>
    <s v=""/>
    <s v="Neha G"/>
    <n v="180"/>
    <x v="1"/>
    <n v="0"/>
    <s v="Manish Arora"/>
  </r>
  <r>
    <s v="C20972"/>
    <s v="P-1089"/>
    <s v="City Care Clinic"/>
    <x v="6"/>
    <d v="2026-06-15T00:00:00"/>
    <d v="2026-06-30T00:00:00"/>
    <n v="10600"/>
    <n v="8645.41"/>
    <s v="Paid"/>
    <s v=""/>
    <s v="Neha G"/>
    <n v="107"/>
    <x v="1"/>
    <n v="0"/>
    <s v="Manish Arora"/>
  </r>
  <r>
    <s v="C20973"/>
    <s v="P-1443"/>
    <s v="Green Valley Health"/>
    <x v="6"/>
    <d v="2026-07-11T00:00:00"/>
    <d v="2026-07-23T00:00:00"/>
    <n v="9950"/>
    <m/>
    <s v="Pending"/>
    <s v=""/>
    <s v="Rohit B"/>
    <n v="84"/>
    <x v="2"/>
    <n v="9950"/>
    <s v="Deepak Nair"/>
  </r>
  <r>
    <s v="C20974"/>
    <s v="P-1374"/>
    <s v="Sunrise Hospital"/>
    <x v="1"/>
    <d v="2026-05-23T00:00:00"/>
    <d v="2026-06-01T00:00:00"/>
    <n v="4575"/>
    <n v="2979.49"/>
    <s v="Paid"/>
    <s v=""/>
    <s v="Rahul S"/>
    <n v="136"/>
    <x v="1"/>
    <n v="0"/>
    <s v="Manish Arora"/>
  </r>
  <r>
    <s v="C20975"/>
    <s v="P-1358"/>
    <s v="Green Valley Health"/>
    <x v="4"/>
    <d v="2026-05-20T00:00:00"/>
    <d v="2026-05-23T00:00:00"/>
    <n v="3775"/>
    <n v="2970.61"/>
    <s v="Paid"/>
    <s v=""/>
    <s v="Vikas R"/>
    <n v="145"/>
    <x v="1"/>
    <n v="0"/>
    <s v="Sunita Rao"/>
  </r>
  <r>
    <s v="C20976"/>
    <s v="P-1174"/>
    <s v="Green Valley Health"/>
    <x v="4"/>
    <d v="2026-03-19T00:00:00"/>
    <d v="2026-03-25T00:00:00"/>
    <n v="6625"/>
    <n v="6013.01"/>
    <s v="Paid"/>
    <s v=""/>
    <s v="Priya K"/>
    <n v="204"/>
    <x v="1"/>
    <n v="0"/>
    <s v="Manish Arora"/>
  </r>
  <r>
    <s v="C20977"/>
    <s v="P-1294"/>
    <s v="City Care Clinic"/>
    <x v="0"/>
    <d v="2026-01-06T00:00:00"/>
    <d v="2026-01-17T00:00:00"/>
    <n v="9575"/>
    <n v="0"/>
    <s v="Denied"/>
    <s v="Timely Filing Exceeded"/>
    <s v="Priya K"/>
    <n v="271"/>
    <x v="1"/>
    <n v="0"/>
    <s v="Manish Arora"/>
  </r>
  <r>
    <s v="C20978"/>
    <s v="P-1447"/>
    <s v="Green Valley Health"/>
    <x v="1"/>
    <d v="2026-01-07T00:00:00"/>
    <d v="2026-01-12T00:00:00"/>
    <n v="7675"/>
    <n v="4472.6099999999997"/>
    <s v="Paid"/>
    <s v=""/>
    <s v="Kavita D"/>
    <n v="276"/>
    <x v="1"/>
    <n v="0"/>
    <s v="Deepak Nair"/>
  </r>
  <r>
    <s v="C20979"/>
    <s v="P-1362"/>
    <s v="City Care Clinic"/>
    <x v="1"/>
    <d v="2026-03-11T00:00:00"/>
    <d v="2026-03-17T00:00:00"/>
    <n v="11775"/>
    <n v="0"/>
    <s v="Denied"/>
    <s v="Incorrect Patient Info"/>
    <s v="Vikas R"/>
    <n v="212"/>
    <x v="1"/>
    <n v="0"/>
    <s v="Sunita Rao"/>
  </r>
  <r>
    <s v="C20980"/>
    <s v="P-1154"/>
    <s v="Green Valley Health"/>
    <x v="1"/>
    <d v="2026-09-05T00:00:00"/>
    <d v="2026-09-10T00:00:00"/>
    <n v="10925"/>
    <m/>
    <s v="Pending"/>
    <s v=""/>
    <s v="Neha G"/>
    <n v="35"/>
    <x v="0"/>
    <n v="10925"/>
    <s v="Manish Arora"/>
  </r>
  <r>
    <s v="C20981"/>
    <s v="P-1052"/>
    <s v="Apex Ortho Center"/>
    <x v="4"/>
    <d v="2026-06-24T00:00:00"/>
    <d v="2026-06-27T00:00:00"/>
    <n v="2525"/>
    <m/>
    <s v="Pending"/>
    <s v=""/>
    <s v="Vikas R"/>
    <n v="110"/>
    <x v="1"/>
    <n v="2525"/>
    <s v="Sunita Rao"/>
  </r>
  <r>
    <s v="C20982"/>
    <s v="P-1076"/>
    <s v="Apex Ortho Center"/>
    <x v="8"/>
    <d v="2026-04-13T00:00:00"/>
    <d v="2026-05-02T00:00:00"/>
    <n v="3675"/>
    <n v="2266.71"/>
    <s v="Paid"/>
    <s v=""/>
    <s v="Sandeep Y"/>
    <n v="166"/>
    <x v="1"/>
    <n v="0"/>
    <s v="Sunita Rao"/>
  </r>
  <r>
    <s v="C20983"/>
    <s v="P-1399"/>
    <s v="Green Valley Health"/>
    <x v="1"/>
    <d v="2026-09-12T00:00:00"/>
    <d v="2026-09-26T00:00:00"/>
    <n v="11775"/>
    <m/>
    <s v="Pending"/>
    <s v=""/>
    <s v="Neha G"/>
    <n v="19"/>
    <x v="3"/>
    <n v="11775"/>
    <s v="Manish Arora"/>
  </r>
  <r>
    <s v="C20984"/>
    <s v="P-1160"/>
    <s v="Sunrise Hospital"/>
    <x v="4"/>
    <d v="2026-04-28T00:00:00"/>
    <d v="2026-05-14T00:00:00"/>
    <n v="11850"/>
    <m/>
    <s v="Pending"/>
    <s v=""/>
    <s v="Priya K"/>
    <n v="154"/>
    <x v="1"/>
    <n v="11850"/>
    <s v="Manish Arora"/>
  </r>
  <r>
    <s v="C20985"/>
    <s v="P-1386"/>
    <s v="Green Valley Health"/>
    <x v="0"/>
    <d v="2026-04-11T00:00:00"/>
    <d v="2026-04-14T00:00:00"/>
    <n v="4600"/>
    <n v="0"/>
    <s v="Denied"/>
    <s v="Missing Prior Authorization"/>
    <s v="Anjali T"/>
    <n v="184"/>
    <x v="1"/>
    <n v="0"/>
    <s v="Deepak Nair"/>
  </r>
  <r>
    <s v="C20986"/>
    <s v="P-1199"/>
    <s v="Green Valley Health"/>
    <x v="0"/>
    <d v="2026-03-29T00:00:00"/>
    <d v="2026-04-08T00:00:00"/>
    <n v="4400"/>
    <m/>
    <s v="Pending"/>
    <s v=""/>
    <s v="Rohit B"/>
    <n v="190"/>
    <x v="1"/>
    <n v="4400"/>
    <s v="Deepak Nair"/>
  </r>
  <r>
    <s v="C20987"/>
    <s v="P-1342"/>
    <s v="Sunrise Hospital"/>
    <x v="4"/>
    <d v="2026-02-14T00:00:00"/>
    <d v="2026-02-17T00:00:00"/>
    <n v="1100"/>
    <n v="0"/>
    <s v="Denied"/>
    <s v="Patient Not Eligible"/>
    <s v="Neha G"/>
    <n v="240"/>
    <x v="1"/>
    <n v="0"/>
    <s v="Manish Arora"/>
  </r>
  <r>
    <s v="C20988"/>
    <s v="P-1265"/>
    <s v="Sunrise Hospital"/>
    <x v="1"/>
    <d v="2026-02-28T00:00:00"/>
    <d v="2026-03-11T00:00:00"/>
    <n v="12200"/>
    <n v="0"/>
    <s v="Denied"/>
    <s v="Patient Not Eligible"/>
    <s v="Neha G"/>
    <n v="218"/>
    <x v="1"/>
    <n v="0"/>
    <s v="Manish Arora"/>
  </r>
  <r>
    <s v="C20989"/>
    <s v="P-1360"/>
    <s v="Apex Ortho Center"/>
    <x v="1"/>
    <d v="2025-12-23T00:00:00"/>
    <d v="2026-01-04T00:00:00"/>
    <n v="14600"/>
    <n v="12010.52"/>
    <s v="Paid"/>
    <s v=""/>
    <s v="Vikas R"/>
    <n v="284"/>
    <x v="1"/>
    <n v="0"/>
    <s v="Sunita Rao"/>
  </r>
  <r>
    <s v="C20990"/>
    <s v="P-1499"/>
    <s v="Sunrise Hospital"/>
    <x v="1"/>
    <d v="2026-05-14T00:00:00"/>
    <d v="2026-05-18T00:00:00"/>
    <n v="13425"/>
    <m/>
    <s v="Pending"/>
    <s v=""/>
    <s v="Vikas R"/>
    <n v="150"/>
    <x v="1"/>
    <n v="13425"/>
    <s v="Sunita Rao"/>
  </r>
  <r>
    <s v="C20991"/>
    <s v="P-1293"/>
    <s v="Green Valley Health"/>
    <x v="6"/>
    <d v="2026-08-05T00:00:00"/>
    <d v="2026-08-08T00:00:00"/>
    <n v="2350"/>
    <n v="1945.94"/>
    <s v="Paid"/>
    <s v=""/>
    <s v="Kavita D"/>
    <n v="68"/>
    <x v="2"/>
    <n v="0"/>
    <s v="Deepak Nair"/>
  </r>
  <r>
    <s v="C20992"/>
    <s v="P-1084"/>
    <s v="City Care Clinic"/>
    <x v="3"/>
    <d v="2026-05-11T00:00:00"/>
    <d v="2026-05-20T00:00:00"/>
    <n v="10150"/>
    <n v="8605.6"/>
    <s v="Paid"/>
    <s v=""/>
    <s v="Pooja M"/>
    <n v="148"/>
    <x v="1"/>
    <n v="0"/>
    <s v="Sunita Rao"/>
  </r>
  <r>
    <s v="C20993"/>
    <s v="P-1163"/>
    <s v="Green Valley Health"/>
    <x v="3"/>
    <d v="2026-03-28T00:00:00"/>
    <d v="2026-04-08T00:00:00"/>
    <n v="7225"/>
    <n v="6980.14"/>
    <s v="Paid"/>
    <s v=""/>
    <s v="Sandeep Y"/>
    <n v="190"/>
    <x v="1"/>
    <n v="0"/>
    <s v="Sunita Rao"/>
  </r>
  <r>
    <s v="C20994"/>
    <s v="P-1292"/>
    <s v="Green Valley Health"/>
    <x v="2"/>
    <d v="2026-04-13T00:00:00"/>
    <d v="2026-04-21T00:00:00"/>
    <n v="10675"/>
    <m/>
    <s v="Pending"/>
    <s v=""/>
    <s v="Rahul S"/>
    <n v="177"/>
    <x v="1"/>
    <n v="10675"/>
    <s v="Manish Arora"/>
  </r>
  <r>
    <s v="C20995"/>
    <s v="P-1128"/>
    <s v="City Care Clinic"/>
    <x v="4"/>
    <d v="2026-07-16T00:00:00"/>
    <d v="2026-07-27T00:00:00"/>
    <n v="3375"/>
    <m/>
    <s v="Pending"/>
    <s v=""/>
    <s v="Pooja M"/>
    <n v="80"/>
    <x v="2"/>
    <n v="3375"/>
    <s v="Sunita Rao"/>
  </r>
  <r>
    <s v="C20996"/>
    <s v="P-1323"/>
    <s v="City Care Clinic"/>
    <x v="0"/>
    <d v="2026-03-13T00:00:00"/>
    <d v="2026-03-22T00:00:00"/>
    <n v="13125"/>
    <m/>
    <s v="Pending"/>
    <s v=""/>
    <s v="Amit V"/>
    <n v="207"/>
    <x v="1"/>
    <n v="13125"/>
    <s v="Manish Arora"/>
  </r>
  <r>
    <s v="C20997"/>
    <s v="P-1078"/>
    <s v="Sunrise Hospital"/>
    <x v="1"/>
    <d v="2026-08-03T00:00:00"/>
    <d v="2026-08-06T00:00:00"/>
    <n v="2125"/>
    <m/>
    <s v="Pending"/>
    <s v=""/>
    <s v="Sandeep Y"/>
    <n v="70"/>
    <x v="2"/>
    <n v="2125"/>
    <s v="Sunita Rao"/>
  </r>
  <r>
    <s v="C20998"/>
    <s v="P-1362"/>
    <s v="Apex Ortho Center"/>
    <x v="6"/>
    <d v="2026-02-28T00:00:00"/>
    <d v="2026-03-18T00:00:00"/>
    <n v="14550"/>
    <n v="0"/>
    <s v="Denied"/>
    <s v="Timely Filing Exceeded"/>
    <s v="Amit V"/>
    <n v="211"/>
    <x v="1"/>
    <n v="0"/>
    <s v="Manish Arora"/>
  </r>
  <r>
    <s v="C20999"/>
    <s v="P-1008"/>
    <s v="Green Valley Health"/>
    <x v="0"/>
    <d v="2026-01-15T00:00:00"/>
    <d v="2026-01-31T00:00:00"/>
    <n v="8075"/>
    <n v="5615.26"/>
    <s v="Paid"/>
    <s v=""/>
    <s v="Amit V"/>
    <n v="257"/>
    <x v="1"/>
    <n v="0"/>
    <s v="Manish Arora"/>
  </r>
  <r>
    <s v="C21000"/>
    <s v="P-1328"/>
    <s v="Apex Ortho Center"/>
    <x v="2"/>
    <d v="2026-09-17T00:00:00"/>
    <d v="2026-09-26T00:00:00"/>
    <n v="5800"/>
    <n v="4717.97"/>
    <s v="Paid"/>
    <s v=""/>
    <s v="Rahul S"/>
    <n v="19"/>
    <x v="3"/>
    <n v="0"/>
    <s v="Manish Aro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B06F7F-E628-4038-9CD7-CF86A61DB1C9}" name="PivotTable15" cacheId="75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chartFormat="3">
  <location ref="A43:B53" firstHeaderRow="1" firstDataRow="1" firstDataCol="1"/>
  <pivotFields count="7">
    <pivotField axis="axisRow" showAll="0" sortType="ascending">
      <items count="11">
        <item x="2"/>
        <item x="7"/>
        <item x="9"/>
        <item x="3"/>
        <item x="5"/>
        <item x="1"/>
        <item x="0"/>
        <item x="8"/>
        <item x="4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numFmtId="173" showAll="0"/>
    <pivotField numFmtId="179" showAll="0"/>
  </pivotFields>
  <rowFields count="1">
    <field x="0"/>
  </rowFields>
  <rowItems count="10">
    <i>
      <x/>
    </i>
    <i>
      <x v="5"/>
    </i>
    <i>
      <x v="7"/>
    </i>
    <i>
      <x v="2"/>
    </i>
    <i>
      <x v="9"/>
    </i>
    <i>
      <x v="6"/>
    </i>
    <i>
      <x v="4"/>
    </i>
    <i>
      <x v="1"/>
    </i>
    <i>
      <x v="8"/>
    </i>
    <i>
      <x v="3"/>
    </i>
  </rowItems>
  <colItems count="1">
    <i/>
  </colItems>
  <dataFields count="1">
    <dataField name="Sum of Productivity %" fld="5" baseField="0" baseItem="0" numFmtId="9"/>
  </dataFields>
  <formats count="2">
    <format dxfId="8">
      <pivotArea outline="0" collapsedLevelsAreSubtotals="1" fieldPosition="0"/>
    </format>
    <format dxfId="9">
      <pivotArea collapsedLevelsAreSubtotals="1" fieldPosition="0">
        <references count="1">
          <reference field="0" count="0"/>
        </references>
      </pivotArea>
    </format>
  </formats>
  <chartFormats count="3"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8BCB5C-9581-443F-930A-9FBCF63CC59F}" name="PivotTable13" cacheId="78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A31:B39" firstHeaderRow="1" firstDataRow="1" firstDataCol="1"/>
  <pivotFields count="16">
    <pivotField showAll="0"/>
    <pivotField showAll="0"/>
    <pivotField showAll="0"/>
    <pivotField showAll="0"/>
    <pivotField numFmtId="165" showAll="0"/>
    <pivotField numFmtId="165" showAll="0"/>
    <pivotField numFmtId="4" showAll="0"/>
    <pivotField showAll="0"/>
    <pivotField showAll="0"/>
    <pivotField axis="axisRow" showAll="0" sortType="ascending">
      <items count="9">
        <item h="1" x="1"/>
        <item x="2"/>
        <item x="0"/>
        <item x="3"/>
        <item x="4"/>
        <item x="7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3" showAll="0"/>
    <pivotField showAll="0"/>
    <pivotField showAll="0"/>
    <pivotField showAll="0"/>
    <pivotField dataField="1" showAll="0"/>
  </pivotFields>
  <rowFields count="1">
    <field x="9"/>
  </rowFields>
  <rowItems count="8">
    <i>
      <x v="2"/>
    </i>
    <i>
      <x v="7"/>
    </i>
    <i>
      <x v="3"/>
    </i>
    <i>
      <x v="5"/>
    </i>
    <i>
      <x v="4"/>
    </i>
    <i>
      <x v="6"/>
    </i>
    <i>
      <x v="1"/>
    </i>
    <i t="grand">
      <x/>
    </i>
  </rowItems>
  <colItems count="1">
    <i/>
  </colItems>
  <dataFields count="1">
    <dataField name="Sum of Denied_Amount" fld="15" baseField="0" baseItem="0"/>
  </dataFields>
  <formats count="1">
    <format dxfId="7">
      <pivotArea collapsedLevelsAreSubtotals="1" fieldPosition="0">
        <references count="1">
          <reference field="9" count="0"/>
        </references>
      </pivotArea>
    </format>
  </formats>
  <chartFormats count="3"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58721A-246A-4F9B-9CB6-3ED01612D84B}" name="PivotTable7" cacheId="8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A17:B27" firstHeaderRow="1" firstDataRow="1" firstDataCol="1"/>
  <pivotFields count="15">
    <pivotField showAll="0"/>
    <pivotField showAll="0"/>
    <pivotField showAll="0"/>
    <pivotField axis="axisRow" showAll="0" sortType="ascending">
      <items count="10">
        <item x="3"/>
        <item x="6"/>
        <item x="2"/>
        <item x="7"/>
        <item x="4"/>
        <item x="1"/>
        <item x="5"/>
        <item x="0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5" showAll="0"/>
    <pivotField numFmtId="165" showAll="0"/>
    <pivotField numFmtId="4" showAll="0"/>
    <pivotField showAll="0"/>
    <pivotField showAll="0"/>
    <pivotField showAll="0"/>
    <pivotField showAll="0"/>
    <pivotField numFmtId="3" showAll="0"/>
    <pivotField showAll="0"/>
    <pivotField dataField="1" showAll="0"/>
    <pivotField showAll="0"/>
  </pivotFields>
  <rowFields count="1">
    <field x="3"/>
  </rowFields>
  <rowItems count="10">
    <i>
      <x v="8"/>
    </i>
    <i>
      <x v="6"/>
    </i>
    <i>
      <x v="3"/>
    </i>
    <i>
      <x v="2"/>
    </i>
    <i>
      <x v="4"/>
    </i>
    <i>
      <x/>
    </i>
    <i>
      <x v="7"/>
    </i>
    <i>
      <x v="1"/>
    </i>
    <i>
      <x v="5"/>
    </i>
    <i t="grand">
      <x/>
    </i>
  </rowItems>
  <colItems count="1">
    <i/>
  </colItems>
  <dataFields count="1">
    <dataField name="Sum of Outstanding_Amount" fld="13" baseField="3" baseItem="0" numFmtId="181"/>
  </dataFields>
  <chartFormats count="2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527D55-45A9-4ED6-A496-07DAF2114209}" name="PivotTable6" cacheId="8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A9:B14" firstHeaderRow="1" firstDataRow="1" firstDataCol="1"/>
  <pivotFields count="15">
    <pivotField showAll="0"/>
    <pivotField showAll="0"/>
    <pivotField showAll="0"/>
    <pivotField showAll="0"/>
    <pivotField numFmtId="165" showAll="0"/>
    <pivotField numFmtId="165" showAll="0"/>
    <pivotField numFmtId="4" showAll="0"/>
    <pivotField showAll="0"/>
    <pivotField showAll="0"/>
    <pivotField showAll="0"/>
    <pivotField showAll="0"/>
    <pivotField numFmtId="3" showAll="0"/>
    <pivotField axis="axisRow" showAll="0">
      <items count="5">
        <item x="3"/>
        <item x="0"/>
        <item x="2"/>
        <item x="1"/>
        <item t="default"/>
      </items>
    </pivotField>
    <pivotField dataField="1"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Outstanding_Amount" fld="13" baseField="12" baseItem="2" numFmtId="4"/>
  </dataFields>
  <formats count="1">
    <format dxfId="10">
      <pivotArea collapsedLevelsAreSubtotals="1" fieldPosition="0">
        <references count="1">
          <reference field="12" count="0"/>
        </references>
      </pivotArea>
    </format>
  </formats>
  <chartFormats count="2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"/>
  <sheetViews>
    <sheetView workbookViewId="0"/>
  </sheetViews>
  <sheetFormatPr defaultRowHeight="15" x14ac:dyDescent="0.25"/>
  <cols>
    <col min="1" max="1" width="110" customWidth="1"/>
  </cols>
  <sheetData>
    <row r="1" spans="1:1" x14ac:dyDescent="0.25">
      <c r="A1" s="1" t="s">
        <v>0</v>
      </c>
    </row>
    <row r="2" spans="1:1" x14ac:dyDescent="0.25">
      <c r="A2" s="2"/>
    </row>
    <row r="3" spans="1:1" x14ac:dyDescent="0.25">
      <c r="A3" s="2" t="s">
        <v>1</v>
      </c>
    </row>
    <row r="4" spans="1:1" x14ac:dyDescent="0.25">
      <c r="A4" s="2" t="s">
        <v>2</v>
      </c>
    </row>
    <row r="5" spans="1:1" x14ac:dyDescent="0.25">
      <c r="A5" s="2"/>
    </row>
    <row r="6" spans="1:1" x14ac:dyDescent="0.25">
      <c r="A6" s="1" t="s">
        <v>3</v>
      </c>
    </row>
    <row r="7" spans="1:1" x14ac:dyDescent="0.25">
      <c r="A7" s="2" t="s">
        <v>4</v>
      </c>
    </row>
    <row r="8" spans="1:1" x14ac:dyDescent="0.25">
      <c r="A8" s="2" t="s">
        <v>5</v>
      </c>
    </row>
    <row r="9" spans="1:1" x14ac:dyDescent="0.25">
      <c r="A9" s="2" t="s">
        <v>6</v>
      </c>
    </row>
    <row r="10" spans="1:1" x14ac:dyDescent="0.25">
      <c r="A10" s="2"/>
    </row>
    <row r="11" spans="1:1" x14ac:dyDescent="0.25">
      <c r="A11" s="1" t="s">
        <v>7</v>
      </c>
    </row>
    <row r="12" spans="1:1" x14ac:dyDescent="0.25">
      <c r="A12" s="2" t="s">
        <v>8</v>
      </c>
    </row>
    <row r="13" spans="1:1" x14ac:dyDescent="0.25">
      <c r="A13" s="2" t="s">
        <v>9</v>
      </c>
    </row>
    <row r="14" spans="1:1" x14ac:dyDescent="0.25">
      <c r="A14" s="2"/>
    </row>
    <row r="15" spans="1:1" x14ac:dyDescent="0.25">
      <c r="A15" s="1" t="s">
        <v>10</v>
      </c>
    </row>
    <row r="16" spans="1:1" x14ac:dyDescent="0.25">
      <c r="A16" s="2" t="s">
        <v>11</v>
      </c>
    </row>
    <row r="17" spans="1:1" x14ac:dyDescent="0.25">
      <c r="A17" s="2" t="s">
        <v>12</v>
      </c>
    </row>
    <row r="18" spans="1:1" x14ac:dyDescent="0.25">
      <c r="A18" s="2" t="s">
        <v>13</v>
      </c>
    </row>
    <row r="19" spans="1:1" x14ac:dyDescent="0.25">
      <c r="A19" s="2" t="s">
        <v>14</v>
      </c>
    </row>
    <row r="20" spans="1:1" x14ac:dyDescent="0.25">
      <c r="A20" s="2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06537-AE1A-4239-82ED-5FE1D457B024}">
  <dimension ref="A1:P1001"/>
  <sheetViews>
    <sheetView topLeftCell="G1" workbookViewId="0">
      <pane ySplit="1" topLeftCell="A2" activePane="bottomLeft" state="frozen"/>
      <selection activeCell="I2" sqref="I2"/>
      <selection pane="bottomLeft" activeCell="T2" sqref="T2"/>
    </sheetView>
  </sheetViews>
  <sheetFormatPr defaultRowHeight="15" x14ac:dyDescent="0.25"/>
  <cols>
    <col min="1" max="1" width="8.7109375" bestFit="1" customWidth="1"/>
    <col min="2" max="2" width="9.85546875" bestFit="1" customWidth="1"/>
    <col min="3" max="3" width="17.85546875" bestFit="1" customWidth="1"/>
    <col min="4" max="4" width="15.28515625" bestFit="1" customWidth="1"/>
    <col min="5" max="5" width="11.7109375" bestFit="1" customWidth="1"/>
    <col min="6" max="6" width="16.28515625" bestFit="1" customWidth="1"/>
    <col min="7" max="7" width="14" customWidth="1"/>
    <col min="8" max="8" width="12.7109375" bestFit="1" customWidth="1"/>
    <col min="9" max="9" width="12.5703125" bestFit="1" customWidth="1"/>
    <col min="10" max="10" width="23.85546875" bestFit="1" customWidth="1"/>
    <col min="11" max="11" width="12.28515625" bestFit="1" customWidth="1"/>
    <col min="12" max="12" width="9.85546875" style="12" bestFit="1" customWidth="1"/>
    <col min="13" max="13" width="13.5703125" bestFit="1" customWidth="1"/>
    <col min="14" max="14" width="11.5703125" customWidth="1"/>
    <col min="15" max="15" width="12.7109375" bestFit="1" customWidth="1"/>
    <col min="16" max="16" width="15.5703125" bestFit="1" customWidth="1"/>
  </cols>
  <sheetData>
    <row r="1" spans="1:16" x14ac:dyDescent="0.25">
      <c r="A1" s="3" t="s">
        <v>16</v>
      </c>
      <c r="B1" s="3" t="s">
        <v>17</v>
      </c>
      <c r="C1" s="3" t="s">
        <v>18</v>
      </c>
      <c r="D1" s="3" t="s">
        <v>1537</v>
      </c>
      <c r="E1" s="3" t="s">
        <v>20</v>
      </c>
      <c r="F1" s="3" t="s">
        <v>21</v>
      </c>
      <c r="G1" s="3" t="s">
        <v>22</v>
      </c>
      <c r="H1" s="3" t="s">
        <v>23</v>
      </c>
      <c r="I1" s="3" t="s">
        <v>1539</v>
      </c>
      <c r="J1" s="7" t="s">
        <v>1540</v>
      </c>
      <c r="K1" s="7" t="s">
        <v>1555</v>
      </c>
      <c r="L1" s="11" t="s">
        <v>1544</v>
      </c>
      <c r="M1" s="11" t="s">
        <v>1545</v>
      </c>
      <c r="N1" s="11" t="s">
        <v>1546</v>
      </c>
      <c r="O1" s="11" t="s">
        <v>1554</v>
      </c>
      <c r="P1" s="11" t="s">
        <v>1579</v>
      </c>
    </row>
    <row r="2" spans="1:16" x14ac:dyDescent="0.25">
      <c r="A2" s="2" t="s">
        <v>27</v>
      </c>
      <c r="B2" s="2" t="s">
        <v>28</v>
      </c>
      <c r="C2" s="2" t="s">
        <v>29</v>
      </c>
      <c r="D2" s="2" t="s">
        <v>30</v>
      </c>
      <c r="E2" s="4">
        <v>46234</v>
      </c>
      <c r="F2" s="4">
        <v>46254</v>
      </c>
      <c r="G2" s="5">
        <v>12200</v>
      </c>
      <c r="H2" s="5">
        <v>0</v>
      </c>
      <c r="I2" s="2" t="s">
        <v>31</v>
      </c>
      <c r="J2" s="2" t="s">
        <v>32</v>
      </c>
      <c r="K2" t="s">
        <v>33</v>
      </c>
      <c r="L2" s="12">
        <f>MIS_Report!$B$2-F2</f>
        <v>56</v>
      </c>
      <c r="M2" t="str" cm="1">
        <f t="array" ref="M2">_xlfn.IFS(L2&lt;=30,"0-30",L2&lt;=60,"31-60",L2&lt;=90,"61-90",TRUE,"90+")</f>
        <v>31-60</v>
      </c>
      <c r="N2">
        <f>IF(I2="Pending",G2-H2,0)</f>
        <v>0</v>
      </c>
      <c r="O2" t="str">
        <f>VLOOKUP(K2,Agents!$A$1:$C$11,2,0)</f>
        <v>Manish Arora</v>
      </c>
      <c r="P2">
        <f>IF(I2="Denied",G2,0)</f>
        <v>12200</v>
      </c>
    </row>
    <row r="3" spans="1:16" x14ac:dyDescent="0.25">
      <c r="A3" s="2" t="s">
        <v>34</v>
      </c>
      <c r="B3" s="2" t="s">
        <v>35</v>
      </c>
      <c r="C3" s="2" t="s">
        <v>36</v>
      </c>
      <c r="D3" s="2" t="s">
        <v>30</v>
      </c>
      <c r="E3" s="4">
        <v>46054</v>
      </c>
      <c r="F3" s="4">
        <v>46071</v>
      </c>
      <c r="G3" s="5">
        <v>8050</v>
      </c>
      <c r="H3" s="5">
        <v>7652.9</v>
      </c>
      <c r="I3" s="2" t="s">
        <v>37</v>
      </c>
      <c r="J3" s="2" t="s">
        <v>1541</v>
      </c>
      <c r="K3" t="s">
        <v>38</v>
      </c>
      <c r="L3" s="12">
        <f>MIS_Report!$B$2-F3</f>
        <v>239</v>
      </c>
      <c r="M3" t="str" cm="1">
        <f t="array" ref="M3">_xlfn.IFS(L3&lt;=30,"0-30",L3&lt;=60,"31-60",L3&lt;=90,"61-90",TRUE,"90+")</f>
        <v>90+</v>
      </c>
      <c r="N3">
        <f>IF(I3="Pending",G3-H3,0)</f>
        <v>0</v>
      </c>
      <c r="O3" t="str">
        <f>VLOOKUP(K3,Agents!$A$1:$C$11,2,0)</f>
        <v>Sunita Rao</v>
      </c>
      <c r="P3">
        <f t="shared" ref="P3:P66" si="0">IF(I3="Denied",G3,0)</f>
        <v>0</v>
      </c>
    </row>
    <row r="4" spans="1:16" x14ac:dyDescent="0.25">
      <c r="A4" s="2" t="s">
        <v>39</v>
      </c>
      <c r="B4" s="2" t="s">
        <v>40</v>
      </c>
      <c r="C4" s="2" t="s">
        <v>36</v>
      </c>
      <c r="D4" s="2" t="s">
        <v>41</v>
      </c>
      <c r="E4" s="4">
        <v>46246</v>
      </c>
      <c r="F4" s="4">
        <v>46254</v>
      </c>
      <c r="G4" s="5">
        <v>675</v>
      </c>
      <c r="H4" s="5"/>
      <c r="I4" s="2" t="s">
        <v>42</v>
      </c>
      <c r="J4" s="2" t="s">
        <v>1541</v>
      </c>
      <c r="K4" t="s">
        <v>43</v>
      </c>
      <c r="L4" s="12">
        <f>MIS_Report!$B$2-F4</f>
        <v>56</v>
      </c>
      <c r="M4" t="str" cm="1">
        <f t="array" ref="M4">_xlfn.IFS(L4&lt;=30,"0-30",L4&lt;=60,"31-60",L4&lt;=90,"61-90",TRUE,"90+")</f>
        <v>31-60</v>
      </c>
      <c r="N4">
        <f>IF(I4="Pending",G4-H4,0)</f>
        <v>675</v>
      </c>
      <c r="O4" t="str">
        <f>VLOOKUP(K4,Agents!$A$1:$C$11,2,0)</f>
        <v>Manish Arora</v>
      </c>
      <c r="P4">
        <f t="shared" si="0"/>
        <v>0</v>
      </c>
    </row>
    <row r="5" spans="1:16" x14ac:dyDescent="0.25">
      <c r="A5" s="2" t="s">
        <v>44</v>
      </c>
      <c r="B5" s="2" t="s">
        <v>45</v>
      </c>
      <c r="C5" s="2" t="s">
        <v>46</v>
      </c>
      <c r="D5" s="2" t="s">
        <v>30</v>
      </c>
      <c r="E5" s="4">
        <v>46021</v>
      </c>
      <c r="F5" s="4">
        <v>46038</v>
      </c>
      <c r="G5" s="5">
        <v>8650</v>
      </c>
      <c r="H5" s="5">
        <v>0</v>
      </c>
      <c r="I5" s="2" t="s">
        <v>31</v>
      </c>
      <c r="J5" s="2" t="s">
        <v>47</v>
      </c>
      <c r="K5" t="s">
        <v>48</v>
      </c>
      <c r="L5" s="12">
        <f>MIS_Report!$B$2-F5</f>
        <v>272</v>
      </c>
      <c r="M5" t="str" cm="1">
        <f t="array" ref="M5">_xlfn.IFS(L5&lt;=30,"0-30",L5&lt;=60,"31-60",L5&lt;=90,"61-90",TRUE,"90+")</f>
        <v>90+</v>
      </c>
      <c r="N5">
        <f t="shared" ref="N5:N68" si="1">IF(I5="Pending",G5-H5,0)</f>
        <v>0</v>
      </c>
      <c r="O5" t="str">
        <f>VLOOKUP(K5,Agents!$A$1:$C$11,2,0)</f>
        <v>Manish Arora</v>
      </c>
      <c r="P5">
        <f t="shared" si="0"/>
        <v>8650</v>
      </c>
    </row>
    <row r="6" spans="1:16" x14ac:dyDescent="0.25">
      <c r="A6" s="2" t="s">
        <v>49</v>
      </c>
      <c r="B6" s="2" t="s">
        <v>50</v>
      </c>
      <c r="C6" s="2" t="s">
        <v>36</v>
      </c>
      <c r="D6" s="2" t="s">
        <v>68</v>
      </c>
      <c r="E6" s="4">
        <v>46246</v>
      </c>
      <c r="F6" s="4">
        <v>46257</v>
      </c>
      <c r="G6" s="5">
        <v>10700</v>
      </c>
      <c r="H6" s="5"/>
      <c r="I6" s="2" t="s">
        <v>42</v>
      </c>
      <c r="J6" s="2" t="s">
        <v>1541</v>
      </c>
      <c r="K6" t="s">
        <v>52</v>
      </c>
      <c r="L6" s="12">
        <f>MIS_Report!$B$2-F6</f>
        <v>53</v>
      </c>
      <c r="M6" t="str" cm="1">
        <f t="array" ref="M6">_xlfn.IFS(L6&lt;=30,"0-30",L6&lt;=60,"31-60",L6&lt;=90,"61-90",TRUE,"90+")</f>
        <v>31-60</v>
      </c>
      <c r="N6">
        <f t="shared" si="1"/>
        <v>10700</v>
      </c>
      <c r="O6" t="str">
        <f>VLOOKUP(K6,Agents!$A$1:$C$11,2,0)</f>
        <v>Sunita Rao</v>
      </c>
      <c r="P6">
        <f t="shared" si="0"/>
        <v>0</v>
      </c>
    </row>
    <row r="7" spans="1:16" x14ac:dyDescent="0.25">
      <c r="A7" s="2" t="s">
        <v>53</v>
      </c>
      <c r="B7" s="2" t="s">
        <v>54</v>
      </c>
      <c r="C7" s="2" t="s">
        <v>46</v>
      </c>
      <c r="D7" s="2" t="s">
        <v>55</v>
      </c>
      <c r="E7" s="4">
        <v>46121</v>
      </c>
      <c r="F7" s="4">
        <v>46140</v>
      </c>
      <c r="G7" s="5">
        <v>7675</v>
      </c>
      <c r="H7" s="5">
        <v>4594</v>
      </c>
      <c r="I7" s="2" t="s">
        <v>37</v>
      </c>
      <c r="J7" s="2" t="s">
        <v>1541</v>
      </c>
      <c r="K7" t="s">
        <v>56</v>
      </c>
      <c r="L7" s="12">
        <f>MIS_Report!$B$2-F7</f>
        <v>170</v>
      </c>
      <c r="M7" t="str" cm="1">
        <f t="array" ref="M7">_xlfn.IFS(L7&lt;=30,"0-30",L7&lt;=60,"31-60",L7&lt;=90,"61-90",TRUE,"90+")</f>
        <v>90+</v>
      </c>
      <c r="N7">
        <f t="shared" si="1"/>
        <v>0</v>
      </c>
      <c r="O7" t="str">
        <f>VLOOKUP(K7,Agents!$A$1:$C$11,2,0)</f>
        <v>Manish Arora</v>
      </c>
      <c r="P7">
        <f t="shared" si="0"/>
        <v>0</v>
      </c>
    </row>
    <row r="8" spans="1:16" x14ac:dyDescent="0.25">
      <c r="A8" s="2" t="s">
        <v>57</v>
      </c>
      <c r="B8" s="2" t="s">
        <v>58</v>
      </c>
      <c r="C8" s="2" t="s">
        <v>29</v>
      </c>
      <c r="D8" s="2" t="s">
        <v>55</v>
      </c>
      <c r="E8" s="4">
        <v>46014</v>
      </c>
      <c r="F8" s="4">
        <v>46023</v>
      </c>
      <c r="G8" s="5">
        <v>5650</v>
      </c>
      <c r="H8" s="5"/>
      <c r="I8" s="2" t="s">
        <v>42</v>
      </c>
      <c r="J8" s="2" t="s">
        <v>1541</v>
      </c>
      <c r="K8" t="s">
        <v>38</v>
      </c>
      <c r="L8" s="12">
        <f>MIS_Report!$B$2-F8</f>
        <v>287</v>
      </c>
      <c r="M8" t="str" cm="1">
        <f t="array" ref="M8">_xlfn.IFS(L8&lt;=30,"0-30",L8&lt;=60,"31-60",L8&lt;=90,"61-90",TRUE,"90+")</f>
        <v>90+</v>
      </c>
      <c r="N8">
        <f t="shared" si="1"/>
        <v>5650</v>
      </c>
      <c r="O8" t="str">
        <f>VLOOKUP(K8,Agents!$A$1:$C$11,2,0)</f>
        <v>Sunita Rao</v>
      </c>
      <c r="P8">
        <f t="shared" si="0"/>
        <v>0</v>
      </c>
    </row>
    <row r="9" spans="1:16" x14ac:dyDescent="0.25">
      <c r="A9" s="2" t="s">
        <v>59</v>
      </c>
      <c r="B9" s="2" t="s">
        <v>60</v>
      </c>
      <c r="C9" s="2" t="s">
        <v>46</v>
      </c>
      <c r="D9" s="2" t="s">
        <v>61</v>
      </c>
      <c r="E9" s="4">
        <v>46232</v>
      </c>
      <c r="F9" s="4">
        <v>46237</v>
      </c>
      <c r="G9" s="5">
        <v>14775</v>
      </c>
      <c r="H9" s="5"/>
      <c r="I9" s="2" t="s">
        <v>42</v>
      </c>
      <c r="J9" s="2" t="s">
        <v>1541</v>
      </c>
      <c r="K9" t="s">
        <v>62</v>
      </c>
      <c r="L9" s="12">
        <f>MIS_Report!$B$2-F9</f>
        <v>73</v>
      </c>
      <c r="M9" t="str" cm="1">
        <f t="array" ref="M9">_xlfn.IFS(L9&lt;=30,"0-30",L9&lt;=60,"31-60",L9&lt;=90,"61-90",TRUE,"90+")</f>
        <v>61-90</v>
      </c>
      <c r="N9">
        <f t="shared" si="1"/>
        <v>14775</v>
      </c>
      <c r="O9" t="str">
        <f>VLOOKUP(K9,Agents!$A$1:$C$11,2,0)</f>
        <v>Sunita Rao</v>
      </c>
      <c r="P9">
        <f t="shared" si="0"/>
        <v>0</v>
      </c>
    </row>
    <row r="10" spans="1:16" x14ac:dyDescent="0.25">
      <c r="A10" s="2" t="s">
        <v>63</v>
      </c>
      <c r="B10" s="2" t="s">
        <v>64</v>
      </c>
      <c r="C10" s="2" t="s">
        <v>36</v>
      </c>
      <c r="D10" s="2" t="s">
        <v>41</v>
      </c>
      <c r="E10" s="4">
        <v>46190</v>
      </c>
      <c r="F10" s="4">
        <v>46193</v>
      </c>
      <c r="G10" s="5">
        <v>10775</v>
      </c>
      <c r="H10" s="5">
        <v>7120.92</v>
      </c>
      <c r="I10" s="2" t="s">
        <v>37</v>
      </c>
      <c r="J10" s="2" t="s">
        <v>1541</v>
      </c>
      <c r="K10" t="s">
        <v>65</v>
      </c>
      <c r="L10" s="12">
        <f>MIS_Report!$B$2-F10</f>
        <v>117</v>
      </c>
      <c r="M10" t="str" cm="1">
        <f t="array" ref="M10">_xlfn.IFS(L10&lt;=30,"0-30",L10&lt;=60,"31-60",L10&lt;=90,"61-90",TRUE,"90+")</f>
        <v>90+</v>
      </c>
      <c r="N10">
        <f t="shared" si="1"/>
        <v>0</v>
      </c>
      <c r="O10" t="str">
        <f>VLOOKUP(K10,Agents!$A$1:$C$11,2,0)</f>
        <v>Deepak Nair</v>
      </c>
      <c r="P10">
        <f t="shared" si="0"/>
        <v>0</v>
      </c>
    </row>
    <row r="11" spans="1:16" x14ac:dyDescent="0.25">
      <c r="A11" s="2" t="s">
        <v>66</v>
      </c>
      <c r="B11" s="2" t="s">
        <v>67</v>
      </c>
      <c r="C11" s="2" t="s">
        <v>29</v>
      </c>
      <c r="D11" s="2" t="s">
        <v>68</v>
      </c>
      <c r="E11" s="4">
        <v>46093</v>
      </c>
      <c r="F11" s="4">
        <v>46113</v>
      </c>
      <c r="G11" s="5">
        <v>5100</v>
      </c>
      <c r="H11" s="5">
        <v>4484.7</v>
      </c>
      <c r="I11" s="2" t="s">
        <v>37</v>
      </c>
      <c r="J11" s="2" t="s">
        <v>1541</v>
      </c>
      <c r="K11" t="s">
        <v>48</v>
      </c>
      <c r="L11" s="12">
        <f>MIS_Report!$B$2-F11</f>
        <v>197</v>
      </c>
      <c r="M11" t="str" cm="1">
        <f t="array" ref="M11">_xlfn.IFS(L11&lt;=30,"0-30",L11&lt;=60,"31-60",L11&lt;=90,"61-90",TRUE,"90+")</f>
        <v>90+</v>
      </c>
      <c r="N11">
        <f t="shared" si="1"/>
        <v>0</v>
      </c>
      <c r="O11" t="str">
        <f>VLOOKUP(K11,Agents!$A$1:$C$11,2,0)</f>
        <v>Manish Arora</v>
      </c>
      <c r="P11">
        <f t="shared" si="0"/>
        <v>0</v>
      </c>
    </row>
    <row r="12" spans="1:16" x14ac:dyDescent="0.25">
      <c r="A12" s="2" t="s">
        <v>69</v>
      </c>
      <c r="B12" s="2" t="s">
        <v>70</v>
      </c>
      <c r="C12" s="2" t="s">
        <v>46</v>
      </c>
      <c r="D12" s="2" t="s">
        <v>71</v>
      </c>
      <c r="E12" s="4">
        <v>46209</v>
      </c>
      <c r="F12" s="4">
        <v>46225</v>
      </c>
      <c r="G12" s="5">
        <v>5725</v>
      </c>
      <c r="H12" s="5">
        <v>0</v>
      </c>
      <c r="I12" s="2" t="s">
        <v>31</v>
      </c>
      <c r="J12" s="2" t="s">
        <v>72</v>
      </c>
      <c r="K12" t="s">
        <v>56</v>
      </c>
      <c r="L12" s="12">
        <f>MIS_Report!$B$2-F12</f>
        <v>85</v>
      </c>
      <c r="M12" t="str" cm="1">
        <f t="array" ref="M12">_xlfn.IFS(L12&lt;=30,"0-30",L12&lt;=60,"31-60",L12&lt;=90,"61-90",TRUE,"90+")</f>
        <v>61-90</v>
      </c>
      <c r="N12">
        <f t="shared" si="1"/>
        <v>0</v>
      </c>
      <c r="O12" t="str">
        <f>VLOOKUP(K12,Agents!$A$1:$C$11,2,0)</f>
        <v>Manish Arora</v>
      </c>
      <c r="P12">
        <f t="shared" si="0"/>
        <v>5725</v>
      </c>
    </row>
    <row r="13" spans="1:16" x14ac:dyDescent="0.25">
      <c r="A13" s="2" t="s">
        <v>73</v>
      </c>
      <c r="B13" s="2" t="s">
        <v>74</v>
      </c>
      <c r="C13" s="2" t="s">
        <v>36</v>
      </c>
      <c r="D13" s="2" t="s">
        <v>41</v>
      </c>
      <c r="E13" s="4">
        <v>46122</v>
      </c>
      <c r="F13" s="4">
        <v>46130</v>
      </c>
      <c r="G13" s="5">
        <v>10375</v>
      </c>
      <c r="H13" s="5"/>
      <c r="I13" s="2" t="s">
        <v>42</v>
      </c>
      <c r="J13" s="2" t="s">
        <v>1541</v>
      </c>
      <c r="K13" t="s">
        <v>33</v>
      </c>
      <c r="L13" s="12">
        <f>MIS_Report!$B$2-F13</f>
        <v>180</v>
      </c>
      <c r="M13" t="str" cm="1">
        <f t="array" ref="M13">_xlfn.IFS(L13&lt;=30,"0-30",L13&lt;=60,"31-60",L13&lt;=90,"61-90",TRUE,"90+")</f>
        <v>90+</v>
      </c>
      <c r="N13">
        <f t="shared" si="1"/>
        <v>10375</v>
      </c>
      <c r="O13" t="str">
        <f>VLOOKUP(K13,Agents!$A$1:$C$11,2,0)</f>
        <v>Manish Arora</v>
      </c>
      <c r="P13">
        <f t="shared" si="0"/>
        <v>0</v>
      </c>
    </row>
    <row r="14" spans="1:16" x14ac:dyDescent="0.25">
      <c r="A14" s="2" t="s">
        <v>75</v>
      </c>
      <c r="B14" s="2" t="s">
        <v>76</v>
      </c>
      <c r="C14" s="2" t="s">
        <v>36</v>
      </c>
      <c r="D14" s="2" t="s">
        <v>41</v>
      </c>
      <c r="E14" s="4">
        <v>46115</v>
      </c>
      <c r="F14" s="4">
        <v>46132</v>
      </c>
      <c r="G14" s="5">
        <v>6900</v>
      </c>
      <c r="H14" s="5">
        <v>6373.05</v>
      </c>
      <c r="I14" s="2" t="s">
        <v>37</v>
      </c>
      <c r="J14" s="2" t="s">
        <v>1541</v>
      </c>
      <c r="K14" t="s">
        <v>43</v>
      </c>
      <c r="L14" s="12">
        <f>MIS_Report!$B$2-F14</f>
        <v>178</v>
      </c>
      <c r="M14" t="str" cm="1">
        <f t="array" ref="M14">_xlfn.IFS(L14&lt;=30,"0-30",L14&lt;=60,"31-60",L14&lt;=90,"61-90",TRUE,"90+")</f>
        <v>90+</v>
      </c>
      <c r="N14">
        <f t="shared" si="1"/>
        <v>0</v>
      </c>
      <c r="O14" t="str">
        <f>VLOOKUP(K14,Agents!$A$1:$C$11,2,0)</f>
        <v>Manish Arora</v>
      </c>
      <c r="P14">
        <f t="shared" si="0"/>
        <v>0</v>
      </c>
    </row>
    <row r="15" spans="1:16" x14ac:dyDescent="0.25">
      <c r="A15" s="2" t="s">
        <v>77</v>
      </c>
      <c r="B15" s="2" t="s">
        <v>78</v>
      </c>
      <c r="C15" s="2" t="s">
        <v>79</v>
      </c>
      <c r="D15" s="2" t="s">
        <v>80</v>
      </c>
      <c r="E15" s="4">
        <v>46144</v>
      </c>
      <c r="F15" s="4">
        <v>46147</v>
      </c>
      <c r="G15" s="5">
        <v>9725</v>
      </c>
      <c r="H15" s="5">
        <v>9546.16</v>
      </c>
      <c r="I15" s="2" t="s">
        <v>37</v>
      </c>
      <c r="J15" s="2" t="s">
        <v>1541</v>
      </c>
      <c r="K15" t="s">
        <v>33</v>
      </c>
      <c r="L15" s="12">
        <f>MIS_Report!$B$2-F15</f>
        <v>163</v>
      </c>
      <c r="M15" t="str" cm="1">
        <f t="array" ref="M15">_xlfn.IFS(L15&lt;=30,"0-30",L15&lt;=60,"31-60",L15&lt;=90,"61-90",TRUE,"90+")</f>
        <v>90+</v>
      </c>
      <c r="N15">
        <f t="shared" si="1"/>
        <v>0</v>
      </c>
      <c r="O15" t="str">
        <f>VLOOKUP(K15,Agents!$A$1:$C$11,2,0)</f>
        <v>Manish Arora</v>
      </c>
      <c r="P15">
        <f t="shared" si="0"/>
        <v>0</v>
      </c>
    </row>
    <row r="16" spans="1:16" x14ac:dyDescent="0.25">
      <c r="A16" s="2" t="s">
        <v>81</v>
      </c>
      <c r="B16" s="2" t="s">
        <v>82</v>
      </c>
      <c r="C16" s="2" t="s">
        <v>79</v>
      </c>
      <c r="D16" s="2" t="s">
        <v>41</v>
      </c>
      <c r="E16" s="4">
        <v>46089</v>
      </c>
      <c r="F16" s="4">
        <v>46101</v>
      </c>
      <c r="G16" s="5">
        <v>6125</v>
      </c>
      <c r="H16" s="5"/>
      <c r="I16" s="2" t="s">
        <v>42</v>
      </c>
      <c r="J16" s="2" t="s">
        <v>1541</v>
      </c>
      <c r="K16" t="s">
        <v>83</v>
      </c>
      <c r="L16" s="12">
        <f>MIS_Report!$B$2-F16</f>
        <v>209</v>
      </c>
      <c r="M16" t="str" cm="1">
        <f t="array" ref="M16">_xlfn.IFS(L16&lt;=30,"0-30",L16&lt;=60,"31-60",L16&lt;=90,"61-90",TRUE,"90+")</f>
        <v>90+</v>
      </c>
      <c r="N16">
        <f t="shared" si="1"/>
        <v>6125</v>
      </c>
      <c r="O16" t="str">
        <f>VLOOKUP(K16,Agents!$A$1:$C$11,2,0)</f>
        <v>Deepak Nair</v>
      </c>
      <c r="P16">
        <f t="shared" si="0"/>
        <v>0</v>
      </c>
    </row>
    <row r="17" spans="1:16" x14ac:dyDescent="0.25">
      <c r="A17" s="2" t="s">
        <v>84</v>
      </c>
      <c r="B17" s="2" t="s">
        <v>85</v>
      </c>
      <c r="C17" s="2" t="s">
        <v>46</v>
      </c>
      <c r="D17" s="2" t="s">
        <v>61</v>
      </c>
      <c r="E17" s="4">
        <v>46108</v>
      </c>
      <c r="F17" s="4">
        <v>46123</v>
      </c>
      <c r="G17" s="5">
        <v>12650</v>
      </c>
      <c r="H17" s="5">
        <v>7548.61</v>
      </c>
      <c r="I17" s="2" t="s">
        <v>37</v>
      </c>
      <c r="J17" s="2" t="s">
        <v>1541</v>
      </c>
      <c r="K17" t="s">
        <v>38</v>
      </c>
      <c r="L17" s="12">
        <f>MIS_Report!$B$2-F17</f>
        <v>187</v>
      </c>
      <c r="M17" t="str" cm="1">
        <f t="array" ref="M17">_xlfn.IFS(L17&lt;=30,"0-30",L17&lt;=60,"31-60",L17&lt;=90,"61-90",TRUE,"90+")</f>
        <v>90+</v>
      </c>
      <c r="N17">
        <f t="shared" si="1"/>
        <v>0</v>
      </c>
      <c r="O17" t="str">
        <f>VLOOKUP(K17,Agents!$A$1:$C$11,2,0)</f>
        <v>Sunita Rao</v>
      </c>
      <c r="P17">
        <f t="shared" si="0"/>
        <v>0</v>
      </c>
    </row>
    <row r="18" spans="1:16" x14ac:dyDescent="0.25">
      <c r="A18" s="2" t="s">
        <v>86</v>
      </c>
      <c r="B18" s="2" t="s">
        <v>87</v>
      </c>
      <c r="C18" s="2" t="s">
        <v>79</v>
      </c>
      <c r="D18" s="2" t="s">
        <v>61</v>
      </c>
      <c r="E18" s="4">
        <v>46138</v>
      </c>
      <c r="F18" s="4">
        <v>46154</v>
      </c>
      <c r="G18" s="5">
        <v>12850</v>
      </c>
      <c r="H18" s="5">
        <v>11232.94</v>
      </c>
      <c r="I18" s="2" t="s">
        <v>37</v>
      </c>
      <c r="J18" s="2" t="s">
        <v>1541</v>
      </c>
      <c r="K18" t="s">
        <v>83</v>
      </c>
      <c r="L18" s="12">
        <f>MIS_Report!$B$2-F18</f>
        <v>156</v>
      </c>
      <c r="M18" t="str" cm="1">
        <f t="array" ref="M18">_xlfn.IFS(L18&lt;=30,"0-30",L18&lt;=60,"31-60",L18&lt;=90,"61-90",TRUE,"90+")</f>
        <v>90+</v>
      </c>
      <c r="N18">
        <f t="shared" si="1"/>
        <v>0</v>
      </c>
      <c r="O18" t="str">
        <f>VLOOKUP(K18,Agents!$A$1:$C$11,2,0)</f>
        <v>Deepak Nair</v>
      </c>
      <c r="P18">
        <f t="shared" si="0"/>
        <v>0</v>
      </c>
    </row>
    <row r="19" spans="1:16" x14ac:dyDescent="0.25">
      <c r="A19" s="2" t="s">
        <v>88</v>
      </c>
      <c r="B19" s="2" t="s">
        <v>89</v>
      </c>
      <c r="C19" s="2" t="s">
        <v>36</v>
      </c>
      <c r="D19" s="2" t="s">
        <v>41</v>
      </c>
      <c r="E19" s="4">
        <v>46049</v>
      </c>
      <c r="F19" s="4">
        <v>46060</v>
      </c>
      <c r="G19" s="5">
        <v>5725</v>
      </c>
      <c r="H19" s="5"/>
      <c r="I19" s="2" t="s">
        <v>42</v>
      </c>
      <c r="J19" s="2" t="s">
        <v>1541</v>
      </c>
      <c r="K19" t="s">
        <v>38</v>
      </c>
      <c r="L19" s="12">
        <f>MIS_Report!$B$2-F19</f>
        <v>250</v>
      </c>
      <c r="M19" t="str" cm="1">
        <f t="array" ref="M19">_xlfn.IFS(L19&lt;=30,"0-30",L19&lt;=60,"31-60",L19&lt;=90,"61-90",TRUE,"90+")</f>
        <v>90+</v>
      </c>
      <c r="N19">
        <f t="shared" si="1"/>
        <v>5725</v>
      </c>
      <c r="O19" t="str">
        <f>VLOOKUP(K19,Agents!$A$1:$C$11,2,0)</f>
        <v>Sunita Rao</v>
      </c>
      <c r="P19">
        <f t="shared" si="0"/>
        <v>0</v>
      </c>
    </row>
    <row r="20" spans="1:16" x14ac:dyDescent="0.25">
      <c r="A20" s="2" t="s">
        <v>90</v>
      </c>
      <c r="B20" s="2" t="s">
        <v>91</v>
      </c>
      <c r="C20" s="2" t="s">
        <v>79</v>
      </c>
      <c r="D20" s="2" t="s">
        <v>41</v>
      </c>
      <c r="E20" s="4">
        <v>46241</v>
      </c>
      <c r="F20" s="4">
        <v>46251</v>
      </c>
      <c r="G20" s="5">
        <v>1825</v>
      </c>
      <c r="H20" s="5">
        <v>1439.84</v>
      </c>
      <c r="I20" s="2" t="s">
        <v>37</v>
      </c>
      <c r="J20" s="2" t="s">
        <v>1541</v>
      </c>
      <c r="K20" t="s">
        <v>33</v>
      </c>
      <c r="L20" s="12">
        <f>MIS_Report!$B$2-F20</f>
        <v>59</v>
      </c>
      <c r="M20" t="str" cm="1">
        <f t="array" ref="M20">_xlfn.IFS(L20&lt;=30,"0-30",L20&lt;=60,"31-60",L20&lt;=90,"61-90",TRUE,"90+")</f>
        <v>31-60</v>
      </c>
      <c r="N20">
        <f t="shared" si="1"/>
        <v>0</v>
      </c>
      <c r="O20" t="str">
        <f>VLOOKUP(K20,Agents!$A$1:$C$11,2,0)</f>
        <v>Manish Arora</v>
      </c>
      <c r="P20">
        <f t="shared" si="0"/>
        <v>0</v>
      </c>
    </row>
    <row r="21" spans="1:16" x14ac:dyDescent="0.25">
      <c r="A21" s="2" t="s">
        <v>92</v>
      </c>
      <c r="B21" s="2" t="s">
        <v>93</v>
      </c>
      <c r="C21" s="2" t="s">
        <v>36</v>
      </c>
      <c r="D21" s="2" t="s">
        <v>94</v>
      </c>
      <c r="E21" s="4">
        <v>46240</v>
      </c>
      <c r="F21" s="4">
        <v>46253</v>
      </c>
      <c r="G21" s="5">
        <v>13650</v>
      </c>
      <c r="H21" s="5"/>
      <c r="I21" s="2" t="s">
        <v>42</v>
      </c>
      <c r="J21" s="2" t="s">
        <v>1541</v>
      </c>
      <c r="K21" t="s">
        <v>65</v>
      </c>
      <c r="L21" s="12">
        <f>MIS_Report!$B$2-F21</f>
        <v>57</v>
      </c>
      <c r="M21" t="str" cm="1">
        <f t="array" ref="M21">_xlfn.IFS(L21&lt;=30,"0-30",L21&lt;=60,"31-60",L21&lt;=90,"61-90",TRUE,"90+")</f>
        <v>31-60</v>
      </c>
      <c r="N21">
        <f t="shared" si="1"/>
        <v>13650</v>
      </c>
      <c r="O21" t="str">
        <f>VLOOKUP(K21,Agents!$A$1:$C$11,2,0)</f>
        <v>Deepak Nair</v>
      </c>
      <c r="P21">
        <f t="shared" si="0"/>
        <v>0</v>
      </c>
    </row>
    <row r="22" spans="1:16" x14ac:dyDescent="0.25">
      <c r="A22" s="2" t="s">
        <v>95</v>
      </c>
      <c r="B22" s="2" t="s">
        <v>96</v>
      </c>
      <c r="C22" s="2" t="s">
        <v>46</v>
      </c>
      <c r="D22" s="2" t="s">
        <v>61</v>
      </c>
      <c r="E22" s="4">
        <v>46194</v>
      </c>
      <c r="F22" s="4">
        <v>46206</v>
      </c>
      <c r="G22" s="5">
        <v>1150</v>
      </c>
      <c r="H22" s="5">
        <v>882.06</v>
      </c>
      <c r="I22" s="2" t="s">
        <v>37</v>
      </c>
      <c r="J22" s="2" t="s">
        <v>1541</v>
      </c>
      <c r="K22" t="s">
        <v>48</v>
      </c>
      <c r="L22" s="12">
        <f>MIS_Report!$B$2-F22</f>
        <v>104</v>
      </c>
      <c r="M22" t="str" cm="1">
        <f t="array" ref="M22">_xlfn.IFS(L22&lt;=30,"0-30",L22&lt;=60,"31-60",L22&lt;=90,"61-90",TRUE,"90+")</f>
        <v>90+</v>
      </c>
      <c r="N22">
        <f t="shared" si="1"/>
        <v>0</v>
      </c>
      <c r="O22" t="str">
        <f>VLOOKUP(K22,Agents!$A$1:$C$11,2,0)</f>
        <v>Manish Arora</v>
      </c>
      <c r="P22">
        <f t="shared" si="0"/>
        <v>0</v>
      </c>
    </row>
    <row r="23" spans="1:16" x14ac:dyDescent="0.25">
      <c r="A23" s="2" t="s">
        <v>97</v>
      </c>
      <c r="B23" s="2" t="s">
        <v>98</v>
      </c>
      <c r="C23" s="2" t="s">
        <v>79</v>
      </c>
      <c r="D23" s="2" t="s">
        <v>80</v>
      </c>
      <c r="E23" s="4">
        <v>46044</v>
      </c>
      <c r="F23" s="4">
        <v>46061</v>
      </c>
      <c r="G23" s="5">
        <v>14275</v>
      </c>
      <c r="H23" s="5">
        <v>13865.48</v>
      </c>
      <c r="I23" s="2" t="s">
        <v>37</v>
      </c>
      <c r="J23" s="2" t="s">
        <v>1541</v>
      </c>
      <c r="K23" t="s">
        <v>52</v>
      </c>
      <c r="L23" s="12">
        <f>MIS_Report!$B$2-F23</f>
        <v>249</v>
      </c>
      <c r="M23" t="str" cm="1">
        <f t="array" ref="M23">_xlfn.IFS(L23&lt;=30,"0-30",L23&lt;=60,"31-60",L23&lt;=90,"61-90",TRUE,"90+")</f>
        <v>90+</v>
      </c>
      <c r="N23">
        <f t="shared" si="1"/>
        <v>0</v>
      </c>
      <c r="O23" t="str">
        <f>VLOOKUP(K23,Agents!$A$1:$C$11,2,0)</f>
        <v>Sunita Rao</v>
      </c>
      <c r="P23">
        <f t="shared" si="0"/>
        <v>0</v>
      </c>
    </row>
    <row r="24" spans="1:16" x14ac:dyDescent="0.25">
      <c r="A24" s="2" t="s">
        <v>99</v>
      </c>
      <c r="B24" s="2" t="s">
        <v>100</v>
      </c>
      <c r="C24" s="2" t="s">
        <v>29</v>
      </c>
      <c r="D24" s="2" t="s">
        <v>94</v>
      </c>
      <c r="E24" s="4">
        <v>46198</v>
      </c>
      <c r="F24" s="4">
        <v>46203</v>
      </c>
      <c r="G24" s="5">
        <v>12400</v>
      </c>
      <c r="H24" s="5"/>
      <c r="I24" s="2" t="s">
        <v>42</v>
      </c>
      <c r="J24" s="2" t="s">
        <v>1541</v>
      </c>
      <c r="K24" t="s">
        <v>56</v>
      </c>
      <c r="L24" s="12">
        <f>MIS_Report!$B$2-F24</f>
        <v>107</v>
      </c>
      <c r="M24" t="str" cm="1">
        <f t="array" ref="M24">_xlfn.IFS(L24&lt;=30,"0-30",L24&lt;=60,"31-60",L24&lt;=90,"61-90",TRUE,"90+")</f>
        <v>90+</v>
      </c>
      <c r="N24">
        <f t="shared" si="1"/>
        <v>12400</v>
      </c>
      <c r="O24" t="str">
        <f>VLOOKUP(K24,Agents!$A$1:$C$11,2,0)</f>
        <v>Manish Arora</v>
      </c>
      <c r="P24">
        <f t="shared" si="0"/>
        <v>0</v>
      </c>
    </row>
    <row r="25" spans="1:16" x14ac:dyDescent="0.25">
      <c r="A25" s="2" t="s">
        <v>101</v>
      </c>
      <c r="B25" s="2" t="s">
        <v>102</v>
      </c>
      <c r="C25" s="2" t="s">
        <v>36</v>
      </c>
      <c r="D25" s="2" t="s">
        <v>41</v>
      </c>
      <c r="E25" s="4">
        <v>46275</v>
      </c>
      <c r="F25" s="4">
        <v>46278</v>
      </c>
      <c r="G25" s="5">
        <v>10075</v>
      </c>
      <c r="H25" s="5"/>
      <c r="I25" s="2" t="s">
        <v>42</v>
      </c>
      <c r="J25" s="2" t="s">
        <v>1541</v>
      </c>
      <c r="K25" t="s">
        <v>48</v>
      </c>
      <c r="L25" s="12">
        <f>MIS_Report!$B$2-F25</f>
        <v>32</v>
      </c>
      <c r="M25" t="str" cm="1">
        <f t="array" ref="M25">_xlfn.IFS(L25&lt;=30,"0-30",L25&lt;=60,"31-60",L25&lt;=90,"61-90",TRUE,"90+")</f>
        <v>31-60</v>
      </c>
      <c r="N25">
        <f t="shared" si="1"/>
        <v>10075</v>
      </c>
      <c r="O25" t="str">
        <f>VLOOKUP(K25,Agents!$A$1:$C$11,2,0)</f>
        <v>Manish Arora</v>
      </c>
      <c r="P25">
        <f t="shared" si="0"/>
        <v>0</v>
      </c>
    </row>
    <row r="26" spans="1:16" x14ac:dyDescent="0.25">
      <c r="A26" s="2" t="s">
        <v>103</v>
      </c>
      <c r="B26" s="2" t="s">
        <v>104</v>
      </c>
      <c r="C26" s="2" t="s">
        <v>29</v>
      </c>
      <c r="D26" s="2" t="s">
        <v>80</v>
      </c>
      <c r="E26" s="4">
        <v>46138</v>
      </c>
      <c r="F26" s="4">
        <v>46154</v>
      </c>
      <c r="G26" s="5">
        <v>8750</v>
      </c>
      <c r="H26" s="5">
        <v>7100</v>
      </c>
      <c r="I26" s="2" t="s">
        <v>37</v>
      </c>
      <c r="J26" s="2" t="s">
        <v>1541</v>
      </c>
      <c r="K26" t="s">
        <v>48</v>
      </c>
      <c r="L26" s="12">
        <f>MIS_Report!$B$2-F26</f>
        <v>156</v>
      </c>
      <c r="M26" t="str" cm="1">
        <f t="array" ref="M26">_xlfn.IFS(L26&lt;=30,"0-30",L26&lt;=60,"31-60",L26&lt;=90,"61-90",TRUE,"90+")</f>
        <v>90+</v>
      </c>
      <c r="N26">
        <f t="shared" si="1"/>
        <v>0</v>
      </c>
      <c r="O26" t="str">
        <f>VLOOKUP(K26,Agents!$A$1:$C$11,2,0)</f>
        <v>Manish Arora</v>
      </c>
      <c r="P26">
        <f t="shared" si="0"/>
        <v>0</v>
      </c>
    </row>
    <row r="27" spans="1:16" x14ac:dyDescent="0.25">
      <c r="A27" s="2" t="s">
        <v>105</v>
      </c>
      <c r="B27" s="2" t="s">
        <v>106</v>
      </c>
      <c r="C27" s="2" t="s">
        <v>29</v>
      </c>
      <c r="D27" s="2" t="s">
        <v>41</v>
      </c>
      <c r="E27" s="4">
        <v>46269</v>
      </c>
      <c r="F27" s="4">
        <v>46288</v>
      </c>
      <c r="G27" s="5">
        <v>1050</v>
      </c>
      <c r="H27" s="5"/>
      <c r="I27" s="2" t="s">
        <v>42</v>
      </c>
      <c r="J27" s="2" t="s">
        <v>1541</v>
      </c>
      <c r="K27" t="s">
        <v>48</v>
      </c>
      <c r="L27" s="12">
        <f>MIS_Report!$B$2-F27</f>
        <v>22</v>
      </c>
      <c r="M27" t="str" cm="1">
        <f t="array" ref="M27">_xlfn.IFS(L27&lt;=30,"0-30",L27&lt;=60,"31-60",L27&lt;=90,"61-90",TRUE,"90+")</f>
        <v>0-30</v>
      </c>
      <c r="N27">
        <f t="shared" si="1"/>
        <v>1050</v>
      </c>
      <c r="O27" t="str">
        <f>VLOOKUP(K27,Agents!$A$1:$C$11,2,0)</f>
        <v>Manish Arora</v>
      </c>
      <c r="P27">
        <f t="shared" si="0"/>
        <v>0</v>
      </c>
    </row>
    <row r="28" spans="1:16" x14ac:dyDescent="0.25">
      <c r="A28" s="2" t="s">
        <v>107</v>
      </c>
      <c r="B28" s="2" t="s">
        <v>108</v>
      </c>
      <c r="C28" s="2" t="s">
        <v>46</v>
      </c>
      <c r="D28" s="2" t="s">
        <v>41</v>
      </c>
      <c r="E28" s="4">
        <v>46259</v>
      </c>
      <c r="F28" s="4">
        <v>46277</v>
      </c>
      <c r="G28" s="5">
        <v>6825</v>
      </c>
      <c r="H28" s="5"/>
      <c r="I28" s="2" t="s">
        <v>42</v>
      </c>
      <c r="J28" s="2" t="s">
        <v>1541</v>
      </c>
      <c r="K28" t="s">
        <v>109</v>
      </c>
      <c r="L28" s="12">
        <f>MIS_Report!$B$2-F28</f>
        <v>33</v>
      </c>
      <c r="M28" t="str" cm="1">
        <f t="array" ref="M28">_xlfn.IFS(L28&lt;=30,"0-30",L28&lt;=60,"31-60",L28&lt;=90,"61-90",TRUE,"90+")</f>
        <v>31-60</v>
      </c>
      <c r="N28">
        <f t="shared" si="1"/>
        <v>6825</v>
      </c>
      <c r="O28" t="str">
        <f>VLOOKUP(K28,Agents!$A$1:$C$11,2,0)</f>
        <v>Deepak Nair</v>
      </c>
      <c r="P28">
        <f t="shared" si="0"/>
        <v>0</v>
      </c>
    </row>
    <row r="29" spans="1:16" x14ac:dyDescent="0.25">
      <c r="A29" s="2" t="s">
        <v>110</v>
      </c>
      <c r="B29" s="2" t="s">
        <v>111</v>
      </c>
      <c r="C29" s="2" t="s">
        <v>79</v>
      </c>
      <c r="D29" s="2" t="s">
        <v>61</v>
      </c>
      <c r="E29" s="4">
        <v>46107</v>
      </c>
      <c r="F29" s="4">
        <v>46126</v>
      </c>
      <c r="G29" s="5">
        <v>4625</v>
      </c>
      <c r="H29" s="5">
        <v>4479.9399999999996</v>
      </c>
      <c r="I29" s="2" t="s">
        <v>37</v>
      </c>
      <c r="J29" s="2" t="s">
        <v>1541</v>
      </c>
      <c r="K29" t="s">
        <v>62</v>
      </c>
      <c r="L29" s="12">
        <f>MIS_Report!$B$2-F29</f>
        <v>184</v>
      </c>
      <c r="M29" t="str" cm="1">
        <f t="array" ref="M29">_xlfn.IFS(L29&lt;=30,"0-30",L29&lt;=60,"31-60",L29&lt;=90,"61-90",TRUE,"90+")</f>
        <v>90+</v>
      </c>
      <c r="N29">
        <f t="shared" si="1"/>
        <v>0</v>
      </c>
      <c r="O29" t="str">
        <f>VLOOKUP(K29,Agents!$A$1:$C$11,2,0)</f>
        <v>Sunita Rao</v>
      </c>
      <c r="P29">
        <f t="shared" si="0"/>
        <v>0</v>
      </c>
    </row>
    <row r="30" spans="1:16" x14ac:dyDescent="0.25">
      <c r="A30" s="2" t="s">
        <v>112</v>
      </c>
      <c r="B30" s="2" t="s">
        <v>113</v>
      </c>
      <c r="C30" s="2" t="s">
        <v>79</v>
      </c>
      <c r="D30" s="2" t="s">
        <v>30</v>
      </c>
      <c r="E30" s="4">
        <v>46108</v>
      </c>
      <c r="F30" s="4">
        <v>46124</v>
      </c>
      <c r="G30" s="5">
        <v>5425</v>
      </c>
      <c r="H30" s="5"/>
      <c r="I30" s="2" t="s">
        <v>42</v>
      </c>
      <c r="J30" s="2" t="s">
        <v>1541</v>
      </c>
      <c r="K30" t="s">
        <v>52</v>
      </c>
      <c r="L30" s="12">
        <f>MIS_Report!$B$2-F30</f>
        <v>186</v>
      </c>
      <c r="M30" t="str" cm="1">
        <f t="array" ref="M30">_xlfn.IFS(L30&lt;=30,"0-30",L30&lt;=60,"31-60",L30&lt;=90,"61-90",TRUE,"90+")</f>
        <v>90+</v>
      </c>
      <c r="N30">
        <f t="shared" si="1"/>
        <v>5425</v>
      </c>
      <c r="O30" t="str">
        <f>VLOOKUP(K30,Agents!$A$1:$C$11,2,0)</f>
        <v>Sunita Rao</v>
      </c>
      <c r="P30">
        <f t="shared" si="0"/>
        <v>0</v>
      </c>
    </row>
    <row r="31" spans="1:16" x14ac:dyDescent="0.25">
      <c r="A31" s="2" t="s">
        <v>114</v>
      </c>
      <c r="B31" s="2" t="s">
        <v>115</v>
      </c>
      <c r="C31" s="2" t="s">
        <v>36</v>
      </c>
      <c r="D31" s="2" t="s">
        <v>94</v>
      </c>
      <c r="E31" s="4">
        <v>46123</v>
      </c>
      <c r="F31" s="4">
        <v>46130</v>
      </c>
      <c r="G31" s="5">
        <v>3725</v>
      </c>
      <c r="H31" s="5">
        <v>0</v>
      </c>
      <c r="I31" s="2" t="s">
        <v>31</v>
      </c>
      <c r="J31" s="2" t="s">
        <v>116</v>
      </c>
      <c r="K31" t="s">
        <v>62</v>
      </c>
      <c r="L31" s="12">
        <f>MIS_Report!$B$2-F31</f>
        <v>180</v>
      </c>
      <c r="M31" t="str" cm="1">
        <f t="array" ref="M31">_xlfn.IFS(L31&lt;=30,"0-30",L31&lt;=60,"31-60",L31&lt;=90,"61-90",TRUE,"90+")</f>
        <v>90+</v>
      </c>
      <c r="N31">
        <f t="shared" si="1"/>
        <v>0</v>
      </c>
      <c r="O31" t="str">
        <f>VLOOKUP(K31,Agents!$A$1:$C$11,2,0)</f>
        <v>Sunita Rao</v>
      </c>
      <c r="P31">
        <f t="shared" si="0"/>
        <v>3725</v>
      </c>
    </row>
    <row r="32" spans="1:16" x14ac:dyDescent="0.25">
      <c r="A32" s="2" t="s">
        <v>117</v>
      </c>
      <c r="B32" s="2" t="s">
        <v>118</v>
      </c>
      <c r="C32" s="2" t="s">
        <v>29</v>
      </c>
      <c r="D32" s="2" t="s">
        <v>68</v>
      </c>
      <c r="E32" s="4">
        <v>46103</v>
      </c>
      <c r="F32" s="4">
        <v>46109</v>
      </c>
      <c r="G32" s="5">
        <v>11825</v>
      </c>
      <c r="H32" s="5">
        <v>0</v>
      </c>
      <c r="I32" s="2" t="s">
        <v>31</v>
      </c>
      <c r="J32" s="2" t="s">
        <v>116</v>
      </c>
      <c r="K32" t="s">
        <v>109</v>
      </c>
      <c r="L32" s="12">
        <f>MIS_Report!$B$2-F32</f>
        <v>201</v>
      </c>
      <c r="M32" t="str" cm="1">
        <f t="array" ref="M32">_xlfn.IFS(L32&lt;=30,"0-30",L32&lt;=60,"31-60",L32&lt;=90,"61-90",TRUE,"90+")</f>
        <v>90+</v>
      </c>
      <c r="N32">
        <f t="shared" si="1"/>
        <v>0</v>
      </c>
      <c r="O32" t="str">
        <f>VLOOKUP(K32,Agents!$A$1:$C$11,2,0)</f>
        <v>Deepak Nair</v>
      </c>
      <c r="P32">
        <f t="shared" si="0"/>
        <v>11825</v>
      </c>
    </row>
    <row r="33" spans="1:16" x14ac:dyDescent="0.25">
      <c r="A33" s="2" t="s">
        <v>119</v>
      </c>
      <c r="B33" s="2" t="s">
        <v>120</v>
      </c>
      <c r="C33" s="2" t="s">
        <v>36</v>
      </c>
      <c r="D33" s="2" t="s">
        <v>68</v>
      </c>
      <c r="E33" s="4">
        <v>46241</v>
      </c>
      <c r="F33" s="4">
        <v>46254</v>
      </c>
      <c r="G33" s="5">
        <v>2200</v>
      </c>
      <c r="H33" s="5"/>
      <c r="I33" s="2" t="s">
        <v>42</v>
      </c>
      <c r="J33" s="2" t="s">
        <v>1541</v>
      </c>
      <c r="K33" t="s">
        <v>62</v>
      </c>
      <c r="L33" s="12">
        <f>MIS_Report!$B$2-F33</f>
        <v>56</v>
      </c>
      <c r="M33" t="str" cm="1">
        <f t="array" ref="M33">_xlfn.IFS(L33&lt;=30,"0-30",L33&lt;=60,"31-60",L33&lt;=90,"61-90",TRUE,"90+")</f>
        <v>31-60</v>
      </c>
      <c r="N33">
        <f t="shared" si="1"/>
        <v>2200</v>
      </c>
      <c r="O33" t="str">
        <f>VLOOKUP(K33,Agents!$A$1:$C$11,2,0)</f>
        <v>Sunita Rao</v>
      </c>
      <c r="P33">
        <f t="shared" si="0"/>
        <v>0</v>
      </c>
    </row>
    <row r="34" spans="1:16" x14ac:dyDescent="0.25">
      <c r="A34" s="2" t="s">
        <v>121</v>
      </c>
      <c r="B34" s="2" t="s">
        <v>122</v>
      </c>
      <c r="C34" s="2" t="s">
        <v>46</v>
      </c>
      <c r="D34" s="2" t="s">
        <v>61</v>
      </c>
      <c r="E34" s="4">
        <v>46192</v>
      </c>
      <c r="F34" s="4">
        <v>46204</v>
      </c>
      <c r="G34" s="5">
        <v>14725</v>
      </c>
      <c r="H34" s="5">
        <v>11112.58</v>
      </c>
      <c r="I34" s="2" t="s">
        <v>37</v>
      </c>
      <c r="J34" s="2" t="s">
        <v>1541</v>
      </c>
      <c r="K34" t="s">
        <v>33</v>
      </c>
      <c r="L34" s="12">
        <f>MIS_Report!$B$2-F34</f>
        <v>106</v>
      </c>
      <c r="M34" t="str" cm="1">
        <f t="array" ref="M34">_xlfn.IFS(L34&lt;=30,"0-30",L34&lt;=60,"31-60",L34&lt;=90,"61-90",TRUE,"90+")</f>
        <v>90+</v>
      </c>
      <c r="N34">
        <f t="shared" si="1"/>
        <v>0</v>
      </c>
      <c r="O34" t="str">
        <f>VLOOKUP(K34,Agents!$A$1:$C$11,2,0)</f>
        <v>Manish Arora</v>
      </c>
      <c r="P34">
        <f t="shared" si="0"/>
        <v>0</v>
      </c>
    </row>
    <row r="35" spans="1:16" x14ac:dyDescent="0.25">
      <c r="A35" s="2" t="s">
        <v>123</v>
      </c>
      <c r="B35" s="2" t="s">
        <v>108</v>
      </c>
      <c r="C35" s="2" t="s">
        <v>36</v>
      </c>
      <c r="D35" s="2" t="s">
        <v>68</v>
      </c>
      <c r="E35" s="4">
        <v>46041</v>
      </c>
      <c r="F35" s="4">
        <v>46047</v>
      </c>
      <c r="G35" s="5">
        <v>11725</v>
      </c>
      <c r="H35" s="5">
        <v>9825.11</v>
      </c>
      <c r="I35" s="2" t="s">
        <v>37</v>
      </c>
      <c r="J35" s="2" t="s">
        <v>1541</v>
      </c>
      <c r="K35" t="s">
        <v>43</v>
      </c>
      <c r="L35" s="12">
        <f>MIS_Report!$B$2-F35</f>
        <v>263</v>
      </c>
      <c r="M35" t="str" cm="1">
        <f t="array" ref="M35">_xlfn.IFS(L35&lt;=30,"0-30",L35&lt;=60,"31-60",L35&lt;=90,"61-90",TRUE,"90+")</f>
        <v>90+</v>
      </c>
      <c r="N35">
        <f t="shared" si="1"/>
        <v>0</v>
      </c>
      <c r="O35" t="str">
        <f>VLOOKUP(K35,Agents!$A$1:$C$11,2,0)</f>
        <v>Manish Arora</v>
      </c>
      <c r="P35">
        <f t="shared" si="0"/>
        <v>0</v>
      </c>
    </row>
    <row r="36" spans="1:16" x14ac:dyDescent="0.25">
      <c r="A36" s="2" t="s">
        <v>124</v>
      </c>
      <c r="B36" s="2" t="s">
        <v>125</v>
      </c>
      <c r="C36" s="2" t="s">
        <v>29</v>
      </c>
      <c r="D36" s="2" t="s">
        <v>30</v>
      </c>
      <c r="E36" s="4">
        <v>46255</v>
      </c>
      <c r="F36" s="4">
        <v>46266</v>
      </c>
      <c r="G36" s="5">
        <v>4850</v>
      </c>
      <c r="H36" s="5"/>
      <c r="I36" s="2" t="s">
        <v>42</v>
      </c>
      <c r="J36" s="2" t="s">
        <v>1541</v>
      </c>
      <c r="K36" t="s">
        <v>56</v>
      </c>
      <c r="L36" s="12">
        <f>MIS_Report!$B$2-F36</f>
        <v>44</v>
      </c>
      <c r="M36" t="str" cm="1">
        <f t="array" ref="M36">_xlfn.IFS(L36&lt;=30,"0-30",L36&lt;=60,"31-60",L36&lt;=90,"61-90",TRUE,"90+")</f>
        <v>31-60</v>
      </c>
      <c r="N36">
        <f t="shared" si="1"/>
        <v>4850</v>
      </c>
      <c r="O36" t="str">
        <f>VLOOKUP(K36,Agents!$A$1:$C$11,2,0)</f>
        <v>Manish Arora</v>
      </c>
      <c r="P36">
        <f t="shared" si="0"/>
        <v>0</v>
      </c>
    </row>
    <row r="37" spans="1:16" x14ac:dyDescent="0.25">
      <c r="A37" s="2" t="s">
        <v>126</v>
      </c>
      <c r="B37" s="2" t="s">
        <v>127</v>
      </c>
      <c r="C37" s="2" t="s">
        <v>79</v>
      </c>
      <c r="D37" s="2" t="s">
        <v>55</v>
      </c>
      <c r="E37" s="4">
        <v>46104</v>
      </c>
      <c r="F37" s="4">
        <v>46114</v>
      </c>
      <c r="G37" s="5">
        <v>7250</v>
      </c>
      <c r="H37" s="5">
        <v>7076.5</v>
      </c>
      <c r="I37" s="2" t="s">
        <v>37</v>
      </c>
      <c r="J37" s="2" t="s">
        <v>1541</v>
      </c>
      <c r="K37" t="s">
        <v>43</v>
      </c>
      <c r="L37" s="12">
        <f>MIS_Report!$B$2-F37</f>
        <v>196</v>
      </c>
      <c r="M37" t="str" cm="1">
        <f t="array" ref="M37">_xlfn.IFS(L37&lt;=30,"0-30",L37&lt;=60,"31-60",L37&lt;=90,"61-90",TRUE,"90+")</f>
        <v>90+</v>
      </c>
      <c r="N37">
        <f t="shared" si="1"/>
        <v>0</v>
      </c>
      <c r="O37" t="str">
        <f>VLOOKUP(K37,Agents!$A$1:$C$11,2,0)</f>
        <v>Manish Arora</v>
      </c>
      <c r="P37">
        <f t="shared" si="0"/>
        <v>0</v>
      </c>
    </row>
    <row r="38" spans="1:16" x14ac:dyDescent="0.25">
      <c r="A38" s="2" t="s">
        <v>128</v>
      </c>
      <c r="B38" s="2" t="s">
        <v>129</v>
      </c>
      <c r="C38" s="2" t="s">
        <v>36</v>
      </c>
      <c r="D38" s="2" t="s">
        <v>55</v>
      </c>
      <c r="E38" s="4">
        <v>46051</v>
      </c>
      <c r="F38" s="4">
        <v>46067</v>
      </c>
      <c r="G38" s="5">
        <v>10225</v>
      </c>
      <c r="H38" s="5">
        <v>8502.0499999999993</v>
      </c>
      <c r="I38" s="2" t="s">
        <v>37</v>
      </c>
      <c r="J38" s="2" t="s">
        <v>1541</v>
      </c>
      <c r="K38" t="s">
        <v>109</v>
      </c>
      <c r="L38" s="12">
        <f>MIS_Report!$B$2-F38</f>
        <v>243</v>
      </c>
      <c r="M38" t="str" cm="1">
        <f t="array" ref="M38">_xlfn.IFS(L38&lt;=30,"0-30",L38&lt;=60,"31-60",L38&lt;=90,"61-90",TRUE,"90+")</f>
        <v>90+</v>
      </c>
      <c r="N38">
        <f t="shared" si="1"/>
        <v>0</v>
      </c>
      <c r="O38" t="str">
        <f>VLOOKUP(K38,Agents!$A$1:$C$11,2,0)</f>
        <v>Deepak Nair</v>
      </c>
      <c r="P38">
        <f t="shared" si="0"/>
        <v>0</v>
      </c>
    </row>
    <row r="39" spans="1:16" x14ac:dyDescent="0.25">
      <c r="A39" s="2" t="s">
        <v>131</v>
      </c>
      <c r="B39" s="2" t="s">
        <v>89</v>
      </c>
      <c r="C39" s="2" t="s">
        <v>36</v>
      </c>
      <c r="D39" s="2" t="s">
        <v>68</v>
      </c>
      <c r="E39" s="4">
        <v>46267</v>
      </c>
      <c r="F39" s="4">
        <v>46280</v>
      </c>
      <c r="G39" s="5">
        <v>12150</v>
      </c>
      <c r="H39" s="5"/>
      <c r="I39" s="2" t="s">
        <v>42</v>
      </c>
      <c r="J39" s="2" t="s">
        <v>1541</v>
      </c>
      <c r="K39" t="s">
        <v>48</v>
      </c>
      <c r="L39" s="12">
        <f>MIS_Report!$B$2-F39</f>
        <v>30</v>
      </c>
      <c r="M39" t="str" cm="1">
        <f t="array" ref="M39">_xlfn.IFS(L39&lt;=30,"0-30",L39&lt;=60,"31-60",L39&lt;=90,"61-90",TRUE,"90+")</f>
        <v>0-30</v>
      </c>
      <c r="N39">
        <f t="shared" si="1"/>
        <v>12150</v>
      </c>
      <c r="O39" t="str">
        <f>VLOOKUP(K39,Agents!$A$1:$C$11,2,0)</f>
        <v>Manish Arora</v>
      </c>
      <c r="P39">
        <f t="shared" si="0"/>
        <v>0</v>
      </c>
    </row>
    <row r="40" spans="1:16" x14ac:dyDescent="0.25">
      <c r="A40" s="2" t="s">
        <v>132</v>
      </c>
      <c r="B40" s="2" t="s">
        <v>133</v>
      </c>
      <c r="C40" s="2" t="s">
        <v>46</v>
      </c>
      <c r="D40" s="2" t="s">
        <v>30</v>
      </c>
      <c r="E40" s="4">
        <v>46122</v>
      </c>
      <c r="F40" s="4">
        <v>46132</v>
      </c>
      <c r="G40" s="5">
        <v>10275</v>
      </c>
      <c r="H40" s="5"/>
      <c r="I40" s="2" t="s">
        <v>42</v>
      </c>
      <c r="J40" s="2" t="s">
        <v>1541</v>
      </c>
      <c r="K40" t="s">
        <v>52</v>
      </c>
      <c r="L40" s="12">
        <f>MIS_Report!$B$2-F40</f>
        <v>178</v>
      </c>
      <c r="M40" t="str" cm="1">
        <f t="array" ref="M40">_xlfn.IFS(L40&lt;=30,"0-30",L40&lt;=60,"31-60",L40&lt;=90,"61-90",TRUE,"90+")</f>
        <v>90+</v>
      </c>
      <c r="N40">
        <f t="shared" si="1"/>
        <v>10275</v>
      </c>
      <c r="O40" t="str">
        <f>VLOOKUP(K40,Agents!$A$1:$C$11,2,0)</f>
        <v>Sunita Rao</v>
      </c>
      <c r="P40">
        <f t="shared" si="0"/>
        <v>0</v>
      </c>
    </row>
    <row r="41" spans="1:16" x14ac:dyDescent="0.25">
      <c r="A41" s="2" t="s">
        <v>135</v>
      </c>
      <c r="B41" s="2" t="s">
        <v>136</v>
      </c>
      <c r="C41" s="2" t="s">
        <v>46</v>
      </c>
      <c r="D41" s="2" t="s">
        <v>30</v>
      </c>
      <c r="E41" s="4">
        <v>46154</v>
      </c>
      <c r="F41" s="4">
        <v>46157</v>
      </c>
      <c r="G41" s="5">
        <v>9200</v>
      </c>
      <c r="H41" s="5">
        <v>6476.1</v>
      </c>
      <c r="I41" s="2" t="s">
        <v>37</v>
      </c>
      <c r="J41" s="2" t="s">
        <v>1541</v>
      </c>
      <c r="K41" t="s">
        <v>56</v>
      </c>
      <c r="L41" s="12">
        <f>MIS_Report!$B$2-F41</f>
        <v>153</v>
      </c>
      <c r="M41" t="str" cm="1">
        <f t="array" ref="M41">_xlfn.IFS(L41&lt;=30,"0-30",L41&lt;=60,"31-60",L41&lt;=90,"61-90",TRUE,"90+")</f>
        <v>90+</v>
      </c>
      <c r="N41">
        <f t="shared" si="1"/>
        <v>0</v>
      </c>
      <c r="O41" t="str">
        <f>VLOOKUP(K41,Agents!$A$1:$C$11,2,0)</f>
        <v>Manish Arora</v>
      </c>
      <c r="P41">
        <f t="shared" si="0"/>
        <v>0</v>
      </c>
    </row>
    <row r="42" spans="1:16" x14ac:dyDescent="0.25">
      <c r="A42" s="2" t="s">
        <v>137</v>
      </c>
      <c r="B42" s="2" t="s">
        <v>138</v>
      </c>
      <c r="C42" s="2" t="s">
        <v>79</v>
      </c>
      <c r="D42" s="2" t="s">
        <v>55</v>
      </c>
      <c r="E42" s="4">
        <v>46129</v>
      </c>
      <c r="F42" s="4">
        <v>46134</v>
      </c>
      <c r="G42" s="5">
        <v>11275</v>
      </c>
      <c r="H42" s="5">
        <v>7900.98</v>
      </c>
      <c r="I42" s="2" t="s">
        <v>37</v>
      </c>
      <c r="J42" s="2" t="s">
        <v>1541</v>
      </c>
      <c r="K42" t="s">
        <v>83</v>
      </c>
      <c r="L42" s="12">
        <f>MIS_Report!$B$2-F42</f>
        <v>176</v>
      </c>
      <c r="M42" t="str" cm="1">
        <f t="array" ref="M42">_xlfn.IFS(L42&lt;=30,"0-30",L42&lt;=60,"31-60",L42&lt;=90,"61-90",TRUE,"90+")</f>
        <v>90+</v>
      </c>
      <c r="N42">
        <f t="shared" si="1"/>
        <v>0</v>
      </c>
      <c r="O42" t="str">
        <f>VLOOKUP(K42,Agents!$A$1:$C$11,2,0)</f>
        <v>Deepak Nair</v>
      </c>
      <c r="P42">
        <f t="shared" si="0"/>
        <v>0</v>
      </c>
    </row>
    <row r="43" spans="1:16" x14ac:dyDescent="0.25">
      <c r="A43" s="2" t="s">
        <v>139</v>
      </c>
      <c r="B43" s="2" t="s">
        <v>140</v>
      </c>
      <c r="C43" s="2" t="s">
        <v>36</v>
      </c>
      <c r="D43" s="2" t="s">
        <v>80</v>
      </c>
      <c r="E43" s="4">
        <v>46271</v>
      </c>
      <c r="F43" s="4">
        <v>46288</v>
      </c>
      <c r="G43" s="5">
        <v>12900</v>
      </c>
      <c r="H43" s="5"/>
      <c r="I43" s="2" t="s">
        <v>42</v>
      </c>
      <c r="J43" s="2" t="s">
        <v>1541</v>
      </c>
      <c r="K43" t="s">
        <v>65</v>
      </c>
      <c r="L43" s="12">
        <f>MIS_Report!$B$2-F43</f>
        <v>22</v>
      </c>
      <c r="M43" t="str" cm="1">
        <f t="array" ref="M43">_xlfn.IFS(L43&lt;=30,"0-30",L43&lt;=60,"31-60",L43&lt;=90,"61-90",TRUE,"90+")</f>
        <v>0-30</v>
      </c>
      <c r="N43">
        <f t="shared" si="1"/>
        <v>12900</v>
      </c>
      <c r="O43" t="str">
        <f>VLOOKUP(K43,Agents!$A$1:$C$11,2,0)</f>
        <v>Deepak Nair</v>
      </c>
      <c r="P43">
        <f t="shared" si="0"/>
        <v>0</v>
      </c>
    </row>
    <row r="44" spans="1:16" x14ac:dyDescent="0.25">
      <c r="A44" s="2" t="s">
        <v>141</v>
      </c>
      <c r="B44" s="2" t="s">
        <v>142</v>
      </c>
      <c r="C44" s="2" t="s">
        <v>79</v>
      </c>
      <c r="D44" s="2" t="s">
        <v>30</v>
      </c>
      <c r="E44" s="4">
        <v>46272</v>
      </c>
      <c r="F44" s="4">
        <v>46292</v>
      </c>
      <c r="G44" s="5">
        <v>7725</v>
      </c>
      <c r="H44" s="5"/>
      <c r="I44" s="2" t="s">
        <v>42</v>
      </c>
      <c r="J44" s="2" t="s">
        <v>1541</v>
      </c>
      <c r="K44" t="s">
        <v>83</v>
      </c>
      <c r="L44" s="12">
        <f>MIS_Report!$B$2-F44</f>
        <v>18</v>
      </c>
      <c r="M44" t="str" cm="1">
        <f t="array" ref="M44">_xlfn.IFS(L44&lt;=30,"0-30",L44&lt;=60,"31-60",L44&lt;=90,"61-90",TRUE,"90+")</f>
        <v>0-30</v>
      </c>
      <c r="N44">
        <f t="shared" si="1"/>
        <v>7725</v>
      </c>
      <c r="O44" t="str">
        <f>VLOOKUP(K44,Agents!$A$1:$C$11,2,0)</f>
        <v>Deepak Nair</v>
      </c>
      <c r="P44">
        <f t="shared" si="0"/>
        <v>0</v>
      </c>
    </row>
    <row r="45" spans="1:16" x14ac:dyDescent="0.25">
      <c r="A45" s="2" t="s">
        <v>143</v>
      </c>
      <c r="B45" s="2" t="s">
        <v>144</v>
      </c>
      <c r="C45" s="2" t="s">
        <v>79</v>
      </c>
      <c r="D45" s="2" t="s">
        <v>61</v>
      </c>
      <c r="E45" s="4">
        <v>46142</v>
      </c>
      <c r="F45" s="4">
        <v>46154</v>
      </c>
      <c r="G45" s="5">
        <v>10050</v>
      </c>
      <c r="H45" s="5"/>
      <c r="I45" s="2" t="s">
        <v>42</v>
      </c>
      <c r="J45" s="2" t="s">
        <v>1541</v>
      </c>
      <c r="K45" t="s">
        <v>33</v>
      </c>
      <c r="L45" s="12">
        <f>MIS_Report!$B$2-F45</f>
        <v>156</v>
      </c>
      <c r="M45" t="str" cm="1">
        <f t="array" ref="M45">_xlfn.IFS(L45&lt;=30,"0-30",L45&lt;=60,"31-60",L45&lt;=90,"61-90",TRUE,"90+")</f>
        <v>90+</v>
      </c>
      <c r="N45">
        <f t="shared" si="1"/>
        <v>10050</v>
      </c>
      <c r="O45" t="str">
        <f>VLOOKUP(K45,Agents!$A$1:$C$11,2,0)</f>
        <v>Manish Arora</v>
      </c>
      <c r="P45">
        <f t="shared" si="0"/>
        <v>0</v>
      </c>
    </row>
    <row r="46" spans="1:16" x14ac:dyDescent="0.25">
      <c r="A46" s="2" t="s">
        <v>146</v>
      </c>
      <c r="B46" s="2" t="s">
        <v>147</v>
      </c>
      <c r="C46" s="2" t="s">
        <v>36</v>
      </c>
      <c r="D46" s="2" t="s">
        <v>30</v>
      </c>
      <c r="E46" s="4">
        <v>46280</v>
      </c>
      <c r="F46" s="4">
        <v>46291</v>
      </c>
      <c r="G46" s="5">
        <v>14950</v>
      </c>
      <c r="H46" s="5"/>
      <c r="I46" s="2" t="s">
        <v>42</v>
      </c>
      <c r="J46" s="2" t="s">
        <v>1541</v>
      </c>
      <c r="K46" t="s">
        <v>109</v>
      </c>
      <c r="L46" s="12">
        <f>MIS_Report!$B$2-F46</f>
        <v>19</v>
      </c>
      <c r="M46" t="str" cm="1">
        <f t="array" ref="M46">_xlfn.IFS(L46&lt;=30,"0-30",L46&lt;=60,"31-60",L46&lt;=90,"61-90",TRUE,"90+")</f>
        <v>0-30</v>
      </c>
      <c r="N46">
        <f t="shared" si="1"/>
        <v>14950</v>
      </c>
      <c r="O46" t="str">
        <f>VLOOKUP(K46,Agents!$A$1:$C$11,2,0)</f>
        <v>Deepak Nair</v>
      </c>
      <c r="P46">
        <f t="shared" si="0"/>
        <v>0</v>
      </c>
    </row>
    <row r="47" spans="1:16" x14ac:dyDescent="0.25">
      <c r="A47" s="2" t="s">
        <v>149</v>
      </c>
      <c r="B47" s="2" t="s">
        <v>150</v>
      </c>
      <c r="C47" s="2" t="s">
        <v>29</v>
      </c>
      <c r="D47" s="2" t="s">
        <v>30</v>
      </c>
      <c r="E47" s="4">
        <v>46213</v>
      </c>
      <c r="F47" s="4">
        <v>46216</v>
      </c>
      <c r="G47" s="5">
        <v>14075</v>
      </c>
      <c r="H47" s="5"/>
      <c r="I47" s="2" t="s">
        <v>42</v>
      </c>
      <c r="J47" s="2" t="s">
        <v>1541</v>
      </c>
      <c r="K47" t="s">
        <v>109</v>
      </c>
      <c r="L47" s="12">
        <f>MIS_Report!$B$2-F47</f>
        <v>94</v>
      </c>
      <c r="M47" t="str" cm="1">
        <f t="array" ref="M47">_xlfn.IFS(L47&lt;=30,"0-30",L47&lt;=60,"31-60",L47&lt;=90,"61-90",TRUE,"90+")</f>
        <v>90+</v>
      </c>
      <c r="N47">
        <f t="shared" si="1"/>
        <v>14075</v>
      </c>
      <c r="O47" t="str">
        <f>VLOOKUP(K47,Agents!$A$1:$C$11,2,0)</f>
        <v>Deepak Nair</v>
      </c>
      <c r="P47">
        <f t="shared" si="0"/>
        <v>0</v>
      </c>
    </row>
    <row r="48" spans="1:16" x14ac:dyDescent="0.25">
      <c r="A48" s="2" t="s">
        <v>151</v>
      </c>
      <c r="B48" s="2" t="s">
        <v>152</v>
      </c>
      <c r="C48" s="2" t="s">
        <v>29</v>
      </c>
      <c r="D48" s="2" t="s">
        <v>61</v>
      </c>
      <c r="E48" s="4">
        <v>46067</v>
      </c>
      <c r="F48" s="4">
        <v>46085</v>
      </c>
      <c r="G48" s="5">
        <v>2675</v>
      </c>
      <c r="H48" s="5">
        <v>2119.73</v>
      </c>
      <c r="I48" s="2" t="s">
        <v>37</v>
      </c>
      <c r="J48" s="2" t="s">
        <v>1541</v>
      </c>
      <c r="K48" t="s">
        <v>65</v>
      </c>
      <c r="L48" s="12">
        <f>MIS_Report!$B$2-F48</f>
        <v>225</v>
      </c>
      <c r="M48" t="str" cm="1">
        <f t="array" ref="M48">_xlfn.IFS(L48&lt;=30,"0-30",L48&lt;=60,"31-60",L48&lt;=90,"61-90",TRUE,"90+")</f>
        <v>90+</v>
      </c>
      <c r="N48">
        <f t="shared" si="1"/>
        <v>0</v>
      </c>
      <c r="O48" t="str">
        <f>VLOOKUP(K48,Agents!$A$1:$C$11,2,0)</f>
        <v>Deepak Nair</v>
      </c>
      <c r="P48">
        <f t="shared" si="0"/>
        <v>0</v>
      </c>
    </row>
    <row r="49" spans="1:16" x14ac:dyDescent="0.25">
      <c r="A49" s="2" t="s">
        <v>153</v>
      </c>
      <c r="B49" s="2" t="s">
        <v>154</v>
      </c>
      <c r="C49" s="2" t="s">
        <v>29</v>
      </c>
      <c r="D49" s="2" t="s">
        <v>30</v>
      </c>
      <c r="E49" s="4">
        <v>46268</v>
      </c>
      <c r="F49" s="4">
        <v>46275</v>
      </c>
      <c r="G49" s="5">
        <v>8975</v>
      </c>
      <c r="H49" s="5"/>
      <c r="I49" s="2" t="s">
        <v>42</v>
      </c>
      <c r="J49" s="2" t="s">
        <v>1541</v>
      </c>
      <c r="K49" t="s">
        <v>48</v>
      </c>
      <c r="L49" s="12">
        <f>MIS_Report!$B$2-F49</f>
        <v>35</v>
      </c>
      <c r="M49" t="str" cm="1">
        <f t="array" ref="M49">_xlfn.IFS(L49&lt;=30,"0-30",L49&lt;=60,"31-60",L49&lt;=90,"61-90",TRUE,"90+")</f>
        <v>31-60</v>
      </c>
      <c r="N49">
        <f t="shared" si="1"/>
        <v>8975</v>
      </c>
      <c r="O49" t="str">
        <f>VLOOKUP(K49,Agents!$A$1:$C$11,2,0)</f>
        <v>Manish Arora</v>
      </c>
      <c r="P49">
        <f t="shared" si="0"/>
        <v>0</v>
      </c>
    </row>
    <row r="50" spans="1:16" x14ac:dyDescent="0.25">
      <c r="A50" s="2" t="s">
        <v>155</v>
      </c>
      <c r="B50" s="2" t="s">
        <v>156</v>
      </c>
      <c r="C50" s="2" t="s">
        <v>36</v>
      </c>
      <c r="D50" s="2" t="s">
        <v>41</v>
      </c>
      <c r="E50" s="4">
        <v>46105</v>
      </c>
      <c r="F50" s="4">
        <v>46121</v>
      </c>
      <c r="G50" s="5">
        <v>1050</v>
      </c>
      <c r="H50" s="5"/>
      <c r="I50" s="2" t="s">
        <v>42</v>
      </c>
      <c r="J50" s="2" t="s">
        <v>1541</v>
      </c>
      <c r="K50" t="s">
        <v>33</v>
      </c>
      <c r="L50" s="12">
        <f>MIS_Report!$B$2-F50</f>
        <v>189</v>
      </c>
      <c r="M50" t="str" cm="1">
        <f t="array" ref="M50">_xlfn.IFS(L50&lt;=30,"0-30",L50&lt;=60,"31-60",L50&lt;=90,"61-90",TRUE,"90+")</f>
        <v>90+</v>
      </c>
      <c r="N50">
        <f t="shared" si="1"/>
        <v>1050</v>
      </c>
      <c r="O50" t="str">
        <f>VLOOKUP(K50,Agents!$A$1:$C$11,2,0)</f>
        <v>Manish Arora</v>
      </c>
      <c r="P50">
        <f t="shared" si="0"/>
        <v>0</v>
      </c>
    </row>
    <row r="51" spans="1:16" x14ac:dyDescent="0.25">
      <c r="A51" s="2" t="s">
        <v>157</v>
      </c>
      <c r="B51" s="2" t="s">
        <v>158</v>
      </c>
      <c r="C51" s="2" t="s">
        <v>29</v>
      </c>
      <c r="D51" s="2" t="s">
        <v>68</v>
      </c>
      <c r="E51" s="4">
        <v>46136</v>
      </c>
      <c r="F51" s="4">
        <v>46139</v>
      </c>
      <c r="G51" s="5">
        <v>7550</v>
      </c>
      <c r="H51" s="5">
        <v>6258.16</v>
      </c>
      <c r="I51" s="2" t="s">
        <v>37</v>
      </c>
      <c r="J51" s="2" t="s">
        <v>1541</v>
      </c>
      <c r="K51" t="s">
        <v>48</v>
      </c>
      <c r="L51" s="12">
        <f>MIS_Report!$B$2-F51</f>
        <v>171</v>
      </c>
      <c r="M51" t="str" cm="1">
        <f t="array" ref="M51">_xlfn.IFS(L51&lt;=30,"0-30",L51&lt;=60,"31-60",L51&lt;=90,"61-90",TRUE,"90+")</f>
        <v>90+</v>
      </c>
      <c r="N51">
        <f t="shared" si="1"/>
        <v>0</v>
      </c>
      <c r="O51" t="str">
        <f>VLOOKUP(K51,Agents!$A$1:$C$11,2,0)</f>
        <v>Manish Arora</v>
      </c>
      <c r="P51">
        <f t="shared" si="0"/>
        <v>0</v>
      </c>
    </row>
    <row r="52" spans="1:16" x14ac:dyDescent="0.25">
      <c r="A52" s="2" t="s">
        <v>159</v>
      </c>
      <c r="B52" s="2" t="s">
        <v>160</v>
      </c>
      <c r="C52" s="2" t="s">
        <v>29</v>
      </c>
      <c r="D52" s="2" t="s">
        <v>41</v>
      </c>
      <c r="E52" s="4">
        <v>46273</v>
      </c>
      <c r="F52" s="4">
        <v>46284</v>
      </c>
      <c r="G52" s="5">
        <v>5350</v>
      </c>
      <c r="H52" s="5"/>
      <c r="I52" s="2" t="s">
        <v>42</v>
      </c>
      <c r="J52" s="2" t="s">
        <v>1541</v>
      </c>
      <c r="K52" t="s">
        <v>38</v>
      </c>
      <c r="L52" s="12">
        <f>MIS_Report!$B$2-F52</f>
        <v>26</v>
      </c>
      <c r="M52" t="str" cm="1">
        <f t="array" ref="M52">_xlfn.IFS(L52&lt;=30,"0-30",L52&lt;=60,"31-60",L52&lt;=90,"61-90",TRUE,"90+")</f>
        <v>0-30</v>
      </c>
      <c r="N52">
        <f t="shared" si="1"/>
        <v>5350</v>
      </c>
      <c r="O52" t="str">
        <f>VLOOKUP(K52,Agents!$A$1:$C$11,2,0)</f>
        <v>Sunita Rao</v>
      </c>
      <c r="P52">
        <f t="shared" si="0"/>
        <v>0</v>
      </c>
    </row>
    <row r="53" spans="1:16" x14ac:dyDescent="0.25">
      <c r="A53" s="2" t="s">
        <v>161</v>
      </c>
      <c r="B53" s="2" t="s">
        <v>162</v>
      </c>
      <c r="C53" s="2" t="s">
        <v>79</v>
      </c>
      <c r="D53" s="2" t="s">
        <v>80</v>
      </c>
      <c r="E53" s="4">
        <v>46286</v>
      </c>
      <c r="F53" s="4">
        <v>46294</v>
      </c>
      <c r="G53" s="5">
        <v>14075</v>
      </c>
      <c r="H53" s="5">
        <v>11785.14</v>
      </c>
      <c r="I53" s="2" t="s">
        <v>37</v>
      </c>
      <c r="J53" s="2" t="s">
        <v>1541</v>
      </c>
      <c r="K53" t="s">
        <v>109</v>
      </c>
      <c r="L53" s="12">
        <f>MIS_Report!$B$2-F53</f>
        <v>16</v>
      </c>
      <c r="M53" t="str" cm="1">
        <f t="array" ref="M53">_xlfn.IFS(L53&lt;=30,"0-30",L53&lt;=60,"31-60",L53&lt;=90,"61-90",TRUE,"90+")</f>
        <v>0-30</v>
      </c>
      <c r="N53">
        <f t="shared" si="1"/>
        <v>0</v>
      </c>
      <c r="O53" t="str">
        <f>VLOOKUP(K53,Agents!$A$1:$C$11,2,0)</f>
        <v>Deepak Nair</v>
      </c>
      <c r="P53">
        <f t="shared" si="0"/>
        <v>0</v>
      </c>
    </row>
    <row r="54" spans="1:16" x14ac:dyDescent="0.25">
      <c r="A54" s="2" t="s">
        <v>163</v>
      </c>
      <c r="B54" s="2" t="s">
        <v>164</v>
      </c>
      <c r="C54" s="2" t="s">
        <v>46</v>
      </c>
      <c r="D54" s="2" t="s">
        <v>94</v>
      </c>
      <c r="E54" s="4">
        <v>46082</v>
      </c>
      <c r="F54" s="4">
        <v>46092</v>
      </c>
      <c r="G54" s="5">
        <v>9175</v>
      </c>
      <c r="H54" s="5"/>
      <c r="I54" s="2" t="s">
        <v>42</v>
      </c>
      <c r="J54" s="2" t="s">
        <v>1541</v>
      </c>
      <c r="K54" t="s">
        <v>43</v>
      </c>
      <c r="L54" s="12">
        <f>MIS_Report!$B$2-F54</f>
        <v>218</v>
      </c>
      <c r="M54" t="str" cm="1">
        <f t="array" ref="M54">_xlfn.IFS(L54&lt;=30,"0-30",L54&lt;=60,"31-60",L54&lt;=90,"61-90",TRUE,"90+")</f>
        <v>90+</v>
      </c>
      <c r="N54">
        <f t="shared" si="1"/>
        <v>9175</v>
      </c>
      <c r="O54" t="str">
        <f>VLOOKUP(K54,Agents!$A$1:$C$11,2,0)</f>
        <v>Manish Arora</v>
      </c>
      <c r="P54">
        <f t="shared" si="0"/>
        <v>0</v>
      </c>
    </row>
    <row r="55" spans="1:16" x14ac:dyDescent="0.25">
      <c r="A55" s="2" t="s">
        <v>165</v>
      </c>
      <c r="B55" s="2" t="s">
        <v>166</v>
      </c>
      <c r="C55" s="2" t="s">
        <v>29</v>
      </c>
      <c r="D55" s="2" t="s">
        <v>41</v>
      </c>
      <c r="E55" s="4">
        <v>46125</v>
      </c>
      <c r="F55" s="4">
        <v>46134</v>
      </c>
      <c r="G55" s="5">
        <v>2775</v>
      </c>
      <c r="H55" s="5">
        <v>2433.56</v>
      </c>
      <c r="I55" s="2" t="s">
        <v>37</v>
      </c>
      <c r="J55" s="2" t="s">
        <v>1541</v>
      </c>
      <c r="K55" t="s">
        <v>38</v>
      </c>
      <c r="L55" s="12">
        <f>MIS_Report!$B$2-F55</f>
        <v>176</v>
      </c>
      <c r="M55" t="str" cm="1">
        <f t="array" ref="M55">_xlfn.IFS(L55&lt;=30,"0-30",L55&lt;=60,"31-60",L55&lt;=90,"61-90",TRUE,"90+")</f>
        <v>90+</v>
      </c>
      <c r="N55">
        <f t="shared" si="1"/>
        <v>0</v>
      </c>
      <c r="O55" t="str">
        <f>VLOOKUP(K55,Agents!$A$1:$C$11,2,0)</f>
        <v>Sunita Rao</v>
      </c>
      <c r="P55">
        <f t="shared" si="0"/>
        <v>0</v>
      </c>
    </row>
    <row r="56" spans="1:16" x14ac:dyDescent="0.25">
      <c r="A56" s="2" t="s">
        <v>167</v>
      </c>
      <c r="B56" s="2" t="s">
        <v>168</v>
      </c>
      <c r="C56" s="2" t="s">
        <v>46</v>
      </c>
      <c r="D56" s="2" t="s">
        <v>94</v>
      </c>
      <c r="E56" s="4">
        <v>46078</v>
      </c>
      <c r="F56" s="4">
        <v>46087</v>
      </c>
      <c r="G56" s="5">
        <v>10600</v>
      </c>
      <c r="H56" s="5">
        <v>6288.19</v>
      </c>
      <c r="I56" s="2" t="s">
        <v>37</v>
      </c>
      <c r="J56" s="2" t="s">
        <v>1541</v>
      </c>
      <c r="K56" t="s">
        <v>52</v>
      </c>
      <c r="L56" s="12">
        <f>MIS_Report!$B$2-F56</f>
        <v>223</v>
      </c>
      <c r="M56" t="str" cm="1">
        <f t="array" ref="M56">_xlfn.IFS(L56&lt;=30,"0-30",L56&lt;=60,"31-60",L56&lt;=90,"61-90",TRUE,"90+")</f>
        <v>90+</v>
      </c>
      <c r="N56">
        <f t="shared" si="1"/>
        <v>0</v>
      </c>
      <c r="O56" t="str">
        <f>VLOOKUP(K56,Agents!$A$1:$C$11,2,0)</f>
        <v>Sunita Rao</v>
      </c>
      <c r="P56">
        <f t="shared" si="0"/>
        <v>0</v>
      </c>
    </row>
    <row r="57" spans="1:16" x14ac:dyDescent="0.25">
      <c r="A57" s="2" t="s">
        <v>169</v>
      </c>
      <c r="B57" s="2" t="s">
        <v>170</v>
      </c>
      <c r="C57" s="2" t="s">
        <v>29</v>
      </c>
      <c r="D57" s="2" t="s">
        <v>41</v>
      </c>
      <c r="E57" s="4">
        <v>46063</v>
      </c>
      <c r="F57" s="4">
        <v>46082</v>
      </c>
      <c r="G57" s="5">
        <v>9075</v>
      </c>
      <c r="H57" s="5">
        <v>5763.11</v>
      </c>
      <c r="I57" s="2" t="s">
        <v>37</v>
      </c>
      <c r="J57" s="2" t="s">
        <v>1541</v>
      </c>
      <c r="K57" t="s">
        <v>56</v>
      </c>
      <c r="L57" s="12">
        <f>MIS_Report!$B$2-F57</f>
        <v>228</v>
      </c>
      <c r="M57" t="str" cm="1">
        <f t="array" ref="M57">_xlfn.IFS(L57&lt;=30,"0-30",L57&lt;=60,"31-60",L57&lt;=90,"61-90",TRUE,"90+")</f>
        <v>90+</v>
      </c>
      <c r="N57">
        <f t="shared" si="1"/>
        <v>0</v>
      </c>
      <c r="O57" t="str">
        <f>VLOOKUP(K57,Agents!$A$1:$C$11,2,0)</f>
        <v>Manish Arora</v>
      </c>
      <c r="P57">
        <f t="shared" si="0"/>
        <v>0</v>
      </c>
    </row>
    <row r="58" spans="1:16" x14ac:dyDescent="0.25">
      <c r="A58" s="2" t="s">
        <v>171</v>
      </c>
      <c r="B58" s="2" t="s">
        <v>172</v>
      </c>
      <c r="C58" s="2" t="s">
        <v>46</v>
      </c>
      <c r="D58" s="2" t="s">
        <v>94</v>
      </c>
      <c r="E58" s="4">
        <v>46268</v>
      </c>
      <c r="F58" s="4">
        <v>46286</v>
      </c>
      <c r="G58" s="5">
        <v>4050</v>
      </c>
      <c r="H58" s="5">
        <v>2541.87</v>
      </c>
      <c r="I58" s="2" t="s">
        <v>37</v>
      </c>
      <c r="J58" s="2" t="s">
        <v>1541</v>
      </c>
      <c r="K58" t="s">
        <v>48</v>
      </c>
      <c r="L58" s="12">
        <f>MIS_Report!$B$2-F58</f>
        <v>24</v>
      </c>
      <c r="M58" t="str" cm="1">
        <f t="array" ref="M58">_xlfn.IFS(L58&lt;=30,"0-30",L58&lt;=60,"31-60",L58&lt;=90,"61-90",TRUE,"90+")</f>
        <v>0-30</v>
      </c>
      <c r="N58">
        <f t="shared" si="1"/>
        <v>0</v>
      </c>
      <c r="O58" t="str">
        <f>VLOOKUP(K58,Agents!$A$1:$C$11,2,0)</f>
        <v>Manish Arora</v>
      </c>
      <c r="P58">
        <f t="shared" si="0"/>
        <v>0</v>
      </c>
    </row>
    <row r="59" spans="1:16" x14ac:dyDescent="0.25">
      <c r="A59" s="2" t="s">
        <v>173</v>
      </c>
      <c r="B59" s="2" t="s">
        <v>174</v>
      </c>
      <c r="C59" s="2" t="s">
        <v>46</v>
      </c>
      <c r="D59" s="2" t="s">
        <v>55</v>
      </c>
      <c r="E59" s="4">
        <v>46047</v>
      </c>
      <c r="F59" s="4">
        <v>46054</v>
      </c>
      <c r="G59" s="5">
        <v>12125</v>
      </c>
      <c r="H59" s="5">
        <v>8801.51</v>
      </c>
      <c r="I59" s="2" t="s">
        <v>37</v>
      </c>
      <c r="J59" s="2" t="s">
        <v>1541</v>
      </c>
      <c r="K59" t="s">
        <v>109</v>
      </c>
      <c r="L59" s="12">
        <f>MIS_Report!$B$2-F59</f>
        <v>256</v>
      </c>
      <c r="M59" t="str" cm="1">
        <f t="array" ref="M59">_xlfn.IFS(L59&lt;=30,"0-30",L59&lt;=60,"31-60",L59&lt;=90,"61-90",TRUE,"90+")</f>
        <v>90+</v>
      </c>
      <c r="N59">
        <f t="shared" si="1"/>
        <v>0</v>
      </c>
      <c r="O59" t="str">
        <f>VLOOKUP(K59,Agents!$A$1:$C$11,2,0)</f>
        <v>Deepak Nair</v>
      </c>
      <c r="P59">
        <f t="shared" si="0"/>
        <v>0</v>
      </c>
    </row>
    <row r="60" spans="1:16" x14ac:dyDescent="0.25">
      <c r="A60" s="2" t="s">
        <v>175</v>
      </c>
      <c r="B60" s="2" t="s">
        <v>176</v>
      </c>
      <c r="C60" s="2" t="s">
        <v>29</v>
      </c>
      <c r="D60" s="2" t="s">
        <v>55</v>
      </c>
      <c r="E60" s="4">
        <v>46211</v>
      </c>
      <c r="F60" s="4">
        <v>46214</v>
      </c>
      <c r="G60" s="5">
        <v>1325</v>
      </c>
      <c r="H60" s="5"/>
      <c r="I60" s="2" t="s">
        <v>42</v>
      </c>
      <c r="J60" s="2" t="s">
        <v>1541</v>
      </c>
      <c r="K60" t="s">
        <v>52</v>
      </c>
      <c r="L60" s="12">
        <f>MIS_Report!$B$2-F60</f>
        <v>96</v>
      </c>
      <c r="M60" t="str" cm="1">
        <f t="array" ref="M60">_xlfn.IFS(L60&lt;=30,"0-30",L60&lt;=60,"31-60",L60&lt;=90,"61-90",TRUE,"90+")</f>
        <v>90+</v>
      </c>
      <c r="N60">
        <f t="shared" si="1"/>
        <v>1325</v>
      </c>
      <c r="O60" t="str">
        <f>VLOOKUP(K60,Agents!$A$1:$C$11,2,0)</f>
        <v>Sunita Rao</v>
      </c>
      <c r="P60">
        <f t="shared" si="0"/>
        <v>0</v>
      </c>
    </row>
    <row r="61" spans="1:16" x14ac:dyDescent="0.25">
      <c r="A61" s="2" t="s">
        <v>177</v>
      </c>
      <c r="B61" s="2" t="s">
        <v>178</v>
      </c>
      <c r="C61" s="2" t="s">
        <v>29</v>
      </c>
      <c r="D61" s="2" t="s">
        <v>30</v>
      </c>
      <c r="E61" s="4">
        <v>46221</v>
      </c>
      <c r="F61" s="4">
        <v>46230</v>
      </c>
      <c r="G61" s="5">
        <v>4525</v>
      </c>
      <c r="H61" s="5">
        <v>3147.88</v>
      </c>
      <c r="I61" s="2" t="s">
        <v>37</v>
      </c>
      <c r="J61" s="2" t="s">
        <v>1541</v>
      </c>
      <c r="K61" t="s">
        <v>43</v>
      </c>
      <c r="L61" s="12">
        <f>MIS_Report!$B$2-F61</f>
        <v>80</v>
      </c>
      <c r="M61" t="str" cm="1">
        <f t="array" ref="M61">_xlfn.IFS(L61&lt;=30,"0-30",L61&lt;=60,"31-60",L61&lt;=90,"61-90",TRUE,"90+")</f>
        <v>61-90</v>
      </c>
      <c r="N61">
        <f t="shared" si="1"/>
        <v>0</v>
      </c>
      <c r="O61" t="str">
        <f>VLOOKUP(K61,Agents!$A$1:$C$11,2,0)</f>
        <v>Manish Arora</v>
      </c>
      <c r="P61">
        <f t="shared" si="0"/>
        <v>0</v>
      </c>
    </row>
    <row r="62" spans="1:16" x14ac:dyDescent="0.25">
      <c r="A62" s="2" t="s">
        <v>179</v>
      </c>
      <c r="B62" s="2" t="s">
        <v>180</v>
      </c>
      <c r="C62" s="2" t="s">
        <v>79</v>
      </c>
      <c r="D62" s="2" t="s">
        <v>80</v>
      </c>
      <c r="E62" s="4">
        <v>46268</v>
      </c>
      <c r="F62" s="4">
        <v>46281</v>
      </c>
      <c r="G62" s="5">
        <v>6900</v>
      </c>
      <c r="H62" s="5"/>
      <c r="I62" s="2" t="s">
        <v>42</v>
      </c>
      <c r="J62" s="2" t="s">
        <v>1541</v>
      </c>
      <c r="K62" t="s">
        <v>38</v>
      </c>
      <c r="L62" s="12">
        <f>MIS_Report!$B$2-F62</f>
        <v>29</v>
      </c>
      <c r="M62" t="str" cm="1">
        <f t="array" ref="M62">_xlfn.IFS(L62&lt;=30,"0-30",L62&lt;=60,"31-60",L62&lt;=90,"61-90",TRUE,"90+")</f>
        <v>0-30</v>
      </c>
      <c r="N62">
        <f t="shared" si="1"/>
        <v>6900</v>
      </c>
      <c r="O62" t="str">
        <f>VLOOKUP(K62,Agents!$A$1:$C$11,2,0)</f>
        <v>Sunita Rao</v>
      </c>
      <c r="P62">
        <f t="shared" si="0"/>
        <v>0</v>
      </c>
    </row>
    <row r="63" spans="1:16" x14ac:dyDescent="0.25">
      <c r="A63" s="2" t="s">
        <v>182</v>
      </c>
      <c r="B63" s="2" t="s">
        <v>183</v>
      </c>
      <c r="C63" s="2" t="s">
        <v>79</v>
      </c>
      <c r="D63" s="2" t="s">
        <v>68</v>
      </c>
      <c r="E63" s="4">
        <v>46078</v>
      </c>
      <c r="F63" s="4">
        <v>46091</v>
      </c>
      <c r="G63" s="5">
        <v>14075</v>
      </c>
      <c r="H63" s="5">
        <v>12588.02</v>
      </c>
      <c r="I63" s="2" t="s">
        <v>37</v>
      </c>
      <c r="J63" s="2" t="s">
        <v>1541</v>
      </c>
      <c r="K63" t="s">
        <v>48</v>
      </c>
      <c r="L63" s="12">
        <f>MIS_Report!$B$2-F63</f>
        <v>219</v>
      </c>
      <c r="M63" t="str" cm="1">
        <f t="array" ref="M63">_xlfn.IFS(L63&lt;=30,"0-30",L63&lt;=60,"31-60",L63&lt;=90,"61-90",TRUE,"90+")</f>
        <v>90+</v>
      </c>
      <c r="N63">
        <f t="shared" si="1"/>
        <v>0</v>
      </c>
      <c r="O63" t="str">
        <f>VLOOKUP(K63,Agents!$A$1:$C$11,2,0)</f>
        <v>Manish Arora</v>
      </c>
      <c r="P63">
        <f t="shared" si="0"/>
        <v>0</v>
      </c>
    </row>
    <row r="64" spans="1:16" x14ac:dyDescent="0.25">
      <c r="A64" s="2" t="s">
        <v>184</v>
      </c>
      <c r="B64" s="2" t="s">
        <v>185</v>
      </c>
      <c r="C64" s="2" t="s">
        <v>36</v>
      </c>
      <c r="D64" s="2" t="s">
        <v>61</v>
      </c>
      <c r="E64" s="4">
        <v>46185</v>
      </c>
      <c r="F64" s="4">
        <v>46197</v>
      </c>
      <c r="G64" s="5">
        <v>12300</v>
      </c>
      <c r="H64" s="5">
        <v>0</v>
      </c>
      <c r="I64" s="2" t="s">
        <v>31</v>
      </c>
      <c r="J64" s="2" t="s">
        <v>72</v>
      </c>
      <c r="K64" t="s">
        <v>62</v>
      </c>
      <c r="L64" s="12">
        <f>MIS_Report!$B$2-F64</f>
        <v>113</v>
      </c>
      <c r="M64" t="str" cm="1">
        <f t="array" ref="M64">_xlfn.IFS(L64&lt;=30,"0-30",L64&lt;=60,"31-60",L64&lt;=90,"61-90",TRUE,"90+")</f>
        <v>90+</v>
      </c>
      <c r="N64">
        <f t="shared" si="1"/>
        <v>0</v>
      </c>
      <c r="O64" t="str">
        <f>VLOOKUP(K64,Agents!$A$1:$C$11,2,0)</f>
        <v>Sunita Rao</v>
      </c>
      <c r="P64">
        <f t="shared" si="0"/>
        <v>12300</v>
      </c>
    </row>
    <row r="65" spans="1:16" x14ac:dyDescent="0.25">
      <c r="A65" s="2" t="s">
        <v>186</v>
      </c>
      <c r="B65" s="2" t="s">
        <v>187</v>
      </c>
      <c r="C65" s="2" t="s">
        <v>79</v>
      </c>
      <c r="D65" s="2" t="s">
        <v>68</v>
      </c>
      <c r="E65" s="4">
        <v>46186</v>
      </c>
      <c r="F65" s="4">
        <v>46195</v>
      </c>
      <c r="G65" s="5">
        <v>10675</v>
      </c>
      <c r="H65" s="5">
        <v>7742.76</v>
      </c>
      <c r="I65" s="2" t="s">
        <v>37</v>
      </c>
      <c r="J65" s="2" t="s">
        <v>1541</v>
      </c>
      <c r="K65" t="s">
        <v>38</v>
      </c>
      <c r="L65" s="12">
        <f>MIS_Report!$B$2-F65</f>
        <v>115</v>
      </c>
      <c r="M65" t="str" cm="1">
        <f t="array" ref="M65">_xlfn.IFS(L65&lt;=30,"0-30",L65&lt;=60,"31-60",L65&lt;=90,"61-90",TRUE,"90+")</f>
        <v>90+</v>
      </c>
      <c r="N65">
        <f t="shared" si="1"/>
        <v>0</v>
      </c>
      <c r="O65" t="str">
        <f>VLOOKUP(K65,Agents!$A$1:$C$11,2,0)</f>
        <v>Sunita Rao</v>
      </c>
      <c r="P65">
        <f t="shared" si="0"/>
        <v>0</v>
      </c>
    </row>
    <row r="66" spans="1:16" x14ac:dyDescent="0.25">
      <c r="A66" s="2" t="s">
        <v>188</v>
      </c>
      <c r="B66" s="2" t="s">
        <v>189</v>
      </c>
      <c r="C66" s="2" t="s">
        <v>79</v>
      </c>
      <c r="D66" s="2" t="s">
        <v>68</v>
      </c>
      <c r="E66" s="4">
        <v>46028</v>
      </c>
      <c r="F66" s="4">
        <v>46034</v>
      </c>
      <c r="G66" s="5">
        <v>3050</v>
      </c>
      <c r="H66" s="5">
        <v>2228.64</v>
      </c>
      <c r="I66" s="2" t="s">
        <v>37</v>
      </c>
      <c r="J66" s="2" t="s">
        <v>1541</v>
      </c>
      <c r="K66" t="s">
        <v>56</v>
      </c>
      <c r="L66" s="12">
        <f>MIS_Report!$B$2-F66</f>
        <v>276</v>
      </c>
      <c r="M66" t="str" cm="1">
        <f t="array" ref="M66">_xlfn.IFS(L66&lt;=30,"0-30",L66&lt;=60,"31-60",L66&lt;=90,"61-90",TRUE,"90+")</f>
        <v>90+</v>
      </c>
      <c r="N66">
        <f t="shared" si="1"/>
        <v>0</v>
      </c>
      <c r="O66" t="str">
        <f>VLOOKUP(K66,Agents!$A$1:$C$11,2,0)</f>
        <v>Manish Arora</v>
      </c>
      <c r="P66">
        <f t="shared" si="0"/>
        <v>0</v>
      </c>
    </row>
    <row r="67" spans="1:16" x14ac:dyDescent="0.25">
      <c r="A67" s="2" t="s">
        <v>190</v>
      </c>
      <c r="B67" s="2" t="s">
        <v>191</v>
      </c>
      <c r="C67" s="2" t="s">
        <v>36</v>
      </c>
      <c r="D67" s="2" t="s">
        <v>30</v>
      </c>
      <c r="E67" s="4">
        <v>46062</v>
      </c>
      <c r="F67" s="4">
        <v>46073</v>
      </c>
      <c r="G67" s="5">
        <v>6700</v>
      </c>
      <c r="H67" s="5">
        <v>5314.57</v>
      </c>
      <c r="I67" s="2" t="s">
        <v>37</v>
      </c>
      <c r="J67" s="2" t="s">
        <v>1541</v>
      </c>
      <c r="K67" t="s">
        <v>48</v>
      </c>
      <c r="L67" s="12">
        <f>MIS_Report!$B$2-F67</f>
        <v>237</v>
      </c>
      <c r="M67" t="str" cm="1">
        <f t="array" ref="M67">_xlfn.IFS(L67&lt;=30,"0-30",L67&lt;=60,"31-60",L67&lt;=90,"61-90",TRUE,"90+")</f>
        <v>90+</v>
      </c>
      <c r="N67">
        <f t="shared" si="1"/>
        <v>0</v>
      </c>
      <c r="O67" t="str">
        <f>VLOOKUP(K67,Agents!$A$1:$C$11,2,0)</f>
        <v>Manish Arora</v>
      </c>
      <c r="P67">
        <f t="shared" ref="P67:P130" si="2">IF(I67="Denied",G67,0)</f>
        <v>0</v>
      </c>
    </row>
    <row r="68" spans="1:16" x14ac:dyDescent="0.25">
      <c r="A68" s="2" t="s">
        <v>192</v>
      </c>
      <c r="B68" s="2" t="s">
        <v>193</v>
      </c>
      <c r="C68" s="2" t="s">
        <v>36</v>
      </c>
      <c r="D68" s="2" t="s">
        <v>55</v>
      </c>
      <c r="E68" s="4">
        <v>46031</v>
      </c>
      <c r="F68" s="4">
        <v>46046</v>
      </c>
      <c r="G68" s="5">
        <v>4375</v>
      </c>
      <c r="H68" s="5">
        <v>0</v>
      </c>
      <c r="I68" s="2" t="s">
        <v>31</v>
      </c>
      <c r="J68" s="2" t="s">
        <v>116</v>
      </c>
      <c r="K68" t="s">
        <v>65</v>
      </c>
      <c r="L68" s="12">
        <f>MIS_Report!$B$2-F68</f>
        <v>264</v>
      </c>
      <c r="M68" t="str" cm="1">
        <f t="array" ref="M68">_xlfn.IFS(L68&lt;=30,"0-30",L68&lt;=60,"31-60",L68&lt;=90,"61-90",TRUE,"90+")</f>
        <v>90+</v>
      </c>
      <c r="N68">
        <f t="shared" si="1"/>
        <v>0</v>
      </c>
      <c r="O68" t="str">
        <f>VLOOKUP(K68,Agents!$A$1:$C$11,2,0)</f>
        <v>Deepak Nair</v>
      </c>
      <c r="P68">
        <f t="shared" si="2"/>
        <v>4375</v>
      </c>
    </row>
    <row r="69" spans="1:16" x14ac:dyDescent="0.25">
      <c r="A69" s="2" t="s">
        <v>194</v>
      </c>
      <c r="B69" s="2" t="s">
        <v>78</v>
      </c>
      <c r="C69" s="2" t="s">
        <v>46</v>
      </c>
      <c r="D69" s="2" t="s">
        <v>30</v>
      </c>
      <c r="E69" s="4">
        <v>46226</v>
      </c>
      <c r="F69" s="4">
        <v>46238</v>
      </c>
      <c r="G69" s="5">
        <v>13775</v>
      </c>
      <c r="H69" s="5">
        <v>10864.12</v>
      </c>
      <c r="I69" s="2" t="s">
        <v>37</v>
      </c>
      <c r="J69" s="2" t="s">
        <v>1541</v>
      </c>
      <c r="K69" t="s">
        <v>62</v>
      </c>
      <c r="L69" s="12">
        <f>MIS_Report!$B$2-F69</f>
        <v>72</v>
      </c>
      <c r="M69" t="str" cm="1">
        <f t="array" ref="M69">_xlfn.IFS(L69&lt;=30,"0-30",L69&lt;=60,"31-60",L69&lt;=90,"61-90",TRUE,"90+")</f>
        <v>61-90</v>
      </c>
      <c r="N69">
        <f t="shared" ref="N69:N132" si="3">IF(I69="Pending",G69-H69,0)</f>
        <v>0</v>
      </c>
      <c r="O69" t="str">
        <f>VLOOKUP(K69,Agents!$A$1:$C$11,2,0)</f>
        <v>Sunita Rao</v>
      </c>
      <c r="P69">
        <f t="shared" si="2"/>
        <v>0</v>
      </c>
    </row>
    <row r="70" spans="1:16" x14ac:dyDescent="0.25">
      <c r="A70" s="2" t="s">
        <v>196</v>
      </c>
      <c r="B70" s="2" t="s">
        <v>197</v>
      </c>
      <c r="C70" s="2" t="s">
        <v>29</v>
      </c>
      <c r="D70" s="2" t="s">
        <v>41</v>
      </c>
      <c r="E70" s="4">
        <v>46171</v>
      </c>
      <c r="F70" s="4">
        <v>46174</v>
      </c>
      <c r="G70" s="5">
        <v>650</v>
      </c>
      <c r="H70" s="5">
        <v>542.65</v>
      </c>
      <c r="I70" s="2" t="s">
        <v>37</v>
      </c>
      <c r="J70" s="2" t="s">
        <v>1541</v>
      </c>
      <c r="K70" t="s">
        <v>52</v>
      </c>
      <c r="L70" s="12">
        <f>MIS_Report!$B$2-F70</f>
        <v>136</v>
      </c>
      <c r="M70" t="str" cm="1">
        <f t="array" ref="M70">_xlfn.IFS(L70&lt;=30,"0-30",L70&lt;=60,"31-60",L70&lt;=90,"61-90",TRUE,"90+")</f>
        <v>90+</v>
      </c>
      <c r="N70">
        <f t="shared" si="3"/>
        <v>0</v>
      </c>
      <c r="O70" t="str">
        <f>VLOOKUP(K70,Agents!$A$1:$C$11,2,0)</f>
        <v>Sunita Rao</v>
      </c>
      <c r="P70">
        <f t="shared" si="2"/>
        <v>0</v>
      </c>
    </row>
    <row r="71" spans="1:16" x14ac:dyDescent="0.25">
      <c r="A71" s="2" t="s">
        <v>198</v>
      </c>
      <c r="B71" s="2" t="s">
        <v>199</v>
      </c>
      <c r="C71" s="2" t="s">
        <v>46</v>
      </c>
      <c r="D71" s="2" t="s">
        <v>71</v>
      </c>
      <c r="E71" s="4">
        <v>46222</v>
      </c>
      <c r="F71" s="4">
        <v>46226</v>
      </c>
      <c r="G71" s="5">
        <v>8450</v>
      </c>
      <c r="H71" s="5">
        <v>0</v>
      </c>
      <c r="I71" s="2" t="s">
        <v>31</v>
      </c>
      <c r="J71" s="2" t="s">
        <v>47</v>
      </c>
      <c r="K71" t="s">
        <v>43</v>
      </c>
      <c r="L71" s="12">
        <f>MIS_Report!$B$2-F71</f>
        <v>84</v>
      </c>
      <c r="M71" t="str" cm="1">
        <f t="array" ref="M71">_xlfn.IFS(L71&lt;=30,"0-30",L71&lt;=60,"31-60",L71&lt;=90,"61-90",TRUE,"90+")</f>
        <v>61-90</v>
      </c>
      <c r="N71">
        <f t="shared" si="3"/>
        <v>0</v>
      </c>
      <c r="O71" t="str">
        <f>VLOOKUP(K71,Agents!$A$1:$C$11,2,0)</f>
        <v>Manish Arora</v>
      </c>
      <c r="P71">
        <f t="shared" si="2"/>
        <v>8450</v>
      </c>
    </row>
    <row r="72" spans="1:16" x14ac:dyDescent="0.25">
      <c r="A72" s="2" t="s">
        <v>200</v>
      </c>
      <c r="B72" s="2" t="s">
        <v>201</v>
      </c>
      <c r="C72" s="2" t="s">
        <v>29</v>
      </c>
      <c r="D72" s="2" t="s">
        <v>41</v>
      </c>
      <c r="E72" s="4">
        <v>46027</v>
      </c>
      <c r="F72" s="4">
        <v>46046</v>
      </c>
      <c r="G72" s="5">
        <v>2800</v>
      </c>
      <c r="H72" s="5"/>
      <c r="I72" s="2" t="s">
        <v>42</v>
      </c>
      <c r="J72" s="2" t="s">
        <v>1541</v>
      </c>
      <c r="K72" t="s">
        <v>43</v>
      </c>
      <c r="L72" s="12">
        <f>MIS_Report!$B$2-F72</f>
        <v>264</v>
      </c>
      <c r="M72" t="str" cm="1">
        <f t="array" ref="M72">_xlfn.IFS(L72&lt;=30,"0-30",L72&lt;=60,"31-60",L72&lt;=90,"61-90",TRUE,"90+")</f>
        <v>90+</v>
      </c>
      <c r="N72">
        <f t="shared" si="3"/>
        <v>2800</v>
      </c>
      <c r="O72" t="str">
        <f>VLOOKUP(K72,Agents!$A$1:$C$11,2,0)</f>
        <v>Manish Arora</v>
      </c>
      <c r="P72">
        <f t="shared" si="2"/>
        <v>0</v>
      </c>
    </row>
    <row r="73" spans="1:16" x14ac:dyDescent="0.25">
      <c r="A73" s="2" t="s">
        <v>203</v>
      </c>
      <c r="B73" s="2" t="s">
        <v>204</v>
      </c>
      <c r="C73" s="2" t="s">
        <v>79</v>
      </c>
      <c r="D73" s="2" t="s">
        <v>41</v>
      </c>
      <c r="E73" s="4">
        <v>46077</v>
      </c>
      <c r="F73" s="4">
        <v>46081</v>
      </c>
      <c r="G73" s="5">
        <v>10975</v>
      </c>
      <c r="H73" s="5">
        <v>6293.34</v>
      </c>
      <c r="I73" s="2" t="s">
        <v>37</v>
      </c>
      <c r="J73" s="2" t="s">
        <v>1541</v>
      </c>
      <c r="K73" t="s">
        <v>65</v>
      </c>
      <c r="L73" s="12">
        <f>MIS_Report!$B$2-F73</f>
        <v>229</v>
      </c>
      <c r="M73" t="str" cm="1">
        <f t="array" ref="M73">_xlfn.IFS(L73&lt;=30,"0-30",L73&lt;=60,"31-60",L73&lt;=90,"61-90",TRUE,"90+")</f>
        <v>90+</v>
      </c>
      <c r="N73">
        <f t="shared" si="3"/>
        <v>0</v>
      </c>
      <c r="O73" t="str">
        <f>VLOOKUP(K73,Agents!$A$1:$C$11,2,0)</f>
        <v>Deepak Nair</v>
      </c>
      <c r="P73">
        <f t="shared" si="2"/>
        <v>0</v>
      </c>
    </row>
    <row r="74" spans="1:16" x14ac:dyDescent="0.25">
      <c r="A74" s="2" t="s">
        <v>205</v>
      </c>
      <c r="B74" s="2" t="s">
        <v>206</v>
      </c>
      <c r="C74" s="2" t="s">
        <v>79</v>
      </c>
      <c r="D74" s="2" t="s">
        <v>94</v>
      </c>
      <c r="E74" s="4">
        <v>46078</v>
      </c>
      <c r="F74" s="4">
        <v>46094</v>
      </c>
      <c r="G74" s="5">
        <v>11950</v>
      </c>
      <c r="H74" s="5">
        <v>10239.99</v>
      </c>
      <c r="I74" s="2" t="s">
        <v>37</v>
      </c>
      <c r="J74" s="2" t="s">
        <v>1541</v>
      </c>
      <c r="K74" t="s">
        <v>33</v>
      </c>
      <c r="L74" s="12">
        <f>MIS_Report!$B$2-F74</f>
        <v>216</v>
      </c>
      <c r="M74" t="str" cm="1">
        <f t="array" ref="M74">_xlfn.IFS(L74&lt;=30,"0-30",L74&lt;=60,"31-60",L74&lt;=90,"61-90",TRUE,"90+")</f>
        <v>90+</v>
      </c>
      <c r="N74">
        <f t="shared" si="3"/>
        <v>0</v>
      </c>
      <c r="O74" t="str">
        <f>VLOOKUP(K74,Agents!$A$1:$C$11,2,0)</f>
        <v>Manish Arora</v>
      </c>
      <c r="P74">
        <f t="shared" si="2"/>
        <v>0</v>
      </c>
    </row>
    <row r="75" spans="1:16" x14ac:dyDescent="0.25">
      <c r="A75" s="2" t="s">
        <v>207</v>
      </c>
      <c r="B75" s="2" t="s">
        <v>208</v>
      </c>
      <c r="C75" s="2" t="s">
        <v>46</v>
      </c>
      <c r="D75" s="2" t="s">
        <v>61</v>
      </c>
      <c r="E75" s="4">
        <v>46127</v>
      </c>
      <c r="F75" s="4">
        <v>46145</v>
      </c>
      <c r="G75" s="5">
        <v>3200</v>
      </c>
      <c r="H75" s="5">
        <v>2490.59</v>
      </c>
      <c r="I75" s="2" t="s">
        <v>37</v>
      </c>
      <c r="J75" s="2" t="s">
        <v>1541</v>
      </c>
      <c r="K75" t="s">
        <v>109</v>
      </c>
      <c r="L75" s="12">
        <f>MIS_Report!$B$2-F75</f>
        <v>165</v>
      </c>
      <c r="M75" t="str" cm="1">
        <f t="array" ref="M75">_xlfn.IFS(L75&lt;=30,"0-30",L75&lt;=60,"31-60",L75&lt;=90,"61-90",TRUE,"90+")</f>
        <v>90+</v>
      </c>
      <c r="N75">
        <f t="shared" si="3"/>
        <v>0</v>
      </c>
      <c r="O75" t="str">
        <f>VLOOKUP(K75,Agents!$A$1:$C$11,2,0)</f>
        <v>Deepak Nair</v>
      </c>
      <c r="P75">
        <f t="shared" si="2"/>
        <v>0</v>
      </c>
    </row>
    <row r="76" spans="1:16" x14ac:dyDescent="0.25">
      <c r="A76" s="2" t="s">
        <v>209</v>
      </c>
      <c r="B76" s="2" t="s">
        <v>210</v>
      </c>
      <c r="C76" s="2" t="s">
        <v>79</v>
      </c>
      <c r="D76" s="2" t="s">
        <v>80</v>
      </c>
      <c r="E76" s="4">
        <v>46109</v>
      </c>
      <c r="F76" s="4">
        <v>46120</v>
      </c>
      <c r="G76" s="5">
        <v>6425</v>
      </c>
      <c r="H76" s="5">
        <v>6366.37</v>
      </c>
      <c r="I76" s="2" t="s">
        <v>37</v>
      </c>
      <c r="J76" s="2" t="s">
        <v>1541</v>
      </c>
      <c r="K76" t="s">
        <v>56</v>
      </c>
      <c r="L76" s="12">
        <f>MIS_Report!$B$2-F76</f>
        <v>190</v>
      </c>
      <c r="M76" t="str" cm="1">
        <f t="array" ref="M76">_xlfn.IFS(L76&lt;=30,"0-30",L76&lt;=60,"31-60",L76&lt;=90,"61-90",TRUE,"90+")</f>
        <v>90+</v>
      </c>
      <c r="N76">
        <f t="shared" si="3"/>
        <v>0</v>
      </c>
      <c r="O76" t="str">
        <f>VLOOKUP(K76,Agents!$A$1:$C$11,2,0)</f>
        <v>Manish Arora</v>
      </c>
      <c r="P76">
        <f t="shared" si="2"/>
        <v>0</v>
      </c>
    </row>
    <row r="77" spans="1:16" x14ac:dyDescent="0.25">
      <c r="A77" s="2" t="s">
        <v>211</v>
      </c>
      <c r="B77" s="2" t="s">
        <v>212</v>
      </c>
      <c r="C77" s="2" t="s">
        <v>46</v>
      </c>
      <c r="D77" s="2" t="s">
        <v>41</v>
      </c>
      <c r="E77" s="4">
        <v>46051</v>
      </c>
      <c r="F77" s="4">
        <v>46054</v>
      </c>
      <c r="G77" s="5">
        <v>7225</v>
      </c>
      <c r="H77" s="5">
        <v>4097.4399999999996</v>
      </c>
      <c r="I77" s="2" t="s">
        <v>37</v>
      </c>
      <c r="J77" s="2" t="s">
        <v>1541</v>
      </c>
      <c r="K77" t="s">
        <v>48</v>
      </c>
      <c r="L77" s="12">
        <f>MIS_Report!$B$2-F77</f>
        <v>256</v>
      </c>
      <c r="M77" t="str" cm="1">
        <f t="array" ref="M77">_xlfn.IFS(L77&lt;=30,"0-30",L77&lt;=60,"31-60",L77&lt;=90,"61-90",TRUE,"90+")</f>
        <v>90+</v>
      </c>
      <c r="N77">
        <f t="shared" si="3"/>
        <v>0</v>
      </c>
      <c r="O77" t="str">
        <f>VLOOKUP(K77,Agents!$A$1:$C$11,2,0)</f>
        <v>Manish Arora</v>
      </c>
      <c r="P77">
        <f t="shared" si="2"/>
        <v>0</v>
      </c>
    </row>
    <row r="78" spans="1:16" x14ac:dyDescent="0.25">
      <c r="A78" s="2" t="s">
        <v>213</v>
      </c>
      <c r="B78" s="2" t="s">
        <v>214</v>
      </c>
      <c r="C78" s="2" t="s">
        <v>46</v>
      </c>
      <c r="D78" s="2" t="s">
        <v>61</v>
      </c>
      <c r="E78" s="4">
        <v>46085</v>
      </c>
      <c r="F78" s="4">
        <v>46105</v>
      </c>
      <c r="G78" s="5">
        <v>6300</v>
      </c>
      <c r="H78" s="5">
        <v>4821.7</v>
      </c>
      <c r="I78" s="2" t="s">
        <v>37</v>
      </c>
      <c r="J78" s="2" t="s">
        <v>1541</v>
      </c>
      <c r="K78" t="s">
        <v>33</v>
      </c>
      <c r="L78" s="12">
        <f>MIS_Report!$B$2-F78</f>
        <v>205</v>
      </c>
      <c r="M78" t="str" cm="1">
        <f t="array" ref="M78">_xlfn.IFS(L78&lt;=30,"0-30",L78&lt;=60,"31-60",L78&lt;=90,"61-90",TRUE,"90+")</f>
        <v>90+</v>
      </c>
      <c r="N78">
        <f t="shared" si="3"/>
        <v>0</v>
      </c>
      <c r="O78" t="str">
        <f>VLOOKUP(K78,Agents!$A$1:$C$11,2,0)</f>
        <v>Manish Arora</v>
      </c>
      <c r="P78">
        <f t="shared" si="2"/>
        <v>0</v>
      </c>
    </row>
    <row r="79" spans="1:16" x14ac:dyDescent="0.25">
      <c r="A79" s="2" t="s">
        <v>215</v>
      </c>
      <c r="B79" s="2" t="s">
        <v>216</v>
      </c>
      <c r="C79" s="2" t="s">
        <v>79</v>
      </c>
      <c r="D79" s="2" t="s">
        <v>55</v>
      </c>
      <c r="E79" s="4">
        <v>46055</v>
      </c>
      <c r="F79" s="4">
        <v>46061</v>
      </c>
      <c r="G79" s="5">
        <v>11750</v>
      </c>
      <c r="H79" s="5"/>
      <c r="I79" s="2" t="s">
        <v>42</v>
      </c>
      <c r="J79" s="2" t="s">
        <v>1541</v>
      </c>
      <c r="K79" t="s">
        <v>62</v>
      </c>
      <c r="L79" s="12">
        <f>MIS_Report!$B$2-F79</f>
        <v>249</v>
      </c>
      <c r="M79" t="str" cm="1">
        <f t="array" ref="M79">_xlfn.IFS(L79&lt;=30,"0-30",L79&lt;=60,"31-60",L79&lt;=90,"61-90",TRUE,"90+")</f>
        <v>90+</v>
      </c>
      <c r="N79">
        <f t="shared" si="3"/>
        <v>11750</v>
      </c>
      <c r="O79" t="str">
        <f>VLOOKUP(K79,Agents!$A$1:$C$11,2,0)</f>
        <v>Sunita Rao</v>
      </c>
      <c r="P79">
        <f t="shared" si="2"/>
        <v>0</v>
      </c>
    </row>
    <row r="80" spans="1:16" x14ac:dyDescent="0.25">
      <c r="A80" s="2" t="s">
        <v>217</v>
      </c>
      <c r="B80" s="2" t="s">
        <v>218</v>
      </c>
      <c r="C80" s="2" t="s">
        <v>79</v>
      </c>
      <c r="D80" s="2" t="s">
        <v>55</v>
      </c>
      <c r="E80" s="4">
        <v>46215</v>
      </c>
      <c r="F80" s="4">
        <v>46222</v>
      </c>
      <c r="G80" s="5">
        <v>9725</v>
      </c>
      <c r="H80" s="5">
        <v>0</v>
      </c>
      <c r="I80" s="2" t="s">
        <v>31</v>
      </c>
      <c r="J80" s="2" t="s">
        <v>47</v>
      </c>
      <c r="K80" t="s">
        <v>52</v>
      </c>
      <c r="L80" s="12">
        <f>MIS_Report!$B$2-F80</f>
        <v>88</v>
      </c>
      <c r="M80" t="str" cm="1">
        <f t="array" ref="M80">_xlfn.IFS(L80&lt;=30,"0-30",L80&lt;=60,"31-60",L80&lt;=90,"61-90",TRUE,"90+")</f>
        <v>61-90</v>
      </c>
      <c r="N80">
        <f t="shared" si="3"/>
        <v>0</v>
      </c>
      <c r="O80" t="str">
        <f>VLOOKUP(K80,Agents!$A$1:$C$11,2,0)</f>
        <v>Sunita Rao</v>
      </c>
      <c r="P80">
        <f t="shared" si="2"/>
        <v>9725</v>
      </c>
    </row>
    <row r="81" spans="1:16" x14ac:dyDescent="0.25">
      <c r="A81" s="2" t="s">
        <v>219</v>
      </c>
      <c r="B81" s="2" t="s">
        <v>220</v>
      </c>
      <c r="C81" s="2" t="s">
        <v>29</v>
      </c>
      <c r="D81" s="2" t="s">
        <v>61</v>
      </c>
      <c r="E81" s="4">
        <v>46055</v>
      </c>
      <c r="F81" s="4">
        <v>46072</v>
      </c>
      <c r="G81" s="5">
        <v>8575</v>
      </c>
      <c r="H81" s="5">
        <v>6893.42</v>
      </c>
      <c r="I81" s="2" t="s">
        <v>37</v>
      </c>
      <c r="J81" s="2" t="s">
        <v>1541</v>
      </c>
      <c r="K81" t="s">
        <v>56</v>
      </c>
      <c r="L81" s="12">
        <f>MIS_Report!$B$2-F81</f>
        <v>238</v>
      </c>
      <c r="M81" t="str" cm="1">
        <f t="array" ref="M81">_xlfn.IFS(L81&lt;=30,"0-30",L81&lt;=60,"31-60",L81&lt;=90,"61-90",TRUE,"90+")</f>
        <v>90+</v>
      </c>
      <c r="N81">
        <f t="shared" si="3"/>
        <v>0</v>
      </c>
      <c r="O81" t="str">
        <f>VLOOKUP(K81,Agents!$A$1:$C$11,2,0)</f>
        <v>Manish Arora</v>
      </c>
      <c r="P81">
        <f t="shared" si="2"/>
        <v>0</v>
      </c>
    </row>
    <row r="82" spans="1:16" x14ac:dyDescent="0.25">
      <c r="A82" s="2" t="s">
        <v>221</v>
      </c>
      <c r="B82" s="2" t="s">
        <v>222</v>
      </c>
      <c r="C82" s="2" t="s">
        <v>36</v>
      </c>
      <c r="D82" s="2" t="s">
        <v>68</v>
      </c>
      <c r="E82" s="4">
        <v>46049</v>
      </c>
      <c r="F82" s="4">
        <v>46061</v>
      </c>
      <c r="G82" s="5">
        <v>5750</v>
      </c>
      <c r="H82" s="5"/>
      <c r="I82" s="2" t="s">
        <v>42</v>
      </c>
      <c r="J82" s="2" t="s">
        <v>1541</v>
      </c>
      <c r="K82" t="s">
        <v>65</v>
      </c>
      <c r="L82" s="12">
        <f>MIS_Report!$B$2-F82</f>
        <v>249</v>
      </c>
      <c r="M82" t="str" cm="1">
        <f t="array" ref="M82">_xlfn.IFS(L82&lt;=30,"0-30",L82&lt;=60,"31-60",L82&lt;=90,"61-90",TRUE,"90+")</f>
        <v>90+</v>
      </c>
      <c r="N82">
        <f t="shared" si="3"/>
        <v>5750</v>
      </c>
      <c r="O82" t="str">
        <f>VLOOKUP(K82,Agents!$A$1:$C$11,2,0)</f>
        <v>Deepak Nair</v>
      </c>
      <c r="P82">
        <f t="shared" si="2"/>
        <v>0</v>
      </c>
    </row>
    <row r="83" spans="1:16" x14ac:dyDescent="0.25">
      <c r="A83" s="2" t="s">
        <v>223</v>
      </c>
      <c r="B83" s="2" t="s">
        <v>224</v>
      </c>
      <c r="C83" s="2" t="s">
        <v>36</v>
      </c>
      <c r="D83" s="2" t="s">
        <v>61</v>
      </c>
      <c r="E83" s="4">
        <v>46178</v>
      </c>
      <c r="F83" s="4">
        <v>46190</v>
      </c>
      <c r="G83" s="5">
        <v>3950</v>
      </c>
      <c r="H83" s="5">
        <v>2753.86</v>
      </c>
      <c r="I83" s="2" t="s">
        <v>37</v>
      </c>
      <c r="J83" s="2" t="s">
        <v>1541</v>
      </c>
      <c r="K83" t="s">
        <v>65</v>
      </c>
      <c r="L83" s="12">
        <f>MIS_Report!$B$2-F83</f>
        <v>120</v>
      </c>
      <c r="M83" t="str" cm="1">
        <f t="array" ref="M83">_xlfn.IFS(L83&lt;=30,"0-30",L83&lt;=60,"31-60",L83&lt;=90,"61-90",TRUE,"90+")</f>
        <v>90+</v>
      </c>
      <c r="N83">
        <f t="shared" si="3"/>
        <v>0</v>
      </c>
      <c r="O83" t="str">
        <f>VLOOKUP(K83,Agents!$A$1:$C$11,2,0)</f>
        <v>Deepak Nair</v>
      </c>
      <c r="P83">
        <f t="shared" si="2"/>
        <v>0</v>
      </c>
    </row>
    <row r="84" spans="1:16" x14ac:dyDescent="0.25">
      <c r="A84" s="2" t="s">
        <v>225</v>
      </c>
      <c r="B84" s="2" t="s">
        <v>226</v>
      </c>
      <c r="C84" s="2" t="s">
        <v>29</v>
      </c>
      <c r="D84" s="2" t="s">
        <v>61</v>
      </c>
      <c r="E84" s="4">
        <v>46148</v>
      </c>
      <c r="F84" s="4">
        <v>46165</v>
      </c>
      <c r="G84" s="5">
        <v>13850</v>
      </c>
      <c r="H84" s="5"/>
      <c r="I84" s="2" t="s">
        <v>42</v>
      </c>
      <c r="J84" s="2" t="s">
        <v>1541</v>
      </c>
      <c r="K84" t="s">
        <v>38</v>
      </c>
      <c r="L84" s="12">
        <f>MIS_Report!$B$2-F84</f>
        <v>145</v>
      </c>
      <c r="M84" t="str" cm="1">
        <f t="array" ref="M84">_xlfn.IFS(L84&lt;=30,"0-30",L84&lt;=60,"31-60",L84&lt;=90,"61-90",TRUE,"90+")</f>
        <v>90+</v>
      </c>
      <c r="N84">
        <f t="shared" si="3"/>
        <v>13850</v>
      </c>
      <c r="O84" t="str">
        <f>VLOOKUP(K84,Agents!$A$1:$C$11,2,0)</f>
        <v>Sunita Rao</v>
      </c>
      <c r="P84">
        <f t="shared" si="2"/>
        <v>0</v>
      </c>
    </row>
    <row r="85" spans="1:16" x14ac:dyDescent="0.25">
      <c r="A85" s="2" t="s">
        <v>227</v>
      </c>
      <c r="B85" s="2" t="s">
        <v>228</v>
      </c>
      <c r="C85" s="2" t="s">
        <v>36</v>
      </c>
      <c r="D85" s="2" t="s">
        <v>55</v>
      </c>
      <c r="E85" s="4">
        <v>46277</v>
      </c>
      <c r="F85" s="4">
        <v>46287</v>
      </c>
      <c r="G85" s="5">
        <v>2450</v>
      </c>
      <c r="H85" s="5"/>
      <c r="I85" s="2" t="s">
        <v>42</v>
      </c>
      <c r="J85" s="2" t="s">
        <v>1541</v>
      </c>
      <c r="K85" t="s">
        <v>38</v>
      </c>
      <c r="L85" s="12">
        <f>MIS_Report!$B$2-F85</f>
        <v>23</v>
      </c>
      <c r="M85" t="str" cm="1">
        <f t="array" ref="M85">_xlfn.IFS(L85&lt;=30,"0-30",L85&lt;=60,"31-60",L85&lt;=90,"61-90",TRUE,"90+")</f>
        <v>0-30</v>
      </c>
      <c r="N85">
        <f t="shared" si="3"/>
        <v>2450</v>
      </c>
      <c r="O85" t="str">
        <f>VLOOKUP(K85,Agents!$A$1:$C$11,2,0)</f>
        <v>Sunita Rao</v>
      </c>
      <c r="P85">
        <f t="shared" si="2"/>
        <v>0</v>
      </c>
    </row>
    <row r="86" spans="1:16" x14ac:dyDescent="0.25">
      <c r="A86" s="2" t="s">
        <v>229</v>
      </c>
      <c r="B86" s="2" t="s">
        <v>230</v>
      </c>
      <c r="C86" s="2" t="s">
        <v>79</v>
      </c>
      <c r="D86" s="2" t="s">
        <v>41</v>
      </c>
      <c r="E86" s="4">
        <v>46212</v>
      </c>
      <c r="F86" s="4">
        <v>46221</v>
      </c>
      <c r="G86" s="5">
        <v>14725</v>
      </c>
      <c r="H86" s="5">
        <v>9124.4</v>
      </c>
      <c r="I86" s="2" t="s">
        <v>37</v>
      </c>
      <c r="J86" s="2" t="s">
        <v>1541</v>
      </c>
      <c r="K86" t="s">
        <v>65</v>
      </c>
      <c r="L86" s="12">
        <f>MIS_Report!$B$2-F86</f>
        <v>89</v>
      </c>
      <c r="M86" t="str" cm="1">
        <f t="array" ref="M86">_xlfn.IFS(L86&lt;=30,"0-30",L86&lt;=60,"31-60",L86&lt;=90,"61-90",TRUE,"90+")</f>
        <v>61-90</v>
      </c>
      <c r="N86">
        <f t="shared" si="3"/>
        <v>0</v>
      </c>
      <c r="O86" t="str">
        <f>VLOOKUP(K86,Agents!$A$1:$C$11,2,0)</f>
        <v>Deepak Nair</v>
      </c>
      <c r="P86">
        <f t="shared" si="2"/>
        <v>0</v>
      </c>
    </row>
    <row r="87" spans="1:16" x14ac:dyDescent="0.25">
      <c r="A87" s="2" t="s">
        <v>231</v>
      </c>
      <c r="B87" s="2" t="s">
        <v>232</v>
      </c>
      <c r="C87" s="2" t="s">
        <v>36</v>
      </c>
      <c r="D87" s="2" t="s">
        <v>68</v>
      </c>
      <c r="E87" s="4">
        <v>46164</v>
      </c>
      <c r="F87" s="4">
        <v>46167</v>
      </c>
      <c r="G87" s="5">
        <v>5950</v>
      </c>
      <c r="H87" s="5">
        <v>4791.88</v>
      </c>
      <c r="I87" s="2" t="s">
        <v>37</v>
      </c>
      <c r="J87" s="2" t="s">
        <v>1541</v>
      </c>
      <c r="K87" t="s">
        <v>38</v>
      </c>
      <c r="L87" s="12">
        <f>MIS_Report!$B$2-F87</f>
        <v>143</v>
      </c>
      <c r="M87" t="str" cm="1">
        <f t="array" ref="M87">_xlfn.IFS(L87&lt;=30,"0-30",L87&lt;=60,"31-60",L87&lt;=90,"61-90",TRUE,"90+")</f>
        <v>90+</v>
      </c>
      <c r="N87">
        <f t="shared" si="3"/>
        <v>0</v>
      </c>
      <c r="O87" t="str">
        <f>VLOOKUP(K87,Agents!$A$1:$C$11,2,0)</f>
        <v>Sunita Rao</v>
      </c>
      <c r="P87">
        <f t="shared" si="2"/>
        <v>0</v>
      </c>
    </row>
    <row r="88" spans="1:16" x14ac:dyDescent="0.25">
      <c r="A88" s="2" t="s">
        <v>233</v>
      </c>
      <c r="B88" s="2" t="s">
        <v>98</v>
      </c>
      <c r="C88" s="2" t="s">
        <v>36</v>
      </c>
      <c r="D88" s="2" t="s">
        <v>94</v>
      </c>
      <c r="E88" s="4">
        <v>46035</v>
      </c>
      <c r="F88" s="4">
        <v>46055</v>
      </c>
      <c r="G88" s="5">
        <v>8100</v>
      </c>
      <c r="H88" s="5">
        <v>4752.7</v>
      </c>
      <c r="I88" s="2" t="s">
        <v>37</v>
      </c>
      <c r="J88" s="2" t="s">
        <v>1541</v>
      </c>
      <c r="K88" t="s">
        <v>48</v>
      </c>
      <c r="L88" s="12">
        <f>MIS_Report!$B$2-F88</f>
        <v>255</v>
      </c>
      <c r="M88" t="str" cm="1">
        <f t="array" ref="M88">_xlfn.IFS(L88&lt;=30,"0-30",L88&lt;=60,"31-60",L88&lt;=90,"61-90",TRUE,"90+")</f>
        <v>90+</v>
      </c>
      <c r="N88">
        <f t="shared" si="3"/>
        <v>0</v>
      </c>
      <c r="O88" t="str">
        <f>VLOOKUP(K88,Agents!$A$1:$C$11,2,0)</f>
        <v>Manish Arora</v>
      </c>
      <c r="P88">
        <f t="shared" si="2"/>
        <v>0</v>
      </c>
    </row>
    <row r="89" spans="1:16" x14ac:dyDescent="0.25">
      <c r="A89" s="2" t="s">
        <v>234</v>
      </c>
      <c r="B89" s="2" t="s">
        <v>235</v>
      </c>
      <c r="C89" s="2" t="s">
        <v>29</v>
      </c>
      <c r="D89" s="2" t="s">
        <v>80</v>
      </c>
      <c r="E89" s="4">
        <v>46029</v>
      </c>
      <c r="F89" s="4">
        <v>46036</v>
      </c>
      <c r="G89" s="5">
        <v>2775</v>
      </c>
      <c r="H89" s="5">
        <v>1832.76</v>
      </c>
      <c r="I89" s="2" t="s">
        <v>37</v>
      </c>
      <c r="J89" s="2" t="s">
        <v>1541</v>
      </c>
      <c r="K89" t="s">
        <v>83</v>
      </c>
      <c r="L89" s="12">
        <f>MIS_Report!$B$2-F89</f>
        <v>274</v>
      </c>
      <c r="M89" t="str" cm="1">
        <f t="array" ref="M89">_xlfn.IFS(L89&lt;=30,"0-30",L89&lt;=60,"31-60",L89&lt;=90,"61-90",TRUE,"90+")</f>
        <v>90+</v>
      </c>
      <c r="N89">
        <f t="shared" si="3"/>
        <v>0</v>
      </c>
      <c r="O89" t="str">
        <f>VLOOKUP(K89,Agents!$A$1:$C$11,2,0)</f>
        <v>Deepak Nair</v>
      </c>
      <c r="P89">
        <f t="shared" si="2"/>
        <v>0</v>
      </c>
    </row>
    <row r="90" spans="1:16" x14ac:dyDescent="0.25">
      <c r="A90" s="2" t="s">
        <v>236</v>
      </c>
      <c r="B90" s="2" t="s">
        <v>237</v>
      </c>
      <c r="C90" s="2" t="s">
        <v>29</v>
      </c>
      <c r="D90" s="2" t="s">
        <v>30</v>
      </c>
      <c r="E90" s="4">
        <v>46179</v>
      </c>
      <c r="F90" s="4">
        <v>46196</v>
      </c>
      <c r="G90" s="5">
        <v>10375</v>
      </c>
      <c r="H90" s="5">
        <v>7260.79</v>
      </c>
      <c r="I90" s="2" t="s">
        <v>37</v>
      </c>
      <c r="J90" s="2" t="s">
        <v>1541</v>
      </c>
      <c r="K90" t="s">
        <v>48</v>
      </c>
      <c r="L90" s="12">
        <f>MIS_Report!$B$2-F90</f>
        <v>114</v>
      </c>
      <c r="M90" t="str" cm="1">
        <f t="array" ref="M90">_xlfn.IFS(L90&lt;=30,"0-30",L90&lt;=60,"31-60",L90&lt;=90,"61-90",TRUE,"90+")</f>
        <v>90+</v>
      </c>
      <c r="N90">
        <f t="shared" si="3"/>
        <v>0</v>
      </c>
      <c r="O90" t="str">
        <f>VLOOKUP(K90,Agents!$A$1:$C$11,2,0)</f>
        <v>Manish Arora</v>
      </c>
      <c r="P90">
        <f t="shared" si="2"/>
        <v>0</v>
      </c>
    </row>
    <row r="91" spans="1:16" x14ac:dyDescent="0.25">
      <c r="A91" s="2" t="s">
        <v>238</v>
      </c>
      <c r="B91" s="2" t="s">
        <v>239</v>
      </c>
      <c r="C91" s="2" t="s">
        <v>29</v>
      </c>
      <c r="D91" s="2" t="s">
        <v>80</v>
      </c>
      <c r="E91" s="4">
        <v>46030</v>
      </c>
      <c r="F91" s="4">
        <v>46046</v>
      </c>
      <c r="G91" s="5">
        <v>9225</v>
      </c>
      <c r="H91" s="5"/>
      <c r="I91" s="2" t="s">
        <v>42</v>
      </c>
      <c r="J91" s="2" t="s">
        <v>1541</v>
      </c>
      <c r="K91" t="s">
        <v>65</v>
      </c>
      <c r="L91" s="12">
        <f>MIS_Report!$B$2-F91</f>
        <v>264</v>
      </c>
      <c r="M91" t="str" cm="1">
        <f t="array" ref="M91">_xlfn.IFS(L91&lt;=30,"0-30",L91&lt;=60,"31-60",L91&lt;=90,"61-90",TRUE,"90+")</f>
        <v>90+</v>
      </c>
      <c r="N91">
        <f t="shared" si="3"/>
        <v>9225</v>
      </c>
      <c r="O91" t="str">
        <f>VLOOKUP(K91,Agents!$A$1:$C$11,2,0)</f>
        <v>Deepak Nair</v>
      </c>
      <c r="P91">
        <f t="shared" si="2"/>
        <v>0</v>
      </c>
    </row>
    <row r="92" spans="1:16" x14ac:dyDescent="0.25">
      <c r="A92" s="2" t="s">
        <v>240</v>
      </c>
      <c r="B92" s="2" t="s">
        <v>241</v>
      </c>
      <c r="C92" s="2" t="s">
        <v>36</v>
      </c>
      <c r="D92" s="2" t="s">
        <v>55</v>
      </c>
      <c r="E92" s="4">
        <v>46297</v>
      </c>
      <c r="F92" s="4">
        <v>46300</v>
      </c>
      <c r="G92" s="5">
        <v>13700</v>
      </c>
      <c r="H92" s="5"/>
      <c r="I92" s="2" t="s">
        <v>42</v>
      </c>
      <c r="J92" s="2" t="s">
        <v>1541</v>
      </c>
      <c r="K92" t="s">
        <v>38</v>
      </c>
      <c r="L92" s="12">
        <f>MIS_Report!$B$2-F92</f>
        <v>10</v>
      </c>
      <c r="M92" t="str" cm="1">
        <f t="array" ref="M92">_xlfn.IFS(L92&lt;=30,"0-30",L92&lt;=60,"31-60",L92&lt;=90,"61-90",TRUE,"90+")</f>
        <v>0-30</v>
      </c>
      <c r="N92">
        <f t="shared" si="3"/>
        <v>13700</v>
      </c>
      <c r="O92" t="str">
        <f>VLOOKUP(K92,Agents!$A$1:$C$11,2,0)</f>
        <v>Sunita Rao</v>
      </c>
      <c r="P92">
        <f t="shared" si="2"/>
        <v>0</v>
      </c>
    </row>
    <row r="93" spans="1:16" x14ac:dyDescent="0.25">
      <c r="A93" s="2" t="s">
        <v>242</v>
      </c>
      <c r="B93" s="2" t="s">
        <v>243</v>
      </c>
      <c r="C93" s="2" t="s">
        <v>79</v>
      </c>
      <c r="D93" s="2" t="s">
        <v>61</v>
      </c>
      <c r="E93" s="4">
        <v>46087</v>
      </c>
      <c r="F93" s="4">
        <v>46097</v>
      </c>
      <c r="G93" s="5">
        <v>4450</v>
      </c>
      <c r="H93" s="5"/>
      <c r="I93" s="2" t="s">
        <v>42</v>
      </c>
      <c r="J93" s="2" t="s">
        <v>1541</v>
      </c>
      <c r="K93" t="s">
        <v>38</v>
      </c>
      <c r="L93" s="12">
        <f>MIS_Report!$B$2-F93</f>
        <v>213</v>
      </c>
      <c r="M93" t="str" cm="1">
        <f t="array" ref="M93">_xlfn.IFS(L93&lt;=30,"0-30",L93&lt;=60,"31-60",L93&lt;=90,"61-90",TRUE,"90+")</f>
        <v>90+</v>
      </c>
      <c r="N93">
        <f t="shared" si="3"/>
        <v>4450</v>
      </c>
      <c r="O93" t="str">
        <f>VLOOKUP(K93,Agents!$A$1:$C$11,2,0)</f>
        <v>Sunita Rao</v>
      </c>
      <c r="P93">
        <f t="shared" si="2"/>
        <v>0</v>
      </c>
    </row>
    <row r="94" spans="1:16" x14ac:dyDescent="0.25">
      <c r="A94" s="2" t="s">
        <v>244</v>
      </c>
      <c r="B94" s="2" t="s">
        <v>96</v>
      </c>
      <c r="C94" s="2" t="s">
        <v>36</v>
      </c>
      <c r="D94" s="2" t="s">
        <v>61</v>
      </c>
      <c r="E94" s="4">
        <v>46221</v>
      </c>
      <c r="F94" s="4">
        <v>46240</v>
      </c>
      <c r="G94" s="5">
        <v>7775</v>
      </c>
      <c r="H94" s="5">
        <v>0</v>
      </c>
      <c r="I94" s="2" t="s">
        <v>31</v>
      </c>
      <c r="J94" s="2" t="s">
        <v>47</v>
      </c>
      <c r="K94" t="s">
        <v>33</v>
      </c>
      <c r="L94" s="12">
        <f>MIS_Report!$B$2-F94</f>
        <v>70</v>
      </c>
      <c r="M94" t="str" cm="1">
        <f t="array" ref="M94">_xlfn.IFS(L94&lt;=30,"0-30",L94&lt;=60,"31-60",L94&lt;=90,"61-90",TRUE,"90+")</f>
        <v>61-90</v>
      </c>
      <c r="N94">
        <f t="shared" si="3"/>
        <v>0</v>
      </c>
      <c r="O94" t="str">
        <f>VLOOKUP(K94,Agents!$A$1:$C$11,2,0)</f>
        <v>Manish Arora</v>
      </c>
      <c r="P94">
        <f t="shared" si="2"/>
        <v>7775</v>
      </c>
    </row>
    <row r="95" spans="1:16" x14ac:dyDescent="0.25">
      <c r="A95" s="2" t="s">
        <v>246</v>
      </c>
      <c r="B95" s="2" t="s">
        <v>247</v>
      </c>
      <c r="C95" s="2" t="s">
        <v>36</v>
      </c>
      <c r="D95" s="2" t="s">
        <v>41</v>
      </c>
      <c r="E95" s="4">
        <v>46110</v>
      </c>
      <c r="F95" s="4">
        <v>46114</v>
      </c>
      <c r="G95" s="5">
        <v>12025</v>
      </c>
      <c r="H95" s="5">
        <v>10944.93</v>
      </c>
      <c r="I95" s="2" t="s">
        <v>37</v>
      </c>
      <c r="J95" s="2" t="s">
        <v>1541</v>
      </c>
      <c r="K95" t="s">
        <v>52</v>
      </c>
      <c r="L95" s="12">
        <f>MIS_Report!$B$2-F95</f>
        <v>196</v>
      </c>
      <c r="M95" t="str" cm="1">
        <f t="array" ref="M95">_xlfn.IFS(L95&lt;=30,"0-30",L95&lt;=60,"31-60",L95&lt;=90,"61-90",TRUE,"90+")</f>
        <v>90+</v>
      </c>
      <c r="N95">
        <f t="shared" si="3"/>
        <v>0</v>
      </c>
      <c r="O95" t="str">
        <f>VLOOKUP(K95,Agents!$A$1:$C$11,2,0)</f>
        <v>Sunita Rao</v>
      </c>
      <c r="P95">
        <f t="shared" si="2"/>
        <v>0</v>
      </c>
    </row>
    <row r="96" spans="1:16" x14ac:dyDescent="0.25">
      <c r="A96" s="2" t="s">
        <v>249</v>
      </c>
      <c r="B96" s="2" t="s">
        <v>250</v>
      </c>
      <c r="C96" s="2" t="s">
        <v>29</v>
      </c>
      <c r="D96" s="2" t="s">
        <v>41</v>
      </c>
      <c r="E96" s="4">
        <v>46124</v>
      </c>
      <c r="F96" s="4">
        <v>46134</v>
      </c>
      <c r="G96" s="5">
        <v>12375</v>
      </c>
      <c r="H96" s="5">
        <v>7836.4</v>
      </c>
      <c r="I96" s="2" t="s">
        <v>37</v>
      </c>
      <c r="J96" s="2" t="s">
        <v>1541</v>
      </c>
      <c r="K96" t="s">
        <v>62</v>
      </c>
      <c r="L96" s="12">
        <f>MIS_Report!$B$2-F96</f>
        <v>176</v>
      </c>
      <c r="M96" t="str" cm="1">
        <f t="array" ref="M96">_xlfn.IFS(L96&lt;=30,"0-30",L96&lt;=60,"31-60",L96&lt;=90,"61-90",TRUE,"90+")</f>
        <v>90+</v>
      </c>
      <c r="N96">
        <f t="shared" si="3"/>
        <v>0</v>
      </c>
      <c r="O96" t="str">
        <f>VLOOKUP(K96,Agents!$A$1:$C$11,2,0)</f>
        <v>Sunita Rao</v>
      </c>
      <c r="P96">
        <f t="shared" si="2"/>
        <v>0</v>
      </c>
    </row>
    <row r="97" spans="1:16" x14ac:dyDescent="0.25">
      <c r="A97" s="2" t="s">
        <v>251</v>
      </c>
      <c r="B97" s="2" t="s">
        <v>210</v>
      </c>
      <c r="C97" s="2" t="s">
        <v>46</v>
      </c>
      <c r="D97" s="2" t="s">
        <v>68</v>
      </c>
      <c r="E97" s="4">
        <v>46257</v>
      </c>
      <c r="F97" s="4">
        <v>46268</v>
      </c>
      <c r="G97" s="5">
        <v>12700</v>
      </c>
      <c r="H97" s="5"/>
      <c r="I97" s="2" t="s">
        <v>42</v>
      </c>
      <c r="J97" s="2" t="s">
        <v>1541</v>
      </c>
      <c r="K97" t="s">
        <v>48</v>
      </c>
      <c r="L97" s="12">
        <f>MIS_Report!$B$2-F97</f>
        <v>42</v>
      </c>
      <c r="M97" t="str" cm="1">
        <f t="array" ref="M97">_xlfn.IFS(L97&lt;=30,"0-30",L97&lt;=60,"31-60",L97&lt;=90,"61-90",TRUE,"90+")</f>
        <v>31-60</v>
      </c>
      <c r="N97">
        <f t="shared" si="3"/>
        <v>12700</v>
      </c>
      <c r="O97" t="str">
        <f>VLOOKUP(K97,Agents!$A$1:$C$11,2,0)</f>
        <v>Manish Arora</v>
      </c>
      <c r="P97">
        <f t="shared" si="2"/>
        <v>0</v>
      </c>
    </row>
    <row r="98" spans="1:16" x14ac:dyDescent="0.25">
      <c r="A98" s="2" t="s">
        <v>252</v>
      </c>
      <c r="B98" s="2" t="s">
        <v>76</v>
      </c>
      <c r="C98" s="2" t="s">
        <v>46</v>
      </c>
      <c r="D98" s="2" t="s">
        <v>80</v>
      </c>
      <c r="E98" s="4">
        <v>46260</v>
      </c>
      <c r="F98" s="4">
        <v>46270</v>
      </c>
      <c r="G98" s="5">
        <v>10525</v>
      </c>
      <c r="H98" s="5">
        <v>0</v>
      </c>
      <c r="I98" s="2" t="s">
        <v>31</v>
      </c>
      <c r="J98" s="2" t="s">
        <v>116</v>
      </c>
      <c r="K98" t="s">
        <v>56</v>
      </c>
      <c r="L98" s="12">
        <f>MIS_Report!$B$2-F98</f>
        <v>40</v>
      </c>
      <c r="M98" t="str" cm="1">
        <f t="array" ref="M98">_xlfn.IFS(L98&lt;=30,"0-30",L98&lt;=60,"31-60",L98&lt;=90,"61-90",TRUE,"90+")</f>
        <v>31-60</v>
      </c>
      <c r="N98">
        <f t="shared" si="3"/>
        <v>0</v>
      </c>
      <c r="O98" t="str">
        <f>VLOOKUP(K98,Agents!$A$1:$C$11,2,0)</f>
        <v>Manish Arora</v>
      </c>
      <c r="P98">
        <f t="shared" si="2"/>
        <v>10525</v>
      </c>
    </row>
    <row r="99" spans="1:16" x14ac:dyDescent="0.25">
      <c r="A99" s="2" t="s">
        <v>253</v>
      </c>
      <c r="B99" s="2" t="s">
        <v>254</v>
      </c>
      <c r="C99" s="2" t="s">
        <v>79</v>
      </c>
      <c r="D99" s="2" t="s">
        <v>68</v>
      </c>
      <c r="E99" s="4">
        <v>46141</v>
      </c>
      <c r="F99" s="4">
        <v>46144</v>
      </c>
      <c r="G99" s="5">
        <v>12375</v>
      </c>
      <c r="H99" s="5"/>
      <c r="I99" s="2" t="s">
        <v>42</v>
      </c>
      <c r="J99" s="2" t="s">
        <v>1541</v>
      </c>
      <c r="K99" t="s">
        <v>109</v>
      </c>
      <c r="L99" s="12">
        <f>MIS_Report!$B$2-F99</f>
        <v>166</v>
      </c>
      <c r="M99" t="str" cm="1">
        <f t="array" ref="M99">_xlfn.IFS(L99&lt;=30,"0-30",L99&lt;=60,"31-60",L99&lt;=90,"61-90",TRUE,"90+")</f>
        <v>90+</v>
      </c>
      <c r="N99">
        <f t="shared" si="3"/>
        <v>12375</v>
      </c>
      <c r="O99" t="str">
        <f>VLOOKUP(K99,Agents!$A$1:$C$11,2,0)</f>
        <v>Deepak Nair</v>
      </c>
      <c r="P99">
        <f t="shared" si="2"/>
        <v>0</v>
      </c>
    </row>
    <row r="100" spans="1:16" x14ac:dyDescent="0.25">
      <c r="A100" s="2" t="s">
        <v>255</v>
      </c>
      <c r="B100" s="2" t="s">
        <v>256</v>
      </c>
      <c r="C100" s="2" t="s">
        <v>79</v>
      </c>
      <c r="D100" s="2" t="s">
        <v>30</v>
      </c>
      <c r="E100" s="4">
        <v>46087</v>
      </c>
      <c r="F100" s="4">
        <v>46103</v>
      </c>
      <c r="G100" s="5">
        <v>4300</v>
      </c>
      <c r="H100" s="5">
        <v>4122.18</v>
      </c>
      <c r="I100" s="2" t="s">
        <v>37</v>
      </c>
      <c r="J100" s="2" t="s">
        <v>1541</v>
      </c>
      <c r="K100" t="s">
        <v>109</v>
      </c>
      <c r="L100" s="12">
        <f>MIS_Report!$B$2-F100</f>
        <v>207</v>
      </c>
      <c r="M100" t="str" cm="1">
        <f t="array" ref="M100">_xlfn.IFS(L100&lt;=30,"0-30",L100&lt;=60,"31-60",L100&lt;=90,"61-90",TRUE,"90+")</f>
        <v>90+</v>
      </c>
      <c r="N100">
        <f t="shared" si="3"/>
        <v>0</v>
      </c>
      <c r="O100" t="str">
        <f>VLOOKUP(K100,Agents!$A$1:$C$11,2,0)</f>
        <v>Deepak Nair</v>
      </c>
      <c r="P100">
        <f t="shared" si="2"/>
        <v>0</v>
      </c>
    </row>
    <row r="101" spans="1:16" x14ac:dyDescent="0.25">
      <c r="A101" s="2" t="s">
        <v>257</v>
      </c>
      <c r="B101" s="2" t="s">
        <v>89</v>
      </c>
      <c r="C101" s="2" t="s">
        <v>79</v>
      </c>
      <c r="D101" s="2" t="s">
        <v>80</v>
      </c>
      <c r="E101" s="4">
        <v>46140</v>
      </c>
      <c r="F101" s="4">
        <v>46159</v>
      </c>
      <c r="G101" s="5">
        <v>13975</v>
      </c>
      <c r="H101" s="5">
        <v>8807.5300000000007</v>
      </c>
      <c r="I101" s="2" t="s">
        <v>37</v>
      </c>
      <c r="J101" s="2" t="s">
        <v>1541</v>
      </c>
      <c r="K101" t="s">
        <v>48</v>
      </c>
      <c r="L101" s="12">
        <f>MIS_Report!$B$2-F101</f>
        <v>151</v>
      </c>
      <c r="M101" t="str" cm="1">
        <f t="array" ref="M101">_xlfn.IFS(L101&lt;=30,"0-30",L101&lt;=60,"31-60",L101&lt;=90,"61-90",TRUE,"90+")</f>
        <v>90+</v>
      </c>
      <c r="N101">
        <f t="shared" si="3"/>
        <v>0</v>
      </c>
      <c r="O101" t="str">
        <f>VLOOKUP(K101,Agents!$A$1:$C$11,2,0)</f>
        <v>Manish Arora</v>
      </c>
      <c r="P101">
        <f t="shared" si="2"/>
        <v>0</v>
      </c>
    </row>
    <row r="102" spans="1:16" x14ac:dyDescent="0.25">
      <c r="A102" s="2" t="s">
        <v>258</v>
      </c>
      <c r="B102" s="2" t="s">
        <v>259</v>
      </c>
      <c r="C102" s="2" t="s">
        <v>46</v>
      </c>
      <c r="D102" s="2" t="s">
        <v>41</v>
      </c>
      <c r="E102" s="4">
        <v>46192</v>
      </c>
      <c r="F102" s="4">
        <v>46203</v>
      </c>
      <c r="G102" s="5">
        <v>13800</v>
      </c>
      <c r="H102" s="5">
        <v>10500.4</v>
      </c>
      <c r="I102" s="2" t="s">
        <v>37</v>
      </c>
      <c r="J102" s="2" t="s">
        <v>1541</v>
      </c>
      <c r="K102" t="s">
        <v>43</v>
      </c>
      <c r="L102" s="12">
        <f>MIS_Report!$B$2-F102</f>
        <v>107</v>
      </c>
      <c r="M102" t="str" cm="1">
        <f t="array" ref="M102">_xlfn.IFS(L102&lt;=30,"0-30",L102&lt;=60,"31-60",L102&lt;=90,"61-90",TRUE,"90+")</f>
        <v>90+</v>
      </c>
      <c r="N102">
        <f t="shared" si="3"/>
        <v>0</v>
      </c>
      <c r="O102" t="str">
        <f>VLOOKUP(K102,Agents!$A$1:$C$11,2,0)</f>
        <v>Manish Arora</v>
      </c>
      <c r="P102">
        <f t="shared" si="2"/>
        <v>0</v>
      </c>
    </row>
    <row r="103" spans="1:16" x14ac:dyDescent="0.25">
      <c r="A103" s="2" t="s">
        <v>260</v>
      </c>
      <c r="B103" s="2" t="s">
        <v>104</v>
      </c>
      <c r="C103" s="2" t="s">
        <v>79</v>
      </c>
      <c r="D103" s="2" t="s">
        <v>41</v>
      </c>
      <c r="E103" s="4">
        <v>46227</v>
      </c>
      <c r="F103" s="4">
        <v>46236</v>
      </c>
      <c r="G103" s="5">
        <v>2625</v>
      </c>
      <c r="H103" s="5"/>
      <c r="I103" s="2" t="s">
        <v>42</v>
      </c>
      <c r="J103" s="2" t="s">
        <v>1541</v>
      </c>
      <c r="K103" t="s">
        <v>38</v>
      </c>
      <c r="L103" s="12">
        <f>MIS_Report!$B$2-F103</f>
        <v>74</v>
      </c>
      <c r="M103" t="str" cm="1">
        <f t="array" ref="M103">_xlfn.IFS(L103&lt;=30,"0-30",L103&lt;=60,"31-60",L103&lt;=90,"61-90",TRUE,"90+")</f>
        <v>61-90</v>
      </c>
      <c r="N103">
        <f t="shared" si="3"/>
        <v>2625</v>
      </c>
      <c r="O103" t="str">
        <f>VLOOKUP(K103,Agents!$A$1:$C$11,2,0)</f>
        <v>Sunita Rao</v>
      </c>
      <c r="P103">
        <f t="shared" si="2"/>
        <v>0</v>
      </c>
    </row>
    <row r="104" spans="1:16" x14ac:dyDescent="0.25">
      <c r="A104" s="2" t="s">
        <v>261</v>
      </c>
      <c r="B104" s="2" t="s">
        <v>262</v>
      </c>
      <c r="C104" s="2" t="s">
        <v>46</v>
      </c>
      <c r="D104" s="2" t="s">
        <v>1538</v>
      </c>
      <c r="E104" s="4">
        <v>46274</v>
      </c>
      <c r="F104" s="4">
        <v>46292</v>
      </c>
      <c r="G104" s="5">
        <v>4325</v>
      </c>
      <c r="H104" s="5"/>
      <c r="I104" s="2" t="s">
        <v>42</v>
      </c>
      <c r="J104" s="2" t="s">
        <v>1541</v>
      </c>
      <c r="K104" t="s">
        <v>38</v>
      </c>
      <c r="L104" s="12">
        <f>MIS_Report!$B$2-F104</f>
        <v>18</v>
      </c>
      <c r="M104" t="str" cm="1">
        <f t="array" ref="M104">_xlfn.IFS(L104&lt;=30,"0-30",L104&lt;=60,"31-60",L104&lt;=90,"61-90",TRUE,"90+")</f>
        <v>0-30</v>
      </c>
      <c r="N104">
        <f t="shared" si="3"/>
        <v>4325</v>
      </c>
      <c r="O104" t="str">
        <f>VLOOKUP(K104,Agents!$A$1:$C$11,2,0)</f>
        <v>Sunita Rao</v>
      </c>
      <c r="P104">
        <f t="shared" si="2"/>
        <v>0</v>
      </c>
    </row>
    <row r="105" spans="1:16" x14ac:dyDescent="0.25">
      <c r="A105" s="2" t="s">
        <v>263</v>
      </c>
      <c r="B105" s="2" t="s">
        <v>264</v>
      </c>
      <c r="C105" s="2" t="s">
        <v>36</v>
      </c>
      <c r="D105" s="2" t="s">
        <v>61</v>
      </c>
      <c r="E105" s="4">
        <v>46041</v>
      </c>
      <c r="F105" s="4">
        <v>46061</v>
      </c>
      <c r="G105" s="5">
        <v>8125</v>
      </c>
      <c r="H105" s="5"/>
      <c r="I105" s="2" t="s">
        <v>42</v>
      </c>
      <c r="J105" s="2" t="s">
        <v>1541</v>
      </c>
      <c r="K105" t="s">
        <v>33</v>
      </c>
      <c r="L105" s="12">
        <f>MIS_Report!$B$2-F105</f>
        <v>249</v>
      </c>
      <c r="M105" t="str" cm="1">
        <f t="array" ref="M105">_xlfn.IFS(L105&lt;=30,"0-30",L105&lt;=60,"31-60",L105&lt;=90,"61-90",TRUE,"90+")</f>
        <v>90+</v>
      </c>
      <c r="N105">
        <f t="shared" si="3"/>
        <v>8125</v>
      </c>
      <c r="O105" t="str">
        <f>VLOOKUP(K105,Agents!$A$1:$C$11,2,0)</f>
        <v>Manish Arora</v>
      </c>
      <c r="P105">
        <f t="shared" si="2"/>
        <v>0</v>
      </c>
    </row>
    <row r="106" spans="1:16" x14ac:dyDescent="0.25">
      <c r="A106" s="2" t="s">
        <v>265</v>
      </c>
      <c r="B106" s="2" t="s">
        <v>266</v>
      </c>
      <c r="C106" s="2" t="s">
        <v>36</v>
      </c>
      <c r="D106" s="2" t="s">
        <v>80</v>
      </c>
      <c r="E106" s="4">
        <v>46062</v>
      </c>
      <c r="F106" s="4">
        <v>46077</v>
      </c>
      <c r="G106" s="5">
        <v>12100</v>
      </c>
      <c r="H106" s="5">
        <v>7318.71</v>
      </c>
      <c r="I106" s="2" t="s">
        <v>37</v>
      </c>
      <c r="J106" s="2" t="s">
        <v>1541</v>
      </c>
      <c r="K106" t="s">
        <v>65</v>
      </c>
      <c r="L106" s="12">
        <f>MIS_Report!$B$2-F106</f>
        <v>233</v>
      </c>
      <c r="M106" t="str" cm="1">
        <f t="array" ref="M106">_xlfn.IFS(L106&lt;=30,"0-30",L106&lt;=60,"31-60",L106&lt;=90,"61-90",TRUE,"90+")</f>
        <v>90+</v>
      </c>
      <c r="N106">
        <f t="shared" si="3"/>
        <v>0</v>
      </c>
      <c r="O106" t="str">
        <f>VLOOKUP(K106,Agents!$A$1:$C$11,2,0)</f>
        <v>Deepak Nair</v>
      </c>
      <c r="P106">
        <f t="shared" si="2"/>
        <v>0</v>
      </c>
    </row>
    <row r="107" spans="1:16" x14ac:dyDescent="0.25">
      <c r="A107" s="2" t="s">
        <v>267</v>
      </c>
      <c r="B107" s="2" t="s">
        <v>268</v>
      </c>
      <c r="C107" s="2" t="s">
        <v>79</v>
      </c>
      <c r="D107" s="2" t="s">
        <v>94</v>
      </c>
      <c r="E107" s="4">
        <v>46132</v>
      </c>
      <c r="F107" s="4">
        <v>46144</v>
      </c>
      <c r="G107" s="5">
        <v>14725</v>
      </c>
      <c r="H107" s="5">
        <v>13771.26</v>
      </c>
      <c r="I107" s="2" t="s">
        <v>37</v>
      </c>
      <c r="J107" s="2" t="s">
        <v>1541</v>
      </c>
      <c r="K107" t="s">
        <v>33</v>
      </c>
      <c r="L107" s="12">
        <f>MIS_Report!$B$2-F107</f>
        <v>166</v>
      </c>
      <c r="M107" t="str" cm="1">
        <f t="array" ref="M107">_xlfn.IFS(L107&lt;=30,"0-30",L107&lt;=60,"31-60",L107&lt;=90,"61-90",TRUE,"90+")</f>
        <v>90+</v>
      </c>
      <c r="N107">
        <f t="shared" si="3"/>
        <v>0</v>
      </c>
      <c r="O107" t="str">
        <f>VLOOKUP(K107,Agents!$A$1:$C$11,2,0)</f>
        <v>Manish Arora</v>
      </c>
      <c r="P107">
        <f t="shared" si="2"/>
        <v>0</v>
      </c>
    </row>
    <row r="108" spans="1:16" x14ac:dyDescent="0.25">
      <c r="A108" s="2" t="s">
        <v>269</v>
      </c>
      <c r="B108" s="2" t="s">
        <v>270</v>
      </c>
      <c r="C108" s="2" t="s">
        <v>36</v>
      </c>
      <c r="D108" s="2" t="s">
        <v>61</v>
      </c>
      <c r="E108" s="4">
        <v>46156</v>
      </c>
      <c r="F108" s="4">
        <v>46171</v>
      </c>
      <c r="G108" s="5">
        <v>14100</v>
      </c>
      <c r="H108" s="5">
        <v>0</v>
      </c>
      <c r="I108" s="2" t="s">
        <v>31</v>
      </c>
      <c r="J108" s="2" t="s">
        <v>271</v>
      </c>
      <c r="K108" t="s">
        <v>43</v>
      </c>
      <c r="L108" s="12">
        <f>MIS_Report!$B$2-F108</f>
        <v>139</v>
      </c>
      <c r="M108" t="str" cm="1">
        <f t="array" ref="M108">_xlfn.IFS(L108&lt;=30,"0-30",L108&lt;=60,"31-60",L108&lt;=90,"61-90",TRUE,"90+")</f>
        <v>90+</v>
      </c>
      <c r="N108">
        <f t="shared" si="3"/>
        <v>0</v>
      </c>
      <c r="O108" t="str">
        <f>VLOOKUP(K108,Agents!$A$1:$C$11,2,0)</f>
        <v>Manish Arora</v>
      </c>
      <c r="P108">
        <f t="shared" si="2"/>
        <v>14100</v>
      </c>
    </row>
    <row r="109" spans="1:16" x14ac:dyDescent="0.25">
      <c r="A109" s="2" t="s">
        <v>272</v>
      </c>
      <c r="B109" s="2" t="s">
        <v>45</v>
      </c>
      <c r="C109" s="2" t="s">
        <v>46</v>
      </c>
      <c r="D109" s="2" t="s">
        <v>55</v>
      </c>
      <c r="E109" s="4">
        <v>46209</v>
      </c>
      <c r="F109" s="4">
        <v>46215</v>
      </c>
      <c r="G109" s="5">
        <v>8725</v>
      </c>
      <c r="H109" s="5">
        <v>6643.38</v>
      </c>
      <c r="I109" s="2" t="s">
        <v>37</v>
      </c>
      <c r="J109" s="2" t="s">
        <v>1541</v>
      </c>
      <c r="K109" t="s">
        <v>38</v>
      </c>
      <c r="L109" s="12">
        <f>MIS_Report!$B$2-F109</f>
        <v>95</v>
      </c>
      <c r="M109" t="str" cm="1">
        <f t="array" ref="M109">_xlfn.IFS(L109&lt;=30,"0-30",L109&lt;=60,"31-60",L109&lt;=90,"61-90",TRUE,"90+")</f>
        <v>90+</v>
      </c>
      <c r="N109">
        <f t="shared" si="3"/>
        <v>0</v>
      </c>
      <c r="O109" t="str">
        <f>VLOOKUP(K109,Agents!$A$1:$C$11,2,0)</f>
        <v>Sunita Rao</v>
      </c>
      <c r="P109">
        <f t="shared" si="2"/>
        <v>0</v>
      </c>
    </row>
    <row r="110" spans="1:16" x14ac:dyDescent="0.25">
      <c r="A110" s="2" t="s">
        <v>273</v>
      </c>
      <c r="B110" s="2" t="s">
        <v>274</v>
      </c>
      <c r="C110" s="2" t="s">
        <v>79</v>
      </c>
      <c r="D110" s="2" t="s">
        <v>41</v>
      </c>
      <c r="E110" s="4">
        <v>46064</v>
      </c>
      <c r="F110" s="4">
        <v>46070</v>
      </c>
      <c r="G110" s="5">
        <v>3900</v>
      </c>
      <c r="H110" s="5">
        <v>3251.34</v>
      </c>
      <c r="I110" s="2" t="s">
        <v>37</v>
      </c>
      <c r="J110" s="2" t="s">
        <v>1541</v>
      </c>
      <c r="K110" t="s">
        <v>56</v>
      </c>
      <c r="L110" s="12">
        <f>MIS_Report!$B$2-F110</f>
        <v>240</v>
      </c>
      <c r="M110" t="str" cm="1">
        <f t="array" ref="M110">_xlfn.IFS(L110&lt;=30,"0-30",L110&lt;=60,"31-60",L110&lt;=90,"61-90",TRUE,"90+")</f>
        <v>90+</v>
      </c>
      <c r="N110">
        <f t="shared" si="3"/>
        <v>0</v>
      </c>
      <c r="O110" t="str">
        <f>VLOOKUP(K110,Agents!$A$1:$C$11,2,0)</f>
        <v>Manish Arora</v>
      </c>
      <c r="P110">
        <f t="shared" si="2"/>
        <v>0</v>
      </c>
    </row>
    <row r="111" spans="1:16" x14ac:dyDescent="0.25">
      <c r="A111" s="2" t="s">
        <v>275</v>
      </c>
      <c r="B111" s="2" t="s">
        <v>276</v>
      </c>
      <c r="C111" s="2" t="s">
        <v>36</v>
      </c>
      <c r="D111" s="2" t="s">
        <v>61</v>
      </c>
      <c r="E111" s="4">
        <v>46255</v>
      </c>
      <c r="F111" s="4">
        <v>46260</v>
      </c>
      <c r="G111" s="5">
        <v>2850</v>
      </c>
      <c r="H111" s="5">
        <v>1726.67</v>
      </c>
      <c r="I111" s="2" t="s">
        <v>37</v>
      </c>
      <c r="J111" s="2" t="s">
        <v>1541</v>
      </c>
      <c r="K111" t="s">
        <v>38</v>
      </c>
      <c r="L111" s="12">
        <f>MIS_Report!$B$2-F111</f>
        <v>50</v>
      </c>
      <c r="M111" t="str" cm="1">
        <f t="array" ref="M111">_xlfn.IFS(L111&lt;=30,"0-30",L111&lt;=60,"31-60",L111&lt;=90,"61-90",TRUE,"90+")</f>
        <v>31-60</v>
      </c>
      <c r="N111">
        <f t="shared" si="3"/>
        <v>0</v>
      </c>
      <c r="O111" t="str">
        <f>VLOOKUP(K111,Agents!$A$1:$C$11,2,0)</f>
        <v>Sunita Rao</v>
      </c>
      <c r="P111">
        <f t="shared" si="2"/>
        <v>0</v>
      </c>
    </row>
    <row r="112" spans="1:16" x14ac:dyDescent="0.25">
      <c r="A112" s="2" t="s">
        <v>277</v>
      </c>
      <c r="B112" s="2" t="s">
        <v>278</v>
      </c>
      <c r="C112" s="2" t="s">
        <v>29</v>
      </c>
      <c r="D112" s="2" t="s">
        <v>30</v>
      </c>
      <c r="E112" s="4">
        <v>46277</v>
      </c>
      <c r="F112" s="4">
        <v>46284</v>
      </c>
      <c r="G112" s="5">
        <v>5550</v>
      </c>
      <c r="H112" s="5"/>
      <c r="I112" s="2" t="s">
        <v>42</v>
      </c>
      <c r="J112" s="2" t="s">
        <v>1541</v>
      </c>
      <c r="K112" t="s">
        <v>38</v>
      </c>
      <c r="L112" s="12">
        <f>MIS_Report!$B$2-F112</f>
        <v>26</v>
      </c>
      <c r="M112" t="str" cm="1">
        <f t="array" ref="M112">_xlfn.IFS(L112&lt;=30,"0-30",L112&lt;=60,"31-60",L112&lt;=90,"61-90",TRUE,"90+")</f>
        <v>0-30</v>
      </c>
      <c r="N112">
        <f t="shared" si="3"/>
        <v>5550</v>
      </c>
      <c r="O112" t="str">
        <f>VLOOKUP(K112,Agents!$A$1:$C$11,2,0)</f>
        <v>Sunita Rao</v>
      </c>
      <c r="P112">
        <f t="shared" si="2"/>
        <v>0</v>
      </c>
    </row>
    <row r="113" spans="1:16" x14ac:dyDescent="0.25">
      <c r="A113" s="2" t="s">
        <v>279</v>
      </c>
      <c r="B113" s="2" t="s">
        <v>280</v>
      </c>
      <c r="C113" s="2" t="s">
        <v>79</v>
      </c>
      <c r="D113" s="2" t="s">
        <v>68</v>
      </c>
      <c r="E113" s="4">
        <v>46015</v>
      </c>
      <c r="F113" s="4">
        <v>46030</v>
      </c>
      <c r="G113" s="5">
        <v>8425</v>
      </c>
      <c r="H113" s="5"/>
      <c r="I113" s="2" t="s">
        <v>42</v>
      </c>
      <c r="J113" s="2" t="s">
        <v>1541</v>
      </c>
      <c r="K113" t="s">
        <v>109</v>
      </c>
      <c r="L113" s="12">
        <f>MIS_Report!$B$2-F113</f>
        <v>280</v>
      </c>
      <c r="M113" t="str" cm="1">
        <f t="array" ref="M113">_xlfn.IFS(L113&lt;=30,"0-30",L113&lt;=60,"31-60",L113&lt;=90,"61-90",TRUE,"90+")</f>
        <v>90+</v>
      </c>
      <c r="N113">
        <f t="shared" si="3"/>
        <v>8425</v>
      </c>
      <c r="O113" t="str">
        <f>VLOOKUP(K113,Agents!$A$1:$C$11,2,0)</f>
        <v>Deepak Nair</v>
      </c>
      <c r="P113">
        <f t="shared" si="2"/>
        <v>0</v>
      </c>
    </row>
    <row r="114" spans="1:16" x14ac:dyDescent="0.25">
      <c r="A114" s="2" t="s">
        <v>281</v>
      </c>
      <c r="B114" s="2" t="s">
        <v>282</v>
      </c>
      <c r="C114" s="2" t="s">
        <v>46</v>
      </c>
      <c r="D114" s="2" t="s">
        <v>68</v>
      </c>
      <c r="E114" s="4">
        <v>46291</v>
      </c>
      <c r="F114" s="4">
        <v>46294</v>
      </c>
      <c r="G114" s="5">
        <v>6950</v>
      </c>
      <c r="H114" s="5"/>
      <c r="I114" s="2" t="s">
        <v>42</v>
      </c>
      <c r="J114" s="2" t="s">
        <v>1541</v>
      </c>
      <c r="K114" t="s">
        <v>48</v>
      </c>
      <c r="L114" s="12">
        <f>MIS_Report!$B$2-F114</f>
        <v>16</v>
      </c>
      <c r="M114" t="str" cm="1">
        <f t="array" ref="M114">_xlfn.IFS(L114&lt;=30,"0-30",L114&lt;=60,"31-60",L114&lt;=90,"61-90",TRUE,"90+")</f>
        <v>0-30</v>
      </c>
      <c r="N114">
        <f t="shared" si="3"/>
        <v>6950</v>
      </c>
      <c r="O114" t="str">
        <f>VLOOKUP(K114,Agents!$A$1:$C$11,2,0)</f>
        <v>Manish Arora</v>
      </c>
      <c r="P114">
        <f t="shared" si="2"/>
        <v>0</v>
      </c>
    </row>
    <row r="115" spans="1:16" x14ac:dyDescent="0.25">
      <c r="A115" s="2" t="s">
        <v>283</v>
      </c>
      <c r="B115" s="2" t="s">
        <v>284</v>
      </c>
      <c r="C115" s="2" t="s">
        <v>79</v>
      </c>
      <c r="D115" s="2" t="s">
        <v>61</v>
      </c>
      <c r="E115" s="4">
        <v>46207</v>
      </c>
      <c r="F115" s="4">
        <v>46216</v>
      </c>
      <c r="G115" s="5">
        <v>13325</v>
      </c>
      <c r="H115" s="5">
        <v>7944.34</v>
      </c>
      <c r="I115" s="2" t="s">
        <v>37</v>
      </c>
      <c r="J115" s="2" t="s">
        <v>1541</v>
      </c>
      <c r="K115" t="s">
        <v>83</v>
      </c>
      <c r="L115" s="12">
        <f>MIS_Report!$B$2-F115</f>
        <v>94</v>
      </c>
      <c r="M115" t="str" cm="1">
        <f t="array" ref="M115">_xlfn.IFS(L115&lt;=30,"0-30",L115&lt;=60,"31-60",L115&lt;=90,"61-90",TRUE,"90+")</f>
        <v>90+</v>
      </c>
      <c r="N115">
        <f t="shared" si="3"/>
        <v>0</v>
      </c>
      <c r="O115" t="str">
        <f>VLOOKUP(K115,Agents!$A$1:$C$11,2,0)</f>
        <v>Deepak Nair</v>
      </c>
      <c r="P115">
        <f t="shared" si="2"/>
        <v>0</v>
      </c>
    </row>
    <row r="116" spans="1:16" x14ac:dyDescent="0.25">
      <c r="A116" s="2" t="s">
        <v>285</v>
      </c>
      <c r="B116" s="2" t="s">
        <v>284</v>
      </c>
      <c r="C116" s="2" t="s">
        <v>79</v>
      </c>
      <c r="D116" s="2" t="s">
        <v>71</v>
      </c>
      <c r="E116" s="4">
        <v>46155</v>
      </c>
      <c r="F116" s="4">
        <v>46175</v>
      </c>
      <c r="G116" s="5">
        <v>6275</v>
      </c>
      <c r="H116" s="5">
        <v>3851.53</v>
      </c>
      <c r="I116" s="2" t="s">
        <v>37</v>
      </c>
      <c r="J116" s="2" t="s">
        <v>1541</v>
      </c>
      <c r="K116" t="s">
        <v>83</v>
      </c>
      <c r="L116" s="12">
        <f>MIS_Report!$B$2-F116</f>
        <v>135</v>
      </c>
      <c r="M116" t="str" cm="1">
        <f t="array" ref="M116">_xlfn.IFS(L116&lt;=30,"0-30",L116&lt;=60,"31-60",L116&lt;=90,"61-90",TRUE,"90+")</f>
        <v>90+</v>
      </c>
      <c r="N116">
        <f t="shared" si="3"/>
        <v>0</v>
      </c>
      <c r="O116" t="str">
        <f>VLOOKUP(K116,Agents!$A$1:$C$11,2,0)</f>
        <v>Deepak Nair</v>
      </c>
      <c r="P116">
        <f t="shared" si="2"/>
        <v>0</v>
      </c>
    </row>
    <row r="117" spans="1:16" x14ac:dyDescent="0.25">
      <c r="A117" s="2" t="s">
        <v>286</v>
      </c>
      <c r="B117" s="2" t="s">
        <v>287</v>
      </c>
      <c r="C117" s="2" t="s">
        <v>46</v>
      </c>
      <c r="D117" s="2" t="s">
        <v>61</v>
      </c>
      <c r="E117" s="4">
        <v>46120</v>
      </c>
      <c r="F117" s="4">
        <v>46123</v>
      </c>
      <c r="G117" s="5">
        <v>5350</v>
      </c>
      <c r="H117" s="5">
        <v>4093.01</v>
      </c>
      <c r="I117" s="2" t="s">
        <v>37</v>
      </c>
      <c r="J117" s="2" t="s">
        <v>1541</v>
      </c>
      <c r="K117" t="s">
        <v>52</v>
      </c>
      <c r="L117" s="12">
        <f>MIS_Report!$B$2-F117</f>
        <v>187</v>
      </c>
      <c r="M117" t="str" cm="1">
        <f t="array" ref="M117">_xlfn.IFS(L117&lt;=30,"0-30",L117&lt;=60,"31-60",L117&lt;=90,"61-90",TRUE,"90+")</f>
        <v>90+</v>
      </c>
      <c r="N117">
        <f t="shared" si="3"/>
        <v>0</v>
      </c>
      <c r="O117" t="str">
        <f>VLOOKUP(K117,Agents!$A$1:$C$11,2,0)</f>
        <v>Sunita Rao</v>
      </c>
      <c r="P117">
        <f t="shared" si="2"/>
        <v>0</v>
      </c>
    </row>
    <row r="118" spans="1:16" x14ac:dyDescent="0.25">
      <c r="A118" s="2" t="s">
        <v>288</v>
      </c>
      <c r="B118" s="2" t="s">
        <v>168</v>
      </c>
      <c r="C118" s="2" t="s">
        <v>36</v>
      </c>
      <c r="D118" s="2" t="s">
        <v>30</v>
      </c>
      <c r="E118" s="4">
        <v>46142</v>
      </c>
      <c r="F118" s="4">
        <v>46159</v>
      </c>
      <c r="G118" s="5">
        <v>3475</v>
      </c>
      <c r="H118" s="5">
        <v>2284.41</v>
      </c>
      <c r="I118" s="2" t="s">
        <v>37</v>
      </c>
      <c r="J118" s="2" t="s">
        <v>1541</v>
      </c>
      <c r="K118" t="s">
        <v>62</v>
      </c>
      <c r="L118" s="12">
        <f>MIS_Report!$B$2-F118</f>
        <v>151</v>
      </c>
      <c r="M118" t="str" cm="1">
        <f t="array" ref="M118">_xlfn.IFS(L118&lt;=30,"0-30",L118&lt;=60,"31-60",L118&lt;=90,"61-90",TRUE,"90+")</f>
        <v>90+</v>
      </c>
      <c r="N118">
        <f t="shared" si="3"/>
        <v>0</v>
      </c>
      <c r="O118" t="str">
        <f>VLOOKUP(K118,Agents!$A$1:$C$11,2,0)</f>
        <v>Sunita Rao</v>
      </c>
      <c r="P118">
        <f t="shared" si="2"/>
        <v>0</v>
      </c>
    </row>
    <row r="119" spans="1:16" x14ac:dyDescent="0.25">
      <c r="A119" s="2" t="s">
        <v>289</v>
      </c>
      <c r="B119" s="2" t="s">
        <v>290</v>
      </c>
      <c r="C119" s="2" t="s">
        <v>46</v>
      </c>
      <c r="D119" s="2" t="s">
        <v>61</v>
      </c>
      <c r="E119" s="4">
        <v>46096</v>
      </c>
      <c r="F119" s="4">
        <v>46109</v>
      </c>
      <c r="G119" s="5">
        <v>4025</v>
      </c>
      <c r="H119" s="5">
        <v>2736.44</v>
      </c>
      <c r="I119" s="2" t="s">
        <v>37</v>
      </c>
      <c r="J119" s="2" t="s">
        <v>1541</v>
      </c>
      <c r="K119" t="s">
        <v>109</v>
      </c>
      <c r="L119" s="12">
        <f>MIS_Report!$B$2-F119</f>
        <v>201</v>
      </c>
      <c r="M119" t="str" cm="1">
        <f t="array" ref="M119">_xlfn.IFS(L119&lt;=30,"0-30",L119&lt;=60,"31-60",L119&lt;=90,"61-90",TRUE,"90+")</f>
        <v>90+</v>
      </c>
      <c r="N119">
        <f t="shared" si="3"/>
        <v>0</v>
      </c>
      <c r="O119" t="str">
        <f>VLOOKUP(K119,Agents!$A$1:$C$11,2,0)</f>
        <v>Deepak Nair</v>
      </c>
      <c r="P119">
        <f t="shared" si="2"/>
        <v>0</v>
      </c>
    </row>
    <row r="120" spans="1:16" x14ac:dyDescent="0.25">
      <c r="A120" s="2" t="s">
        <v>291</v>
      </c>
      <c r="B120" s="2" t="s">
        <v>292</v>
      </c>
      <c r="C120" s="2" t="s">
        <v>79</v>
      </c>
      <c r="D120" s="2" t="s">
        <v>80</v>
      </c>
      <c r="E120" s="4">
        <v>46200</v>
      </c>
      <c r="F120" s="4">
        <v>46208</v>
      </c>
      <c r="G120" s="5">
        <v>5050</v>
      </c>
      <c r="H120" s="5">
        <v>3810.01</v>
      </c>
      <c r="I120" s="2" t="s">
        <v>37</v>
      </c>
      <c r="J120" s="2" t="s">
        <v>1541</v>
      </c>
      <c r="K120" t="s">
        <v>33</v>
      </c>
      <c r="L120" s="12">
        <f>MIS_Report!$B$2-F120</f>
        <v>102</v>
      </c>
      <c r="M120" t="str" cm="1">
        <f t="array" ref="M120">_xlfn.IFS(L120&lt;=30,"0-30",L120&lt;=60,"31-60",L120&lt;=90,"61-90",TRUE,"90+")</f>
        <v>90+</v>
      </c>
      <c r="N120">
        <f t="shared" si="3"/>
        <v>0</v>
      </c>
      <c r="O120" t="str">
        <f>VLOOKUP(K120,Agents!$A$1:$C$11,2,0)</f>
        <v>Manish Arora</v>
      </c>
      <c r="P120">
        <f t="shared" si="2"/>
        <v>0</v>
      </c>
    </row>
    <row r="121" spans="1:16" x14ac:dyDescent="0.25">
      <c r="A121" s="2" t="s">
        <v>293</v>
      </c>
      <c r="B121" s="2" t="s">
        <v>204</v>
      </c>
      <c r="C121" s="2" t="s">
        <v>29</v>
      </c>
      <c r="D121" s="2" t="s">
        <v>41</v>
      </c>
      <c r="E121" s="4">
        <v>46165</v>
      </c>
      <c r="F121" s="4">
        <v>46180</v>
      </c>
      <c r="G121" s="5">
        <v>700</v>
      </c>
      <c r="H121" s="5">
        <v>395.41</v>
      </c>
      <c r="I121" s="2" t="s">
        <v>37</v>
      </c>
      <c r="J121" s="2" t="s">
        <v>1541</v>
      </c>
      <c r="K121" t="s">
        <v>38</v>
      </c>
      <c r="L121" s="12">
        <f>MIS_Report!$B$2-F121</f>
        <v>130</v>
      </c>
      <c r="M121" t="str" cm="1">
        <f t="array" ref="M121">_xlfn.IFS(L121&lt;=30,"0-30",L121&lt;=60,"31-60",L121&lt;=90,"61-90",TRUE,"90+")</f>
        <v>90+</v>
      </c>
      <c r="N121">
        <f t="shared" si="3"/>
        <v>0</v>
      </c>
      <c r="O121" t="str">
        <f>VLOOKUP(K121,Agents!$A$1:$C$11,2,0)</f>
        <v>Sunita Rao</v>
      </c>
      <c r="P121">
        <f t="shared" si="2"/>
        <v>0</v>
      </c>
    </row>
    <row r="122" spans="1:16" x14ac:dyDescent="0.25">
      <c r="A122" s="2" t="s">
        <v>294</v>
      </c>
      <c r="B122" s="2" t="s">
        <v>295</v>
      </c>
      <c r="C122" s="2" t="s">
        <v>36</v>
      </c>
      <c r="D122" s="2" t="s">
        <v>68</v>
      </c>
      <c r="E122" s="4">
        <v>46098</v>
      </c>
      <c r="F122" s="4">
        <v>46111</v>
      </c>
      <c r="G122" s="5">
        <v>13600</v>
      </c>
      <c r="H122" s="5">
        <v>13182.05</v>
      </c>
      <c r="I122" s="2" t="s">
        <v>37</v>
      </c>
      <c r="J122" s="2" t="s">
        <v>1541</v>
      </c>
      <c r="K122" t="s">
        <v>33</v>
      </c>
      <c r="L122" s="12">
        <f>MIS_Report!$B$2-F122</f>
        <v>199</v>
      </c>
      <c r="M122" t="str" cm="1">
        <f t="array" ref="M122">_xlfn.IFS(L122&lt;=30,"0-30",L122&lt;=60,"31-60",L122&lt;=90,"61-90",TRUE,"90+")</f>
        <v>90+</v>
      </c>
      <c r="N122">
        <f t="shared" si="3"/>
        <v>0</v>
      </c>
      <c r="O122" t="str">
        <f>VLOOKUP(K122,Agents!$A$1:$C$11,2,0)</f>
        <v>Manish Arora</v>
      </c>
      <c r="P122">
        <f t="shared" si="2"/>
        <v>0</v>
      </c>
    </row>
    <row r="123" spans="1:16" x14ac:dyDescent="0.25">
      <c r="A123" s="2" t="s">
        <v>296</v>
      </c>
      <c r="B123" s="2" t="s">
        <v>140</v>
      </c>
      <c r="C123" s="2" t="s">
        <v>29</v>
      </c>
      <c r="D123" s="2" t="s">
        <v>80</v>
      </c>
      <c r="E123" s="4">
        <v>46211</v>
      </c>
      <c r="F123" s="4">
        <v>46229</v>
      </c>
      <c r="G123" s="5">
        <v>2900</v>
      </c>
      <c r="H123" s="5">
        <v>2409.06</v>
      </c>
      <c r="I123" s="2" t="s">
        <v>37</v>
      </c>
      <c r="J123" s="2" t="s">
        <v>1541</v>
      </c>
      <c r="K123" t="s">
        <v>65</v>
      </c>
      <c r="L123" s="12">
        <f>MIS_Report!$B$2-F123</f>
        <v>81</v>
      </c>
      <c r="M123" t="str" cm="1">
        <f t="array" ref="M123">_xlfn.IFS(L123&lt;=30,"0-30",L123&lt;=60,"31-60",L123&lt;=90,"61-90",TRUE,"90+")</f>
        <v>61-90</v>
      </c>
      <c r="N123">
        <f t="shared" si="3"/>
        <v>0</v>
      </c>
      <c r="O123" t="str">
        <f>VLOOKUP(K123,Agents!$A$1:$C$11,2,0)</f>
        <v>Deepak Nair</v>
      </c>
      <c r="P123">
        <f t="shared" si="2"/>
        <v>0</v>
      </c>
    </row>
    <row r="124" spans="1:16" x14ac:dyDescent="0.25">
      <c r="A124" s="2" t="s">
        <v>297</v>
      </c>
      <c r="B124" s="2" t="s">
        <v>298</v>
      </c>
      <c r="C124" s="2" t="s">
        <v>29</v>
      </c>
      <c r="D124" s="2" t="s">
        <v>55</v>
      </c>
      <c r="E124" s="4">
        <v>46244</v>
      </c>
      <c r="F124" s="4">
        <v>46260</v>
      </c>
      <c r="G124" s="5">
        <v>11400</v>
      </c>
      <c r="H124" s="5">
        <v>11086.74</v>
      </c>
      <c r="I124" s="2" t="s">
        <v>37</v>
      </c>
      <c r="J124" s="2" t="s">
        <v>1541</v>
      </c>
      <c r="K124" t="s">
        <v>56</v>
      </c>
      <c r="L124" s="12">
        <f>MIS_Report!$B$2-F124</f>
        <v>50</v>
      </c>
      <c r="M124" t="str" cm="1">
        <f t="array" ref="M124">_xlfn.IFS(L124&lt;=30,"0-30",L124&lt;=60,"31-60",L124&lt;=90,"61-90",TRUE,"90+")</f>
        <v>31-60</v>
      </c>
      <c r="N124">
        <f t="shared" si="3"/>
        <v>0</v>
      </c>
      <c r="O124" t="str">
        <f>VLOOKUP(K124,Agents!$A$1:$C$11,2,0)</f>
        <v>Manish Arora</v>
      </c>
      <c r="P124">
        <f t="shared" si="2"/>
        <v>0</v>
      </c>
    </row>
    <row r="125" spans="1:16" x14ac:dyDescent="0.25">
      <c r="A125" s="2" t="s">
        <v>300</v>
      </c>
      <c r="B125" s="2" t="s">
        <v>301</v>
      </c>
      <c r="C125" s="2" t="s">
        <v>46</v>
      </c>
      <c r="D125" s="2" t="s">
        <v>80</v>
      </c>
      <c r="E125" s="4">
        <v>46183</v>
      </c>
      <c r="F125" s="4">
        <v>46187</v>
      </c>
      <c r="G125" s="5">
        <v>7875</v>
      </c>
      <c r="H125" s="5">
        <v>0</v>
      </c>
      <c r="I125" s="2" t="s">
        <v>31</v>
      </c>
      <c r="J125" s="2" t="s">
        <v>271</v>
      </c>
      <c r="K125" t="s">
        <v>62</v>
      </c>
      <c r="L125" s="12">
        <f>MIS_Report!$B$2-F125</f>
        <v>123</v>
      </c>
      <c r="M125" t="str" cm="1">
        <f t="array" ref="M125">_xlfn.IFS(L125&lt;=30,"0-30",L125&lt;=60,"31-60",L125&lt;=90,"61-90",TRUE,"90+")</f>
        <v>90+</v>
      </c>
      <c r="N125">
        <f t="shared" si="3"/>
        <v>0</v>
      </c>
      <c r="O125" t="str">
        <f>VLOOKUP(K125,Agents!$A$1:$C$11,2,0)</f>
        <v>Sunita Rao</v>
      </c>
      <c r="P125">
        <f t="shared" si="2"/>
        <v>7875</v>
      </c>
    </row>
    <row r="126" spans="1:16" x14ac:dyDescent="0.25">
      <c r="A126" s="2" t="s">
        <v>302</v>
      </c>
      <c r="B126" s="2" t="s">
        <v>303</v>
      </c>
      <c r="C126" s="2" t="s">
        <v>29</v>
      </c>
      <c r="D126" s="2" t="s">
        <v>71</v>
      </c>
      <c r="E126" s="4">
        <v>46048</v>
      </c>
      <c r="F126" s="4">
        <v>46058</v>
      </c>
      <c r="G126" s="5">
        <v>3475</v>
      </c>
      <c r="H126" s="5"/>
      <c r="I126" s="2" t="s">
        <v>42</v>
      </c>
      <c r="J126" s="2" t="s">
        <v>1541</v>
      </c>
      <c r="K126" t="s">
        <v>65</v>
      </c>
      <c r="L126" s="12">
        <f>MIS_Report!$B$2-F126</f>
        <v>252</v>
      </c>
      <c r="M126" t="str" cm="1">
        <f t="array" ref="M126">_xlfn.IFS(L126&lt;=30,"0-30",L126&lt;=60,"31-60",L126&lt;=90,"61-90",TRUE,"90+")</f>
        <v>90+</v>
      </c>
      <c r="N126">
        <f t="shared" si="3"/>
        <v>3475</v>
      </c>
      <c r="O126" t="str">
        <f>VLOOKUP(K126,Agents!$A$1:$C$11,2,0)</f>
        <v>Deepak Nair</v>
      </c>
      <c r="P126">
        <f t="shared" si="2"/>
        <v>0</v>
      </c>
    </row>
    <row r="127" spans="1:16" x14ac:dyDescent="0.25">
      <c r="A127" s="2" t="s">
        <v>304</v>
      </c>
      <c r="B127" s="2" t="s">
        <v>305</v>
      </c>
      <c r="C127" s="2" t="s">
        <v>36</v>
      </c>
      <c r="D127" s="2" t="s">
        <v>71</v>
      </c>
      <c r="E127" s="4">
        <v>46057</v>
      </c>
      <c r="F127" s="4">
        <v>46076</v>
      </c>
      <c r="G127" s="5">
        <v>6400</v>
      </c>
      <c r="H127" s="5">
        <v>6227.9</v>
      </c>
      <c r="I127" s="2" t="s">
        <v>37</v>
      </c>
      <c r="J127" s="2" t="s">
        <v>1541</v>
      </c>
      <c r="K127" t="s">
        <v>52</v>
      </c>
      <c r="L127" s="12">
        <f>MIS_Report!$B$2-F127</f>
        <v>234</v>
      </c>
      <c r="M127" t="str" cm="1">
        <f t="array" ref="M127">_xlfn.IFS(L127&lt;=30,"0-30",L127&lt;=60,"31-60",L127&lt;=90,"61-90",TRUE,"90+")</f>
        <v>90+</v>
      </c>
      <c r="N127">
        <f t="shared" si="3"/>
        <v>0</v>
      </c>
      <c r="O127" t="str">
        <f>VLOOKUP(K127,Agents!$A$1:$C$11,2,0)</f>
        <v>Sunita Rao</v>
      </c>
      <c r="P127">
        <f t="shared" si="2"/>
        <v>0</v>
      </c>
    </row>
    <row r="128" spans="1:16" x14ac:dyDescent="0.25">
      <c r="A128" s="2" t="s">
        <v>306</v>
      </c>
      <c r="B128" s="2" t="s">
        <v>136</v>
      </c>
      <c r="C128" s="2" t="s">
        <v>36</v>
      </c>
      <c r="D128" s="2" t="s">
        <v>94</v>
      </c>
      <c r="E128" s="4">
        <v>46230</v>
      </c>
      <c r="F128" s="4">
        <v>46238</v>
      </c>
      <c r="G128" s="5">
        <v>5975</v>
      </c>
      <c r="H128" s="5"/>
      <c r="I128" s="2" t="s">
        <v>42</v>
      </c>
      <c r="J128" s="2" t="s">
        <v>1541</v>
      </c>
      <c r="K128" t="s">
        <v>48</v>
      </c>
      <c r="L128" s="12">
        <f>MIS_Report!$B$2-F128</f>
        <v>72</v>
      </c>
      <c r="M128" t="str" cm="1">
        <f t="array" ref="M128">_xlfn.IFS(L128&lt;=30,"0-30",L128&lt;=60,"31-60",L128&lt;=90,"61-90",TRUE,"90+")</f>
        <v>61-90</v>
      </c>
      <c r="N128">
        <f t="shared" si="3"/>
        <v>5975</v>
      </c>
      <c r="O128" t="str">
        <f>VLOOKUP(K128,Agents!$A$1:$C$11,2,0)</f>
        <v>Manish Arora</v>
      </c>
      <c r="P128">
        <f t="shared" si="2"/>
        <v>0</v>
      </c>
    </row>
    <row r="129" spans="1:16" x14ac:dyDescent="0.25">
      <c r="A129" s="2" t="s">
        <v>307</v>
      </c>
      <c r="B129" s="2" t="s">
        <v>308</v>
      </c>
      <c r="C129" s="2" t="s">
        <v>29</v>
      </c>
      <c r="D129" s="2" t="s">
        <v>41</v>
      </c>
      <c r="E129" s="4">
        <v>46282</v>
      </c>
      <c r="F129" s="4">
        <v>46289</v>
      </c>
      <c r="G129" s="5">
        <v>3450</v>
      </c>
      <c r="H129" s="5"/>
      <c r="I129" s="2" t="s">
        <v>42</v>
      </c>
      <c r="J129" s="2" t="s">
        <v>1541</v>
      </c>
      <c r="K129" t="s">
        <v>43</v>
      </c>
      <c r="L129" s="12">
        <f>MIS_Report!$B$2-F129</f>
        <v>21</v>
      </c>
      <c r="M129" t="str" cm="1">
        <f t="array" ref="M129">_xlfn.IFS(L129&lt;=30,"0-30",L129&lt;=60,"31-60",L129&lt;=90,"61-90",TRUE,"90+")</f>
        <v>0-30</v>
      </c>
      <c r="N129">
        <f t="shared" si="3"/>
        <v>3450</v>
      </c>
      <c r="O129" t="str">
        <f>VLOOKUP(K129,Agents!$A$1:$C$11,2,0)</f>
        <v>Manish Arora</v>
      </c>
      <c r="P129">
        <f t="shared" si="2"/>
        <v>0</v>
      </c>
    </row>
    <row r="130" spans="1:16" x14ac:dyDescent="0.25">
      <c r="A130" s="2" t="s">
        <v>310</v>
      </c>
      <c r="B130" s="2" t="s">
        <v>162</v>
      </c>
      <c r="C130" s="2" t="s">
        <v>29</v>
      </c>
      <c r="D130" s="2" t="s">
        <v>41</v>
      </c>
      <c r="E130" s="4">
        <v>46173</v>
      </c>
      <c r="F130" s="4">
        <v>46176</v>
      </c>
      <c r="G130" s="5">
        <v>8600</v>
      </c>
      <c r="H130" s="5">
        <v>6471.65</v>
      </c>
      <c r="I130" s="2" t="s">
        <v>37</v>
      </c>
      <c r="J130" s="2" t="s">
        <v>1541</v>
      </c>
      <c r="K130" t="s">
        <v>109</v>
      </c>
      <c r="L130" s="12">
        <f>MIS_Report!$B$2-F130</f>
        <v>134</v>
      </c>
      <c r="M130" t="str" cm="1">
        <f t="array" ref="M130">_xlfn.IFS(L130&lt;=30,"0-30",L130&lt;=60,"31-60",L130&lt;=90,"61-90",TRUE,"90+")</f>
        <v>90+</v>
      </c>
      <c r="N130">
        <f t="shared" si="3"/>
        <v>0</v>
      </c>
      <c r="O130" t="str">
        <f>VLOOKUP(K130,Agents!$A$1:$C$11,2,0)</f>
        <v>Deepak Nair</v>
      </c>
      <c r="P130">
        <f t="shared" si="2"/>
        <v>0</v>
      </c>
    </row>
    <row r="131" spans="1:16" x14ac:dyDescent="0.25">
      <c r="A131" s="2" t="s">
        <v>311</v>
      </c>
      <c r="B131" s="2" t="s">
        <v>111</v>
      </c>
      <c r="C131" s="2" t="s">
        <v>79</v>
      </c>
      <c r="D131" s="2" t="s">
        <v>94</v>
      </c>
      <c r="E131" s="4">
        <v>46137</v>
      </c>
      <c r="F131" s="4">
        <v>46141</v>
      </c>
      <c r="G131" s="5">
        <v>8125</v>
      </c>
      <c r="H131" s="5">
        <v>0</v>
      </c>
      <c r="I131" s="2" t="s">
        <v>31</v>
      </c>
      <c r="J131" s="2" t="s">
        <v>312</v>
      </c>
      <c r="K131" t="s">
        <v>65</v>
      </c>
      <c r="L131" s="12">
        <f>MIS_Report!$B$2-F131</f>
        <v>169</v>
      </c>
      <c r="M131" t="str" cm="1">
        <f t="array" ref="M131">_xlfn.IFS(L131&lt;=30,"0-30",L131&lt;=60,"31-60",L131&lt;=90,"61-90",TRUE,"90+")</f>
        <v>90+</v>
      </c>
      <c r="N131">
        <f t="shared" si="3"/>
        <v>0</v>
      </c>
      <c r="O131" t="str">
        <f>VLOOKUP(K131,Agents!$A$1:$C$11,2,0)</f>
        <v>Deepak Nair</v>
      </c>
      <c r="P131">
        <f t="shared" ref="P131:P194" si="4">IF(I131="Denied",G131,0)</f>
        <v>8125</v>
      </c>
    </row>
    <row r="132" spans="1:16" x14ac:dyDescent="0.25">
      <c r="A132" s="2" t="s">
        <v>313</v>
      </c>
      <c r="B132" s="2" t="s">
        <v>314</v>
      </c>
      <c r="C132" s="2" t="s">
        <v>36</v>
      </c>
      <c r="D132" s="2" t="s">
        <v>41</v>
      </c>
      <c r="E132" s="4">
        <v>46119</v>
      </c>
      <c r="F132" s="4">
        <v>46128</v>
      </c>
      <c r="G132" s="5">
        <v>7850</v>
      </c>
      <c r="H132" s="5"/>
      <c r="I132" s="2" t="s">
        <v>42</v>
      </c>
      <c r="J132" s="2" t="s">
        <v>1541</v>
      </c>
      <c r="K132" t="s">
        <v>52</v>
      </c>
      <c r="L132" s="12">
        <f>MIS_Report!$B$2-F132</f>
        <v>182</v>
      </c>
      <c r="M132" t="str" cm="1">
        <f t="array" ref="M132">_xlfn.IFS(L132&lt;=30,"0-30",L132&lt;=60,"31-60",L132&lt;=90,"61-90",TRUE,"90+")</f>
        <v>90+</v>
      </c>
      <c r="N132">
        <f t="shared" si="3"/>
        <v>7850</v>
      </c>
      <c r="O132" t="str">
        <f>VLOOKUP(K132,Agents!$A$1:$C$11,2,0)</f>
        <v>Sunita Rao</v>
      </c>
      <c r="P132">
        <f t="shared" si="4"/>
        <v>0</v>
      </c>
    </row>
    <row r="133" spans="1:16" x14ac:dyDescent="0.25">
      <c r="A133" s="2" t="s">
        <v>315</v>
      </c>
      <c r="B133" s="2" t="s">
        <v>316</v>
      </c>
      <c r="C133" s="2" t="s">
        <v>79</v>
      </c>
      <c r="D133" s="2" t="s">
        <v>30</v>
      </c>
      <c r="E133" s="4">
        <v>46261</v>
      </c>
      <c r="F133" s="4">
        <v>46264</v>
      </c>
      <c r="G133" s="5">
        <v>4700</v>
      </c>
      <c r="H133" s="5"/>
      <c r="I133" s="2" t="s">
        <v>42</v>
      </c>
      <c r="J133" s="2" t="s">
        <v>1541</v>
      </c>
      <c r="K133" t="s">
        <v>43</v>
      </c>
      <c r="L133" s="12">
        <f>MIS_Report!$B$2-F133</f>
        <v>46</v>
      </c>
      <c r="M133" t="str" cm="1">
        <f t="array" ref="M133">_xlfn.IFS(L133&lt;=30,"0-30",L133&lt;=60,"31-60",L133&lt;=90,"61-90",TRUE,"90+")</f>
        <v>31-60</v>
      </c>
      <c r="N133">
        <f t="shared" ref="N133:N196" si="5">IF(I133="Pending",G133-H133,0)</f>
        <v>4700</v>
      </c>
      <c r="O133" t="str">
        <f>VLOOKUP(K133,Agents!$A$1:$C$11,2,0)</f>
        <v>Manish Arora</v>
      </c>
      <c r="P133">
        <f t="shared" si="4"/>
        <v>0</v>
      </c>
    </row>
    <row r="134" spans="1:16" x14ac:dyDescent="0.25">
      <c r="A134" s="2" t="s">
        <v>317</v>
      </c>
      <c r="B134" s="2" t="s">
        <v>318</v>
      </c>
      <c r="C134" s="2" t="s">
        <v>29</v>
      </c>
      <c r="D134" s="2" t="s">
        <v>68</v>
      </c>
      <c r="E134" s="4">
        <v>46117</v>
      </c>
      <c r="F134" s="4">
        <v>46121</v>
      </c>
      <c r="G134" s="5">
        <v>3000</v>
      </c>
      <c r="H134" s="5">
        <v>2947.83</v>
      </c>
      <c r="I134" s="2" t="s">
        <v>37</v>
      </c>
      <c r="J134" s="2" t="s">
        <v>1541</v>
      </c>
      <c r="K134" t="s">
        <v>33</v>
      </c>
      <c r="L134" s="12">
        <f>MIS_Report!$B$2-F134</f>
        <v>189</v>
      </c>
      <c r="M134" t="str" cm="1">
        <f t="array" ref="M134">_xlfn.IFS(L134&lt;=30,"0-30",L134&lt;=60,"31-60",L134&lt;=90,"61-90",TRUE,"90+")</f>
        <v>90+</v>
      </c>
      <c r="N134">
        <f t="shared" si="5"/>
        <v>0</v>
      </c>
      <c r="O134" t="str">
        <f>VLOOKUP(K134,Agents!$A$1:$C$11,2,0)</f>
        <v>Manish Arora</v>
      </c>
      <c r="P134">
        <f t="shared" si="4"/>
        <v>0</v>
      </c>
    </row>
    <row r="135" spans="1:16" x14ac:dyDescent="0.25">
      <c r="A135" s="2" t="s">
        <v>319</v>
      </c>
      <c r="B135" s="2" t="s">
        <v>320</v>
      </c>
      <c r="C135" s="2" t="s">
        <v>79</v>
      </c>
      <c r="D135" s="2" t="s">
        <v>61</v>
      </c>
      <c r="E135" s="4">
        <v>46177</v>
      </c>
      <c r="F135" s="4">
        <v>46194</v>
      </c>
      <c r="G135" s="5">
        <v>10925</v>
      </c>
      <c r="H135" s="5">
        <v>7518.84</v>
      </c>
      <c r="I135" s="2" t="s">
        <v>37</v>
      </c>
      <c r="J135" s="2" t="s">
        <v>1541</v>
      </c>
      <c r="K135" t="s">
        <v>43</v>
      </c>
      <c r="L135" s="12">
        <f>MIS_Report!$B$2-F135</f>
        <v>116</v>
      </c>
      <c r="M135" t="str" cm="1">
        <f t="array" ref="M135">_xlfn.IFS(L135&lt;=30,"0-30",L135&lt;=60,"31-60",L135&lt;=90,"61-90",TRUE,"90+")</f>
        <v>90+</v>
      </c>
      <c r="N135">
        <f t="shared" si="5"/>
        <v>0</v>
      </c>
      <c r="O135" t="str">
        <f>VLOOKUP(K135,Agents!$A$1:$C$11,2,0)</f>
        <v>Manish Arora</v>
      </c>
      <c r="P135">
        <f t="shared" si="4"/>
        <v>0</v>
      </c>
    </row>
    <row r="136" spans="1:16" x14ac:dyDescent="0.25">
      <c r="A136" s="2" t="s">
        <v>321</v>
      </c>
      <c r="B136" s="2" t="s">
        <v>322</v>
      </c>
      <c r="C136" s="2" t="s">
        <v>36</v>
      </c>
      <c r="D136" s="2" t="s">
        <v>30</v>
      </c>
      <c r="E136" s="4">
        <v>46267</v>
      </c>
      <c r="F136" s="4">
        <v>46279</v>
      </c>
      <c r="G136" s="5">
        <v>7275</v>
      </c>
      <c r="H136" s="5"/>
      <c r="I136" s="2" t="s">
        <v>42</v>
      </c>
      <c r="J136" s="2" t="s">
        <v>1541</v>
      </c>
      <c r="K136" t="s">
        <v>43</v>
      </c>
      <c r="L136" s="12">
        <f>MIS_Report!$B$2-F136</f>
        <v>31</v>
      </c>
      <c r="M136" t="str" cm="1">
        <f t="array" ref="M136">_xlfn.IFS(L136&lt;=30,"0-30",L136&lt;=60,"31-60",L136&lt;=90,"61-90",TRUE,"90+")</f>
        <v>31-60</v>
      </c>
      <c r="N136">
        <f t="shared" si="5"/>
        <v>7275</v>
      </c>
      <c r="O136" t="str">
        <f>VLOOKUP(K136,Agents!$A$1:$C$11,2,0)</f>
        <v>Manish Arora</v>
      </c>
      <c r="P136">
        <f t="shared" si="4"/>
        <v>0</v>
      </c>
    </row>
    <row r="137" spans="1:16" x14ac:dyDescent="0.25">
      <c r="A137" s="2" t="s">
        <v>323</v>
      </c>
      <c r="B137" s="2" t="s">
        <v>324</v>
      </c>
      <c r="C137" s="2" t="s">
        <v>29</v>
      </c>
      <c r="D137" s="2" t="s">
        <v>94</v>
      </c>
      <c r="E137" s="4">
        <v>46169</v>
      </c>
      <c r="F137" s="4">
        <v>46177</v>
      </c>
      <c r="G137" s="5">
        <v>6075</v>
      </c>
      <c r="H137" s="5">
        <v>3587.24</v>
      </c>
      <c r="I137" s="2" t="s">
        <v>37</v>
      </c>
      <c r="J137" s="2" t="s">
        <v>1541</v>
      </c>
      <c r="K137" t="s">
        <v>48</v>
      </c>
      <c r="L137" s="12">
        <f>MIS_Report!$B$2-F137</f>
        <v>133</v>
      </c>
      <c r="M137" t="str" cm="1">
        <f t="array" ref="M137">_xlfn.IFS(L137&lt;=30,"0-30",L137&lt;=60,"31-60",L137&lt;=90,"61-90",TRUE,"90+")</f>
        <v>90+</v>
      </c>
      <c r="N137">
        <f t="shared" si="5"/>
        <v>0</v>
      </c>
      <c r="O137" t="str">
        <f>VLOOKUP(K137,Agents!$A$1:$C$11,2,0)</f>
        <v>Manish Arora</v>
      </c>
      <c r="P137">
        <f t="shared" si="4"/>
        <v>0</v>
      </c>
    </row>
    <row r="138" spans="1:16" x14ac:dyDescent="0.25">
      <c r="A138" s="2" t="s">
        <v>325</v>
      </c>
      <c r="B138" s="2" t="s">
        <v>326</v>
      </c>
      <c r="C138" s="2" t="s">
        <v>46</v>
      </c>
      <c r="D138" s="2" t="s">
        <v>55</v>
      </c>
      <c r="E138" s="4">
        <v>46290</v>
      </c>
      <c r="F138" s="4">
        <v>46294</v>
      </c>
      <c r="G138" s="5">
        <v>475</v>
      </c>
      <c r="H138" s="5"/>
      <c r="I138" s="2" t="s">
        <v>42</v>
      </c>
      <c r="J138" s="2" t="s">
        <v>1541</v>
      </c>
      <c r="K138" t="s">
        <v>109</v>
      </c>
      <c r="L138" s="12">
        <f>MIS_Report!$B$2-F138</f>
        <v>16</v>
      </c>
      <c r="M138" t="str" cm="1">
        <f t="array" ref="M138">_xlfn.IFS(L138&lt;=30,"0-30",L138&lt;=60,"31-60",L138&lt;=90,"61-90",TRUE,"90+")</f>
        <v>0-30</v>
      </c>
      <c r="N138">
        <f t="shared" si="5"/>
        <v>475</v>
      </c>
      <c r="O138" t="str">
        <f>VLOOKUP(K138,Agents!$A$1:$C$11,2,0)</f>
        <v>Deepak Nair</v>
      </c>
      <c r="P138">
        <f t="shared" si="4"/>
        <v>0</v>
      </c>
    </row>
    <row r="139" spans="1:16" x14ac:dyDescent="0.25">
      <c r="A139" s="2" t="s">
        <v>327</v>
      </c>
      <c r="B139" s="2" t="s">
        <v>328</v>
      </c>
      <c r="C139" s="2" t="s">
        <v>79</v>
      </c>
      <c r="D139" s="2" t="s">
        <v>41</v>
      </c>
      <c r="E139" s="4">
        <v>46059</v>
      </c>
      <c r="F139" s="4">
        <v>46067</v>
      </c>
      <c r="G139" s="5">
        <v>7575</v>
      </c>
      <c r="H139" s="5"/>
      <c r="I139" s="2" t="s">
        <v>42</v>
      </c>
      <c r="J139" s="2" t="s">
        <v>1541</v>
      </c>
      <c r="K139" t="s">
        <v>83</v>
      </c>
      <c r="L139" s="12">
        <f>MIS_Report!$B$2-F139</f>
        <v>243</v>
      </c>
      <c r="M139" t="str" cm="1">
        <f t="array" ref="M139">_xlfn.IFS(L139&lt;=30,"0-30",L139&lt;=60,"31-60",L139&lt;=90,"61-90",TRUE,"90+")</f>
        <v>90+</v>
      </c>
      <c r="N139">
        <f t="shared" si="5"/>
        <v>7575</v>
      </c>
      <c r="O139" t="str">
        <f>VLOOKUP(K139,Agents!$A$1:$C$11,2,0)</f>
        <v>Deepak Nair</v>
      </c>
      <c r="P139">
        <f t="shared" si="4"/>
        <v>0</v>
      </c>
    </row>
    <row r="140" spans="1:16" x14ac:dyDescent="0.25">
      <c r="A140" s="2" t="s">
        <v>329</v>
      </c>
      <c r="B140" s="2" t="s">
        <v>330</v>
      </c>
      <c r="C140" s="2" t="s">
        <v>29</v>
      </c>
      <c r="D140" s="2" t="s">
        <v>94</v>
      </c>
      <c r="E140" s="4">
        <v>46029</v>
      </c>
      <c r="F140" s="4">
        <v>46037</v>
      </c>
      <c r="G140" s="5">
        <v>4150</v>
      </c>
      <c r="H140" s="5"/>
      <c r="I140" s="2" t="s">
        <v>42</v>
      </c>
      <c r="J140" s="2" t="s">
        <v>1541</v>
      </c>
      <c r="K140" t="s">
        <v>109</v>
      </c>
      <c r="L140" s="12">
        <f>MIS_Report!$B$2-F140</f>
        <v>273</v>
      </c>
      <c r="M140" t="str" cm="1">
        <f t="array" ref="M140">_xlfn.IFS(L140&lt;=30,"0-30",L140&lt;=60,"31-60",L140&lt;=90,"61-90",TRUE,"90+")</f>
        <v>90+</v>
      </c>
      <c r="N140">
        <f t="shared" si="5"/>
        <v>4150</v>
      </c>
      <c r="O140" t="str">
        <f>VLOOKUP(K140,Agents!$A$1:$C$11,2,0)</f>
        <v>Deepak Nair</v>
      </c>
      <c r="P140">
        <f t="shared" si="4"/>
        <v>0</v>
      </c>
    </row>
    <row r="141" spans="1:16" x14ac:dyDescent="0.25">
      <c r="A141" s="2" t="s">
        <v>331</v>
      </c>
      <c r="B141" s="2" t="s">
        <v>129</v>
      </c>
      <c r="C141" s="2" t="s">
        <v>46</v>
      </c>
      <c r="D141" s="2" t="s">
        <v>61</v>
      </c>
      <c r="E141" s="4">
        <v>46216</v>
      </c>
      <c r="F141" s="4">
        <v>46219</v>
      </c>
      <c r="G141" s="5">
        <v>13075</v>
      </c>
      <c r="H141" s="5">
        <v>11761.56</v>
      </c>
      <c r="I141" s="2" t="s">
        <v>37</v>
      </c>
      <c r="J141" s="2" t="s">
        <v>1541</v>
      </c>
      <c r="K141" t="s">
        <v>65</v>
      </c>
      <c r="L141" s="12">
        <f>MIS_Report!$B$2-F141</f>
        <v>91</v>
      </c>
      <c r="M141" t="str" cm="1">
        <f t="array" ref="M141">_xlfn.IFS(L141&lt;=30,"0-30",L141&lt;=60,"31-60",L141&lt;=90,"61-90",TRUE,"90+")</f>
        <v>90+</v>
      </c>
      <c r="N141">
        <f t="shared" si="5"/>
        <v>0</v>
      </c>
      <c r="O141" t="str">
        <f>VLOOKUP(K141,Agents!$A$1:$C$11,2,0)</f>
        <v>Deepak Nair</v>
      </c>
      <c r="P141">
        <f t="shared" si="4"/>
        <v>0</v>
      </c>
    </row>
    <row r="142" spans="1:16" x14ac:dyDescent="0.25">
      <c r="A142" s="2" t="s">
        <v>332</v>
      </c>
      <c r="B142" s="2" t="s">
        <v>333</v>
      </c>
      <c r="C142" s="2" t="s">
        <v>79</v>
      </c>
      <c r="D142" s="2" t="s">
        <v>30</v>
      </c>
      <c r="E142" s="4">
        <v>46020</v>
      </c>
      <c r="F142" s="4">
        <v>46039</v>
      </c>
      <c r="G142" s="5">
        <v>7750</v>
      </c>
      <c r="H142" s="5">
        <v>0</v>
      </c>
      <c r="I142" s="2" t="s">
        <v>31</v>
      </c>
      <c r="J142" s="2" t="s">
        <v>271</v>
      </c>
      <c r="K142" t="s">
        <v>33</v>
      </c>
      <c r="L142" s="12">
        <f>MIS_Report!$B$2-F142</f>
        <v>271</v>
      </c>
      <c r="M142" t="str" cm="1">
        <f t="array" ref="M142">_xlfn.IFS(L142&lt;=30,"0-30",L142&lt;=60,"31-60",L142&lt;=90,"61-90",TRUE,"90+")</f>
        <v>90+</v>
      </c>
      <c r="N142">
        <f t="shared" si="5"/>
        <v>0</v>
      </c>
      <c r="O142" t="str">
        <f>VLOOKUP(K142,Agents!$A$1:$C$11,2,0)</f>
        <v>Manish Arora</v>
      </c>
      <c r="P142">
        <f t="shared" si="4"/>
        <v>7750</v>
      </c>
    </row>
    <row r="143" spans="1:16" x14ac:dyDescent="0.25">
      <c r="A143" s="2" t="s">
        <v>334</v>
      </c>
      <c r="B143" s="2" t="s">
        <v>335</v>
      </c>
      <c r="C143" s="2" t="s">
        <v>79</v>
      </c>
      <c r="D143" s="2" t="s">
        <v>61</v>
      </c>
      <c r="E143" s="4">
        <v>46064</v>
      </c>
      <c r="F143" s="4">
        <v>46080</v>
      </c>
      <c r="G143" s="5">
        <v>6300</v>
      </c>
      <c r="H143" s="5">
        <v>4191.2299999999996</v>
      </c>
      <c r="I143" s="2" t="s">
        <v>37</v>
      </c>
      <c r="J143" s="2" t="s">
        <v>1541</v>
      </c>
      <c r="K143" t="s">
        <v>83</v>
      </c>
      <c r="L143" s="12">
        <f>MIS_Report!$B$2-F143</f>
        <v>230</v>
      </c>
      <c r="M143" t="str" cm="1">
        <f t="array" ref="M143">_xlfn.IFS(L143&lt;=30,"0-30",L143&lt;=60,"31-60",L143&lt;=90,"61-90",TRUE,"90+")</f>
        <v>90+</v>
      </c>
      <c r="N143">
        <f t="shared" si="5"/>
        <v>0</v>
      </c>
      <c r="O143" t="str">
        <f>VLOOKUP(K143,Agents!$A$1:$C$11,2,0)</f>
        <v>Deepak Nair</v>
      </c>
      <c r="P143">
        <f t="shared" si="4"/>
        <v>0</v>
      </c>
    </row>
    <row r="144" spans="1:16" x14ac:dyDescent="0.25">
      <c r="A144" s="2" t="s">
        <v>336</v>
      </c>
      <c r="B144" s="2" t="s">
        <v>337</v>
      </c>
      <c r="C144" s="2" t="s">
        <v>29</v>
      </c>
      <c r="D144" s="2" t="s">
        <v>80</v>
      </c>
      <c r="E144" s="4">
        <v>46118</v>
      </c>
      <c r="F144" s="4">
        <v>46136</v>
      </c>
      <c r="G144" s="5">
        <v>6975</v>
      </c>
      <c r="H144" s="5">
        <v>6079.58</v>
      </c>
      <c r="I144" s="2" t="s">
        <v>37</v>
      </c>
      <c r="J144" s="2" t="s">
        <v>1541</v>
      </c>
      <c r="K144" t="s">
        <v>33</v>
      </c>
      <c r="L144" s="12">
        <f>MIS_Report!$B$2-F144</f>
        <v>174</v>
      </c>
      <c r="M144" t="str" cm="1">
        <f t="array" ref="M144">_xlfn.IFS(L144&lt;=30,"0-30",L144&lt;=60,"31-60",L144&lt;=90,"61-90",TRUE,"90+")</f>
        <v>90+</v>
      </c>
      <c r="N144">
        <f t="shared" si="5"/>
        <v>0</v>
      </c>
      <c r="O144" t="str">
        <f>VLOOKUP(K144,Agents!$A$1:$C$11,2,0)</f>
        <v>Manish Arora</v>
      </c>
      <c r="P144">
        <f t="shared" si="4"/>
        <v>0</v>
      </c>
    </row>
    <row r="145" spans="1:16" x14ac:dyDescent="0.25">
      <c r="A145" s="2" t="s">
        <v>339</v>
      </c>
      <c r="B145" s="2" t="s">
        <v>201</v>
      </c>
      <c r="C145" s="2" t="s">
        <v>46</v>
      </c>
      <c r="D145" s="2" t="s">
        <v>80</v>
      </c>
      <c r="E145" s="4">
        <v>46182</v>
      </c>
      <c r="F145" s="4">
        <v>46189</v>
      </c>
      <c r="G145" s="5">
        <v>750</v>
      </c>
      <c r="H145" s="5">
        <v>582.5</v>
      </c>
      <c r="I145" s="2" t="s">
        <v>37</v>
      </c>
      <c r="J145" s="2" t="s">
        <v>1541</v>
      </c>
      <c r="K145" t="s">
        <v>56</v>
      </c>
      <c r="L145" s="12">
        <f>MIS_Report!$B$2-F145</f>
        <v>121</v>
      </c>
      <c r="M145" t="str" cm="1">
        <f t="array" ref="M145">_xlfn.IFS(L145&lt;=30,"0-30",L145&lt;=60,"31-60",L145&lt;=90,"61-90",TRUE,"90+")</f>
        <v>90+</v>
      </c>
      <c r="N145">
        <f t="shared" si="5"/>
        <v>0</v>
      </c>
      <c r="O145" t="str">
        <f>VLOOKUP(K145,Agents!$A$1:$C$11,2,0)</f>
        <v>Manish Arora</v>
      </c>
      <c r="P145">
        <f t="shared" si="4"/>
        <v>0</v>
      </c>
    </row>
    <row r="146" spans="1:16" x14ac:dyDescent="0.25">
      <c r="A146" s="2" t="s">
        <v>340</v>
      </c>
      <c r="B146" s="2" t="s">
        <v>341</v>
      </c>
      <c r="C146" s="2" t="s">
        <v>79</v>
      </c>
      <c r="D146" s="2" t="s">
        <v>41</v>
      </c>
      <c r="E146" s="4">
        <v>46054</v>
      </c>
      <c r="F146" s="4">
        <v>46060</v>
      </c>
      <c r="G146" s="5">
        <v>4850</v>
      </c>
      <c r="H146" s="5">
        <v>4395.18</v>
      </c>
      <c r="I146" s="2" t="s">
        <v>37</v>
      </c>
      <c r="J146" s="2" t="s">
        <v>1541</v>
      </c>
      <c r="K146" t="s">
        <v>38</v>
      </c>
      <c r="L146" s="12">
        <f>MIS_Report!$B$2-F146</f>
        <v>250</v>
      </c>
      <c r="M146" t="str" cm="1">
        <f t="array" ref="M146">_xlfn.IFS(L146&lt;=30,"0-30",L146&lt;=60,"31-60",L146&lt;=90,"61-90",TRUE,"90+")</f>
        <v>90+</v>
      </c>
      <c r="N146">
        <f t="shared" si="5"/>
        <v>0</v>
      </c>
      <c r="O146" t="str">
        <f>VLOOKUP(K146,Agents!$A$1:$C$11,2,0)</f>
        <v>Sunita Rao</v>
      </c>
      <c r="P146">
        <f t="shared" si="4"/>
        <v>0</v>
      </c>
    </row>
    <row r="147" spans="1:16" x14ac:dyDescent="0.25">
      <c r="A147" s="2" t="s">
        <v>342</v>
      </c>
      <c r="B147" s="2" t="s">
        <v>343</v>
      </c>
      <c r="C147" s="2" t="s">
        <v>79</v>
      </c>
      <c r="D147" s="2" t="s">
        <v>55</v>
      </c>
      <c r="E147" s="4">
        <v>46031</v>
      </c>
      <c r="F147" s="4">
        <v>46044</v>
      </c>
      <c r="G147" s="5">
        <v>13750</v>
      </c>
      <c r="H147" s="5">
        <v>10646.01</v>
      </c>
      <c r="I147" s="2" t="s">
        <v>37</v>
      </c>
      <c r="J147" s="2" t="s">
        <v>1541</v>
      </c>
      <c r="K147" t="s">
        <v>43</v>
      </c>
      <c r="L147" s="12">
        <f>MIS_Report!$B$2-F147</f>
        <v>266</v>
      </c>
      <c r="M147" t="str" cm="1">
        <f t="array" ref="M147">_xlfn.IFS(L147&lt;=30,"0-30",L147&lt;=60,"31-60",L147&lt;=90,"61-90",TRUE,"90+")</f>
        <v>90+</v>
      </c>
      <c r="N147">
        <f t="shared" si="5"/>
        <v>0</v>
      </c>
      <c r="O147" t="str">
        <f>VLOOKUP(K147,Agents!$A$1:$C$11,2,0)</f>
        <v>Manish Arora</v>
      </c>
      <c r="P147">
        <f t="shared" si="4"/>
        <v>0</v>
      </c>
    </row>
    <row r="148" spans="1:16" x14ac:dyDescent="0.25">
      <c r="A148" s="2" t="s">
        <v>344</v>
      </c>
      <c r="B148" s="2" t="s">
        <v>345</v>
      </c>
      <c r="C148" s="2" t="s">
        <v>36</v>
      </c>
      <c r="D148" s="2" t="s">
        <v>41</v>
      </c>
      <c r="E148" s="4">
        <v>46086</v>
      </c>
      <c r="F148" s="4">
        <v>46104</v>
      </c>
      <c r="G148" s="5">
        <v>11925</v>
      </c>
      <c r="H148" s="5">
        <v>8514.32</v>
      </c>
      <c r="I148" s="2" t="s">
        <v>37</v>
      </c>
      <c r="J148" s="2" t="s">
        <v>1541</v>
      </c>
      <c r="K148" t="s">
        <v>109</v>
      </c>
      <c r="L148" s="12">
        <f>MIS_Report!$B$2-F148</f>
        <v>206</v>
      </c>
      <c r="M148" t="str" cm="1">
        <f t="array" ref="M148">_xlfn.IFS(L148&lt;=30,"0-30",L148&lt;=60,"31-60",L148&lt;=90,"61-90",TRUE,"90+")</f>
        <v>90+</v>
      </c>
      <c r="N148">
        <f t="shared" si="5"/>
        <v>0</v>
      </c>
      <c r="O148" t="str">
        <f>VLOOKUP(K148,Agents!$A$1:$C$11,2,0)</f>
        <v>Deepak Nair</v>
      </c>
      <c r="P148">
        <f t="shared" si="4"/>
        <v>0</v>
      </c>
    </row>
    <row r="149" spans="1:16" x14ac:dyDescent="0.25">
      <c r="A149" s="2" t="s">
        <v>346</v>
      </c>
      <c r="B149" s="2" t="s">
        <v>197</v>
      </c>
      <c r="C149" s="2" t="s">
        <v>79</v>
      </c>
      <c r="D149" s="2" t="s">
        <v>41</v>
      </c>
      <c r="E149" s="4">
        <v>46084</v>
      </c>
      <c r="F149" s="4">
        <v>46091</v>
      </c>
      <c r="G149" s="5">
        <v>11950</v>
      </c>
      <c r="H149" s="5">
        <v>0</v>
      </c>
      <c r="I149" s="2" t="s">
        <v>31</v>
      </c>
      <c r="J149" s="2" t="s">
        <v>347</v>
      </c>
      <c r="K149" t="s">
        <v>83</v>
      </c>
      <c r="L149" s="12">
        <f>MIS_Report!$B$2-F149</f>
        <v>219</v>
      </c>
      <c r="M149" t="str" cm="1">
        <f t="array" ref="M149">_xlfn.IFS(L149&lt;=30,"0-30",L149&lt;=60,"31-60",L149&lt;=90,"61-90",TRUE,"90+")</f>
        <v>90+</v>
      </c>
      <c r="N149">
        <f t="shared" si="5"/>
        <v>0</v>
      </c>
      <c r="O149" t="str">
        <f>VLOOKUP(K149,Agents!$A$1:$C$11,2,0)</f>
        <v>Deepak Nair</v>
      </c>
      <c r="P149">
        <f t="shared" si="4"/>
        <v>11950</v>
      </c>
    </row>
    <row r="150" spans="1:16" x14ac:dyDescent="0.25">
      <c r="A150" s="2" t="s">
        <v>348</v>
      </c>
      <c r="B150" s="2" t="s">
        <v>349</v>
      </c>
      <c r="C150" s="2" t="s">
        <v>36</v>
      </c>
      <c r="D150" s="2" t="s">
        <v>68</v>
      </c>
      <c r="E150" s="4">
        <v>46157</v>
      </c>
      <c r="F150" s="4">
        <v>46175</v>
      </c>
      <c r="G150" s="5">
        <v>11150</v>
      </c>
      <c r="H150" s="5"/>
      <c r="I150" s="2" t="s">
        <v>42</v>
      </c>
      <c r="J150" s="2" t="s">
        <v>1541</v>
      </c>
      <c r="K150" t="s">
        <v>109</v>
      </c>
      <c r="L150" s="12">
        <f>MIS_Report!$B$2-F150</f>
        <v>135</v>
      </c>
      <c r="M150" t="str" cm="1">
        <f t="array" ref="M150">_xlfn.IFS(L150&lt;=30,"0-30",L150&lt;=60,"31-60",L150&lt;=90,"61-90",TRUE,"90+")</f>
        <v>90+</v>
      </c>
      <c r="N150">
        <f t="shared" si="5"/>
        <v>11150</v>
      </c>
      <c r="O150" t="str">
        <f>VLOOKUP(K150,Agents!$A$1:$C$11,2,0)</f>
        <v>Deepak Nair</v>
      </c>
      <c r="P150">
        <f t="shared" si="4"/>
        <v>0</v>
      </c>
    </row>
    <row r="151" spans="1:16" x14ac:dyDescent="0.25">
      <c r="A151" s="2" t="s">
        <v>350</v>
      </c>
      <c r="B151" s="2" t="s">
        <v>106</v>
      </c>
      <c r="C151" s="2" t="s">
        <v>79</v>
      </c>
      <c r="D151" s="2" t="s">
        <v>55</v>
      </c>
      <c r="E151" s="4">
        <v>46128</v>
      </c>
      <c r="F151" s="4">
        <v>46140</v>
      </c>
      <c r="G151" s="5">
        <v>6775</v>
      </c>
      <c r="H151" s="5">
        <v>0</v>
      </c>
      <c r="I151" s="2" t="s">
        <v>31</v>
      </c>
      <c r="J151" s="2" t="s">
        <v>312</v>
      </c>
      <c r="K151" t="s">
        <v>52</v>
      </c>
      <c r="L151" s="12">
        <f>MIS_Report!$B$2-F151</f>
        <v>170</v>
      </c>
      <c r="M151" t="str" cm="1">
        <f t="array" ref="M151">_xlfn.IFS(L151&lt;=30,"0-30",L151&lt;=60,"31-60",L151&lt;=90,"61-90",TRUE,"90+")</f>
        <v>90+</v>
      </c>
      <c r="N151">
        <f t="shared" si="5"/>
        <v>0</v>
      </c>
      <c r="O151" t="str">
        <f>VLOOKUP(K151,Agents!$A$1:$C$11,2,0)</f>
        <v>Sunita Rao</v>
      </c>
      <c r="P151">
        <f t="shared" si="4"/>
        <v>6775</v>
      </c>
    </row>
    <row r="152" spans="1:16" x14ac:dyDescent="0.25">
      <c r="A152" s="2" t="s">
        <v>351</v>
      </c>
      <c r="B152" s="2" t="s">
        <v>282</v>
      </c>
      <c r="C152" s="2" t="s">
        <v>79</v>
      </c>
      <c r="D152" s="2" t="s">
        <v>55</v>
      </c>
      <c r="E152" s="4">
        <v>46130</v>
      </c>
      <c r="F152" s="4">
        <v>46134</v>
      </c>
      <c r="G152" s="5">
        <v>4400</v>
      </c>
      <c r="H152" s="5">
        <v>2535.87</v>
      </c>
      <c r="I152" s="2" t="s">
        <v>37</v>
      </c>
      <c r="J152" s="2" t="s">
        <v>1541</v>
      </c>
      <c r="K152" t="s">
        <v>38</v>
      </c>
      <c r="L152" s="12">
        <f>MIS_Report!$B$2-F152</f>
        <v>176</v>
      </c>
      <c r="M152" t="str" cm="1">
        <f t="array" ref="M152">_xlfn.IFS(L152&lt;=30,"0-30",L152&lt;=60,"31-60",L152&lt;=90,"61-90",TRUE,"90+")</f>
        <v>90+</v>
      </c>
      <c r="N152">
        <f t="shared" si="5"/>
        <v>0</v>
      </c>
      <c r="O152" t="str">
        <f>VLOOKUP(K152,Agents!$A$1:$C$11,2,0)</f>
        <v>Sunita Rao</v>
      </c>
      <c r="P152">
        <f t="shared" si="4"/>
        <v>0</v>
      </c>
    </row>
    <row r="153" spans="1:16" x14ac:dyDescent="0.25">
      <c r="A153" s="2" t="s">
        <v>352</v>
      </c>
      <c r="B153" s="2" t="s">
        <v>353</v>
      </c>
      <c r="C153" s="2" t="s">
        <v>79</v>
      </c>
      <c r="D153" s="2" t="s">
        <v>30</v>
      </c>
      <c r="E153" s="4">
        <v>46117</v>
      </c>
      <c r="F153" s="4">
        <v>46132</v>
      </c>
      <c r="G153" s="5">
        <v>9975</v>
      </c>
      <c r="H153" s="5">
        <v>7045.7</v>
      </c>
      <c r="I153" s="2" t="s">
        <v>37</v>
      </c>
      <c r="J153" s="2" t="s">
        <v>1541</v>
      </c>
      <c r="K153" t="s">
        <v>38</v>
      </c>
      <c r="L153" s="12">
        <f>MIS_Report!$B$2-F153</f>
        <v>178</v>
      </c>
      <c r="M153" t="str" cm="1">
        <f t="array" ref="M153">_xlfn.IFS(L153&lt;=30,"0-30",L153&lt;=60,"31-60",L153&lt;=90,"61-90",TRUE,"90+")</f>
        <v>90+</v>
      </c>
      <c r="N153">
        <f t="shared" si="5"/>
        <v>0</v>
      </c>
      <c r="O153" t="str">
        <f>VLOOKUP(K153,Agents!$A$1:$C$11,2,0)</f>
        <v>Sunita Rao</v>
      </c>
      <c r="P153">
        <f t="shared" si="4"/>
        <v>0</v>
      </c>
    </row>
    <row r="154" spans="1:16" x14ac:dyDescent="0.25">
      <c r="A154" s="2" t="s">
        <v>354</v>
      </c>
      <c r="B154" s="2" t="s">
        <v>176</v>
      </c>
      <c r="C154" s="2" t="s">
        <v>29</v>
      </c>
      <c r="D154" s="2" t="s">
        <v>41</v>
      </c>
      <c r="E154" s="4">
        <v>46115</v>
      </c>
      <c r="F154" s="4">
        <v>46132</v>
      </c>
      <c r="G154" s="5">
        <v>8175</v>
      </c>
      <c r="H154" s="5">
        <v>6801.55</v>
      </c>
      <c r="I154" s="2" t="s">
        <v>37</v>
      </c>
      <c r="J154" s="2" t="s">
        <v>1541</v>
      </c>
      <c r="K154" t="s">
        <v>38</v>
      </c>
      <c r="L154" s="12">
        <f>MIS_Report!$B$2-F154</f>
        <v>178</v>
      </c>
      <c r="M154" t="str" cm="1">
        <f t="array" ref="M154">_xlfn.IFS(L154&lt;=30,"0-30",L154&lt;=60,"31-60",L154&lt;=90,"61-90",TRUE,"90+")</f>
        <v>90+</v>
      </c>
      <c r="N154">
        <f t="shared" si="5"/>
        <v>0</v>
      </c>
      <c r="O154" t="str">
        <f>VLOOKUP(K154,Agents!$A$1:$C$11,2,0)</f>
        <v>Sunita Rao</v>
      </c>
      <c r="P154">
        <f t="shared" si="4"/>
        <v>0</v>
      </c>
    </row>
    <row r="155" spans="1:16" x14ac:dyDescent="0.25">
      <c r="A155" s="2" t="s">
        <v>355</v>
      </c>
      <c r="B155" s="2" t="s">
        <v>356</v>
      </c>
      <c r="C155" s="2" t="s">
        <v>46</v>
      </c>
      <c r="D155" s="2" t="s">
        <v>30</v>
      </c>
      <c r="E155" s="4">
        <v>46232</v>
      </c>
      <c r="F155" s="4">
        <v>46237</v>
      </c>
      <c r="G155" s="5">
        <v>1500</v>
      </c>
      <c r="H155" s="5"/>
      <c r="I155" s="2" t="s">
        <v>42</v>
      </c>
      <c r="J155" s="2" t="s">
        <v>1541</v>
      </c>
      <c r="K155" t="s">
        <v>83</v>
      </c>
      <c r="L155" s="12">
        <f>MIS_Report!$B$2-F155</f>
        <v>73</v>
      </c>
      <c r="M155" t="str" cm="1">
        <f t="array" ref="M155">_xlfn.IFS(L155&lt;=30,"0-30",L155&lt;=60,"31-60",L155&lt;=90,"61-90",TRUE,"90+")</f>
        <v>61-90</v>
      </c>
      <c r="N155">
        <f t="shared" si="5"/>
        <v>1500</v>
      </c>
      <c r="O155" t="str">
        <f>VLOOKUP(K155,Agents!$A$1:$C$11,2,0)</f>
        <v>Deepak Nair</v>
      </c>
      <c r="P155">
        <f t="shared" si="4"/>
        <v>0</v>
      </c>
    </row>
    <row r="156" spans="1:16" x14ac:dyDescent="0.25">
      <c r="A156" s="2" t="s">
        <v>357</v>
      </c>
      <c r="B156" s="2" t="s">
        <v>358</v>
      </c>
      <c r="C156" s="2" t="s">
        <v>36</v>
      </c>
      <c r="D156" s="2" t="s">
        <v>55</v>
      </c>
      <c r="E156" s="4">
        <v>46105</v>
      </c>
      <c r="F156" s="4">
        <v>46116</v>
      </c>
      <c r="G156" s="5">
        <v>13400</v>
      </c>
      <c r="H156" s="5">
        <v>0</v>
      </c>
      <c r="I156" s="2" t="s">
        <v>31</v>
      </c>
      <c r="J156" s="2" t="s">
        <v>271</v>
      </c>
      <c r="K156" t="s">
        <v>33</v>
      </c>
      <c r="L156" s="12">
        <f>MIS_Report!$B$2-F156</f>
        <v>194</v>
      </c>
      <c r="M156" t="str" cm="1">
        <f t="array" ref="M156">_xlfn.IFS(L156&lt;=30,"0-30",L156&lt;=60,"31-60",L156&lt;=90,"61-90",TRUE,"90+")</f>
        <v>90+</v>
      </c>
      <c r="N156">
        <f t="shared" si="5"/>
        <v>0</v>
      </c>
      <c r="O156" t="str">
        <f>VLOOKUP(K156,Agents!$A$1:$C$11,2,0)</f>
        <v>Manish Arora</v>
      </c>
      <c r="P156">
        <f t="shared" si="4"/>
        <v>13400</v>
      </c>
    </row>
    <row r="157" spans="1:16" x14ac:dyDescent="0.25">
      <c r="A157" s="2" t="s">
        <v>359</v>
      </c>
      <c r="B157" s="2" t="s">
        <v>360</v>
      </c>
      <c r="C157" s="2" t="s">
        <v>29</v>
      </c>
      <c r="D157" s="2" t="s">
        <v>55</v>
      </c>
      <c r="E157" s="4">
        <v>46200</v>
      </c>
      <c r="F157" s="4">
        <v>46207</v>
      </c>
      <c r="G157" s="5">
        <v>6450</v>
      </c>
      <c r="H157" s="5">
        <v>0</v>
      </c>
      <c r="I157" s="2" t="s">
        <v>31</v>
      </c>
      <c r="J157" s="2" t="s">
        <v>347</v>
      </c>
      <c r="K157" t="s">
        <v>38</v>
      </c>
      <c r="L157" s="12">
        <f>MIS_Report!$B$2-F157</f>
        <v>103</v>
      </c>
      <c r="M157" t="str" cm="1">
        <f t="array" ref="M157">_xlfn.IFS(L157&lt;=30,"0-30",L157&lt;=60,"31-60",L157&lt;=90,"61-90",TRUE,"90+")</f>
        <v>90+</v>
      </c>
      <c r="N157">
        <f t="shared" si="5"/>
        <v>0</v>
      </c>
      <c r="O157" t="str">
        <f>VLOOKUP(K157,Agents!$A$1:$C$11,2,0)</f>
        <v>Sunita Rao</v>
      </c>
      <c r="P157">
        <f t="shared" si="4"/>
        <v>6450</v>
      </c>
    </row>
    <row r="158" spans="1:16" x14ac:dyDescent="0.25">
      <c r="A158" s="2" t="s">
        <v>361</v>
      </c>
      <c r="B158" s="2" t="s">
        <v>362</v>
      </c>
      <c r="C158" s="2" t="s">
        <v>36</v>
      </c>
      <c r="D158" s="2" t="s">
        <v>41</v>
      </c>
      <c r="E158" s="4">
        <v>46178</v>
      </c>
      <c r="F158" s="4">
        <v>46189</v>
      </c>
      <c r="G158" s="5">
        <v>13575</v>
      </c>
      <c r="H158" s="5">
        <v>11179.86</v>
      </c>
      <c r="I158" s="2" t="s">
        <v>37</v>
      </c>
      <c r="J158" s="2" t="s">
        <v>1541</v>
      </c>
      <c r="K158" t="s">
        <v>83</v>
      </c>
      <c r="L158" s="12">
        <f>MIS_Report!$B$2-F158</f>
        <v>121</v>
      </c>
      <c r="M158" t="str" cm="1">
        <f t="array" ref="M158">_xlfn.IFS(L158&lt;=30,"0-30",L158&lt;=60,"31-60",L158&lt;=90,"61-90",TRUE,"90+")</f>
        <v>90+</v>
      </c>
      <c r="N158">
        <f t="shared" si="5"/>
        <v>0</v>
      </c>
      <c r="O158" t="str">
        <f>VLOOKUP(K158,Agents!$A$1:$C$11,2,0)</f>
        <v>Deepak Nair</v>
      </c>
      <c r="P158">
        <f t="shared" si="4"/>
        <v>0</v>
      </c>
    </row>
    <row r="159" spans="1:16" x14ac:dyDescent="0.25">
      <c r="A159" s="2" t="s">
        <v>363</v>
      </c>
      <c r="B159" s="2" t="s">
        <v>237</v>
      </c>
      <c r="C159" s="2" t="s">
        <v>46</v>
      </c>
      <c r="D159" s="2" t="s">
        <v>61</v>
      </c>
      <c r="E159" s="4">
        <v>46084</v>
      </c>
      <c r="F159" s="4">
        <v>46088</v>
      </c>
      <c r="G159" s="5">
        <v>5625</v>
      </c>
      <c r="H159" s="5">
        <v>4470.72</v>
      </c>
      <c r="I159" s="2" t="s">
        <v>37</v>
      </c>
      <c r="J159" s="2" t="s">
        <v>1541</v>
      </c>
      <c r="K159" t="s">
        <v>65</v>
      </c>
      <c r="L159" s="12">
        <f>MIS_Report!$B$2-F159</f>
        <v>222</v>
      </c>
      <c r="M159" t="str" cm="1">
        <f t="array" ref="M159">_xlfn.IFS(L159&lt;=30,"0-30",L159&lt;=60,"31-60",L159&lt;=90,"61-90",TRUE,"90+")</f>
        <v>90+</v>
      </c>
      <c r="N159">
        <f t="shared" si="5"/>
        <v>0</v>
      </c>
      <c r="O159" t="str">
        <f>VLOOKUP(K159,Agents!$A$1:$C$11,2,0)</f>
        <v>Deepak Nair</v>
      </c>
      <c r="P159">
        <f t="shared" si="4"/>
        <v>0</v>
      </c>
    </row>
    <row r="160" spans="1:16" x14ac:dyDescent="0.25">
      <c r="A160" s="2" t="s">
        <v>364</v>
      </c>
      <c r="B160" s="2" t="s">
        <v>365</v>
      </c>
      <c r="C160" s="2" t="s">
        <v>29</v>
      </c>
      <c r="D160" s="2" t="s">
        <v>1538</v>
      </c>
      <c r="E160" s="4">
        <v>46209</v>
      </c>
      <c r="F160" s="4">
        <v>46216</v>
      </c>
      <c r="G160" s="5">
        <v>5525</v>
      </c>
      <c r="H160" s="5"/>
      <c r="I160" s="2" t="s">
        <v>42</v>
      </c>
      <c r="J160" s="2" t="s">
        <v>1541</v>
      </c>
      <c r="K160" t="s">
        <v>38</v>
      </c>
      <c r="L160" s="12">
        <f>MIS_Report!$B$2-F160</f>
        <v>94</v>
      </c>
      <c r="M160" t="str" cm="1">
        <f t="array" ref="M160">_xlfn.IFS(L160&lt;=30,"0-30",L160&lt;=60,"31-60",L160&lt;=90,"61-90",TRUE,"90+")</f>
        <v>90+</v>
      </c>
      <c r="N160">
        <f t="shared" si="5"/>
        <v>5525</v>
      </c>
      <c r="O160" t="str">
        <f>VLOOKUP(K160,Agents!$A$1:$C$11,2,0)</f>
        <v>Sunita Rao</v>
      </c>
      <c r="P160">
        <f t="shared" si="4"/>
        <v>0</v>
      </c>
    </row>
    <row r="161" spans="1:16" x14ac:dyDescent="0.25">
      <c r="A161" s="2" t="s">
        <v>366</v>
      </c>
      <c r="B161" s="2" t="s">
        <v>93</v>
      </c>
      <c r="C161" s="2" t="s">
        <v>36</v>
      </c>
      <c r="D161" s="2" t="s">
        <v>80</v>
      </c>
      <c r="E161" s="4">
        <v>46273</v>
      </c>
      <c r="F161" s="4">
        <v>46287</v>
      </c>
      <c r="G161" s="5">
        <v>6075</v>
      </c>
      <c r="H161" s="5">
        <v>5012.41</v>
      </c>
      <c r="I161" s="2" t="s">
        <v>37</v>
      </c>
      <c r="J161" s="2" t="s">
        <v>1541</v>
      </c>
      <c r="K161" t="s">
        <v>65</v>
      </c>
      <c r="L161" s="12">
        <f>MIS_Report!$B$2-F161</f>
        <v>23</v>
      </c>
      <c r="M161" t="str" cm="1">
        <f t="array" ref="M161">_xlfn.IFS(L161&lt;=30,"0-30",L161&lt;=60,"31-60",L161&lt;=90,"61-90",TRUE,"90+")</f>
        <v>0-30</v>
      </c>
      <c r="N161">
        <f t="shared" si="5"/>
        <v>0</v>
      </c>
      <c r="O161" t="str">
        <f>VLOOKUP(K161,Agents!$A$1:$C$11,2,0)</f>
        <v>Deepak Nair</v>
      </c>
      <c r="P161">
        <f t="shared" si="4"/>
        <v>0</v>
      </c>
    </row>
    <row r="162" spans="1:16" x14ac:dyDescent="0.25">
      <c r="A162" s="2" t="s">
        <v>367</v>
      </c>
      <c r="B162" s="2" t="s">
        <v>345</v>
      </c>
      <c r="C162" s="2" t="s">
        <v>46</v>
      </c>
      <c r="D162" s="2" t="s">
        <v>68</v>
      </c>
      <c r="E162" s="4">
        <v>46016</v>
      </c>
      <c r="F162" s="4">
        <v>46028</v>
      </c>
      <c r="G162" s="5">
        <v>2000</v>
      </c>
      <c r="H162" s="5"/>
      <c r="I162" s="2" t="s">
        <v>42</v>
      </c>
      <c r="J162" s="2" t="s">
        <v>1541</v>
      </c>
      <c r="K162" t="s">
        <v>52</v>
      </c>
      <c r="L162" s="12">
        <f>MIS_Report!$B$2-F162</f>
        <v>282</v>
      </c>
      <c r="M162" t="str" cm="1">
        <f t="array" ref="M162">_xlfn.IFS(L162&lt;=30,"0-30",L162&lt;=60,"31-60",L162&lt;=90,"61-90",TRUE,"90+")</f>
        <v>90+</v>
      </c>
      <c r="N162">
        <f t="shared" si="5"/>
        <v>2000</v>
      </c>
      <c r="O162" t="str">
        <f>VLOOKUP(K162,Agents!$A$1:$C$11,2,0)</f>
        <v>Sunita Rao</v>
      </c>
      <c r="P162">
        <f t="shared" si="4"/>
        <v>0</v>
      </c>
    </row>
    <row r="163" spans="1:16" x14ac:dyDescent="0.25">
      <c r="A163" s="2" t="s">
        <v>368</v>
      </c>
      <c r="B163" s="2" t="s">
        <v>362</v>
      </c>
      <c r="C163" s="2" t="s">
        <v>29</v>
      </c>
      <c r="D163" s="2" t="s">
        <v>94</v>
      </c>
      <c r="E163" s="4">
        <v>46132</v>
      </c>
      <c r="F163" s="4">
        <v>46143</v>
      </c>
      <c r="G163" s="5">
        <v>2600</v>
      </c>
      <c r="H163" s="5">
        <v>2006.71</v>
      </c>
      <c r="I163" s="2" t="s">
        <v>37</v>
      </c>
      <c r="J163" s="2" t="s">
        <v>1541</v>
      </c>
      <c r="K163" t="s">
        <v>62</v>
      </c>
      <c r="L163" s="12">
        <f>MIS_Report!$B$2-F163</f>
        <v>167</v>
      </c>
      <c r="M163" t="str" cm="1">
        <f t="array" ref="M163">_xlfn.IFS(L163&lt;=30,"0-30",L163&lt;=60,"31-60",L163&lt;=90,"61-90",TRUE,"90+")</f>
        <v>90+</v>
      </c>
      <c r="N163">
        <f t="shared" si="5"/>
        <v>0</v>
      </c>
      <c r="O163" t="str">
        <f>VLOOKUP(K163,Agents!$A$1:$C$11,2,0)</f>
        <v>Sunita Rao</v>
      </c>
      <c r="P163">
        <f t="shared" si="4"/>
        <v>0</v>
      </c>
    </row>
    <row r="164" spans="1:16" x14ac:dyDescent="0.25">
      <c r="A164" s="2" t="s">
        <v>369</v>
      </c>
      <c r="B164" s="2" t="s">
        <v>370</v>
      </c>
      <c r="C164" s="2" t="s">
        <v>46</v>
      </c>
      <c r="D164" s="2" t="s">
        <v>1538</v>
      </c>
      <c r="E164" s="4">
        <v>46266</v>
      </c>
      <c r="F164" s="4">
        <v>46277</v>
      </c>
      <c r="G164" s="5">
        <v>5950</v>
      </c>
      <c r="H164" s="5">
        <v>4544.91</v>
      </c>
      <c r="I164" s="2" t="s">
        <v>37</v>
      </c>
      <c r="J164" s="2" t="s">
        <v>1541</v>
      </c>
      <c r="K164" t="s">
        <v>43</v>
      </c>
      <c r="L164" s="12">
        <f>MIS_Report!$B$2-F164</f>
        <v>33</v>
      </c>
      <c r="M164" t="str" cm="1">
        <f t="array" ref="M164">_xlfn.IFS(L164&lt;=30,"0-30",L164&lt;=60,"31-60",L164&lt;=90,"61-90",TRUE,"90+")</f>
        <v>31-60</v>
      </c>
      <c r="N164">
        <f t="shared" si="5"/>
        <v>0</v>
      </c>
      <c r="O164" t="str">
        <f>VLOOKUP(K164,Agents!$A$1:$C$11,2,0)</f>
        <v>Manish Arora</v>
      </c>
      <c r="P164">
        <f t="shared" si="4"/>
        <v>0</v>
      </c>
    </row>
    <row r="165" spans="1:16" x14ac:dyDescent="0.25">
      <c r="A165" s="2" t="s">
        <v>371</v>
      </c>
      <c r="B165" s="2" t="s">
        <v>28</v>
      </c>
      <c r="C165" s="2" t="s">
        <v>79</v>
      </c>
      <c r="D165" s="2" t="s">
        <v>55</v>
      </c>
      <c r="E165" s="4">
        <v>46284</v>
      </c>
      <c r="F165" s="4">
        <v>46289</v>
      </c>
      <c r="G165" s="5">
        <v>9050</v>
      </c>
      <c r="H165" s="5"/>
      <c r="I165" s="2" t="s">
        <v>42</v>
      </c>
      <c r="J165" s="2" t="s">
        <v>1541</v>
      </c>
      <c r="K165" t="s">
        <v>62</v>
      </c>
      <c r="L165" s="12">
        <f>MIS_Report!$B$2-F165</f>
        <v>21</v>
      </c>
      <c r="M165" t="str" cm="1">
        <f t="array" ref="M165">_xlfn.IFS(L165&lt;=30,"0-30",L165&lt;=60,"31-60",L165&lt;=90,"61-90",TRUE,"90+")</f>
        <v>0-30</v>
      </c>
      <c r="N165">
        <f t="shared" si="5"/>
        <v>9050</v>
      </c>
      <c r="O165" t="str">
        <f>VLOOKUP(K165,Agents!$A$1:$C$11,2,0)</f>
        <v>Sunita Rao</v>
      </c>
      <c r="P165">
        <f t="shared" si="4"/>
        <v>0</v>
      </c>
    </row>
    <row r="166" spans="1:16" x14ac:dyDescent="0.25">
      <c r="A166" s="2" t="s">
        <v>372</v>
      </c>
      <c r="B166" s="2" t="s">
        <v>373</v>
      </c>
      <c r="C166" s="2" t="s">
        <v>36</v>
      </c>
      <c r="D166" s="2" t="s">
        <v>55</v>
      </c>
      <c r="E166" s="4">
        <v>46177</v>
      </c>
      <c r="F166" s="4">
        <v>46180</v>
      </c>
      <c r="G166" s="5">
        <v>10300</v>
      </c>
      <c r="H166" s="5">
        <v>0</v>
      </c>
      <c r="I166" s="2" t="s">
        <v>31</v>
      </c>
      <c r="J166" s="2" t="s">
        <v>116</v>
      </c>
      <c r="K166" t="s">
        <v>109</v>
      </c>
      <c r="L166" s="12">
        <f>MIS_Report!$B$2-F166</f>
        <v>130</v>
      </c>
      <c r="M166" t="str" cm="1">
        <f t="array" ref="M166">_xlfn.IFS(L166&lt;=30,"0-30",L166&lt;=60,"31-60",L166&lt;=90,"61-90",TRUE,"90+")</f>
        <v>90+</v>
      </c>
      <c r="N166">
        <f t="shared" si="5"/>
        <v>0</v>
      </c>
      <c r="O166" t="str">
        <f>VLOOKUP(K166,Agents!$A$1:$C$11,2,0)</f>
        <v>Deepak Nair</v>
      </c>
      <c r="P166">
        <f t="shared" si="4"/>
        <v>10300</v>
      </c>
    </row>
    <row r="167" spans="1:16" x14ac:dyDescent="0.25">
      <c r="A167" s="2" t="s">
        <v>374</v>
      </c>
      <c r="B167" s="2" t="s">
        <v>375</v>
      </c>
      <c r="C167" s="2" t="s">
        <v>36</v>
      </c>
      <c r="D167" s="2" t="s">
        <v>41</v>
      </c>
      <c r="E167" s="4">
        <v>46158</v>
      </c>
      <c r="F167" s="4">
        <v>46176</v>
      </c>
      <c r="G167" s="5">
        <v>8625</v>
      </c>
      <c r="H167" s="5"/>
      <c r="I167" s="2" t="s">
        <v>42</v>
      </c>
      <c r="J167" s="2" t="s">
        <v>1541</v>
      </c>
      <c r="K167" t="s">
        <v>52</v>
      </c>
      <c r="L167" s="12">
        <f>MIS_Report!$B$2-F167</f>
        <v>134</v>
      </c>
      <c r="M167" t="str" cm="1">
        <f t="array" ref="M167">_xlfn.IFS(L167&lt;=30,"0-30",L167&lt;=60,"31-60",L167&lt;=90,"61-90",TRUE,"90+")</f>
        <v>90+</v>
      </c>
      <c r="N167">
        <f t="shared" si="5"/>
        <v>8625</v>
      </c>
      <c r="O167" t="str">
        <f>VLOOKUP(K167,Agents!$A$1:$C$11,2,0)</f>
        <v>Sunita Rao</v>
      </c>
      <c r="P167">
        <f t="shared" si="4"/>
        <v>0</v>
      </c>
    </row>
    <row r="168" spans="1:16" x14ac:dyDescent="0.25">
      <c r="A168" s="2" t="s">
        <v>376</v>
      </c>
      <c r="B168" s="2" t="s">
        <v>377</v>
      </c>
      <c r="C168" s="2" t="s">
        <v>79</v>
      </c>
      <c r="D168" s="2" t="s">
        <v>68</v>
      </c>
      <c r="E168" s="4">
        <v>46202</v>
      </c>
      <c r="F168" s="4">
        <v>46214</v>
      </c>
      <c r="G168" s="5">
        <v>7000</v>
      </c>
      <c r="H168" s="5"/>
      <c r="I168" s="2" t="s">
        <v>42</v>
      </c>
      <c r="J168" s="2" t="s">
        <v>1541</v>
      </c>
      <c r="K168" t="s">
        <v>38</v>
      </c>
      <c r="L168" s="12">
        <f>MIS_Report!$B$2-F168</f>
        <v>96</v>
      </c>
      <c r="M168" t="str" cm="1">
        <f t="array" ref="M168">_xlfn.IFS(L168&lt;=30,"0-30",L168&lt;=60,"31-60",L168&lt;=90,"61-90",TRUE,"90+")</f>
        <v>90+</v>
      </c>
      <c r="N168">
        <f t="shared" si="5"/>
        <v>7000</v>
      </c>
      <c r="O168" t="str">
        <f>VLOOKUP(K168,Agents!$A$1:$C$11,2,0)</f>
        <v>Sunita Rao</v>
      </c>
      <c r="P168">
        <f t="shared" si="4"/>
        <v>0</v>
      </c>
    </row>
    <row r="169" spans="1:16" x14ac:dyDescent="0.25">
      <c r="A169" s="2" t="s">
        <v>378</v>
      </c>
      <c r="B169" s="2" t="s">
        <v>379</v>
      </c>
      <c r="C169" s="2" t="s">
        <v>36</v>
      </c>
      <c r="D169" s="2" t="s">
        <v>30</v>
      </c>
      <c r="E169" s="4">
        <v>46183</v>
      </c>
      <c r="F169" s="4">
        <v>46197</v>
      </c>
      <c r="G169" s="5">
        <v>1075</v>
      </c>
      <c r="H169" s="5">
        <v>0</v>
      </c>
      <c r="I169" s="2" t="s">
        <v>31</v>
      </c>
      <c r="J169" s="2" t="s">
        <v>271</v>
      </c>
      <c r="K169" t="s">
        <v>38</v>
      </c>
      <c r="L169" s="12">
        <f>MIS_Report!$B$2-F169</f>
        <v>113</v>
      </c>
      <c r="M169" t="str" cm="1">
        <f t="array" ref="M169">_xlfn.IFS(L169&lt;=30,"0-30",L169&lt;=60,"31-60",L169&lt;=90,"61-90",TRUE,"90+")</f>
        <v>90+</v>
      </c>
      <c r="N169">
        <f t="shared" si="5"/>
        <v>0</v>
      </c>
      <c r="O169" t="str">
        <f>VLOOKUP(K169,Agents!$A$1:$C$11,2,0)</f>
        <v>Sunita Rao</v>
      </c>
      <c r="P169">
        <f t="shared" si="4"/>
        <v>1075</v>
      </c>
    </row>
    <row r="170" spans="1:16" x14ac:dyDescent="0.25">
      <c r="A170" s="2" t="s">
        <v>380</v>
      </c>
      <c r="B170" s="2" t="s">
        <v>232</v>
      </c>
      <c r="C170" s="2" t="s">
        <v>29</v>
      </c>
      <c r="D170" s="2" t="s">
        <v>41</v>
      </c>
      <c r="E170" s="4">
        <v>46230</v>
      </c>
      <c r="F170" s="4">
        <v>46235</v>
      </c>
      <c r="G170" s="5">
        <v>7350</v>
      </c>
      <c r="H170" s="5">
        <v>5529.44</v>
      </c>
      <c r="I170" s="2" t="s">
        <v>37</v>
      </c>
      <c r="J170" s="2" t="s">
        <v>1541</v>
      </c>
      <c r="K170" t="s">
        <v>33</v>
      </c>
      <c r="L170" s="12">
        <f>MIS_Report!$B$2-F170</f>
        <v>75</v>
      </c>
      <c r="M170" t="str" cm="1">
        <f t="array" ref="M170">_xlfn.IFS(L170&lt;=30,"0-30",L170&lt;=60,"31-60",L170&lt;=90,"61-90",TRUE,"90+")</f>
        <v>61-90</v>
      </c>
      <c r="N170">
        <f t="shared" si="5"/>
        <v>0</v>
      </c>
      <c r="O170" t="str">
        <f>VLOOKUP(K170,Agents!$A$1:$C$11,2,0)</f>
        <v>Manish Arora</v>
      </c>
      <c r="P170">
        <f t="shared" si="4"/>
        <v>0</v>
      </c>
    </row>
    <row r="171" spans="1:16" x14ac:dyDescent="0.25">
      <c r="A171" s="2" t="s">
        <v>381</v>
      </c>
      <c r="B171" s="2" t="s">
        <v>382</v>
      </c>
      <c r="C171" s="2" t="s">
        <v>36</v>
      </c>
      <c r="D171" s="2" t="s">
        <v>41</v>
      </c>
      <c r="E171" s="4">
        <v>46271</v>
      </c>
      <c r="F171" s="4">
        <v>46282</v>
      </c>
      <c r="G171" s="5">
        <v>8200</v>
      </c>
      <c r="H171" s="5"/>
      <c r="I171" s="2" t="s">
        <v>42</v>
      </c>
      <c r="J171" s="2" t="s">
        <v>1541</v>
      </c>
      <c r="K171" t="s">
        <v>43</v>
      </c>
      <c r="L171" s="12">
        <f>MIS_Report!$B$2-F171</f>
        <v>28</v>
      </c>
      <c r="M171" t="str" cm="1">
        <f t="array" ref="M171">_xlfn.IFS(L171&lt;=30,"0-30",L171&lt;=60,"31-60",L171&lt;=90,"61-90",TRUE,"90+")</f>
        <v>0-30</v>
      </c>
      <c r="N171">
        <f t="shared" si="5"/>
        <v>8200</v>
      </c>
      <c r="O171" t="str">
        <f>VLOOKUP(K171,Agents!$A$1:$C$11,2,0)</f>
        <v>Manish Arora</v>
      </c>
      <c r="P171">
        <f t="shared" si="4"/>
        <v>0</v>
      </c>
    </row>
    <row r="172" spans="1:16" x14ac:dyDescent="0.25">
      <c r="A172" s="2" t="s">
        <v>383</v>
      </c>
      <c r="B172" s="2" t="s">
        <v>384</v>
      </c>
      <c r="C172" s="2" t="s">
        <v>29</v>
      </c>
      <c r="D172" s="2" t="s">
        <v>41</v>
      </c>
      <c r="E172" s="4">
        <v>46151</v>
      </c>
      <c r="F172" s="4">
        <v>46161</v>
      </c>
      <c r="G172" s="5">
        <v>6900</v>
      </c>
      <c r="H172" s="5">
        <v>3797.89</v>
      </c>
      <c r="I172" s="2" t="s">
        <v>37</v>
      </c>
      <c r="J172" s="2" t="s">
        <v>1541</v>
      </c>
      <c r="K172" t="s">
        <v>83</v>
      </c>
      <c r="L172" s="12">
        <f>MIS_Report!$B$2-F172</f>
        <v>149</v>
      </c>
      <c r="M172" t="str" cm="1">
        <f t="array" ref="M172">_xlfn.IFS(L172&lt;=30,"0-30",L172&lt;=60,"31-60",L172&lt;=90,"61-90",TRUE,"90+")</f>
        <v>90+</v>
      </c>
      <c r="N172">
        <f t="shared" si="5"/>
        <v>0</v>
      </c>
      <c r="O172" t="str">
        <f>VLOOKUP(K172,Agents!$A$1:$C$11,2,0)</f>
        <v>Deepak Nair</v>
      </c>
      <c r="P172">
        <f t="shared" si="4"/>
        <v>0</v>
      </c>
    </row>
    <row r="173" spans="1:16" x14ac:dyDescent="0.25">
      <c r="A173" s="2" t="s">
        <v>385</v>
      </c>
      <c r="B173" s="2" t="s">
        <v>142</v>
      </c>
      <c r="C173" s="2" t="s">
        <v>46</v>
      </c>
      <c r="D173" s="2" t="s">
        <v>61</v>
      </c>
      <c r="E173" s="4">
        <v>46255</v>
      </c>
      <c r="F173" s="4">
        <v>46275</v>
      </c>
      <c r="G173" s="5">
        <v>2300</v>
      </c>
      <c r="H173" s="5"/>
      <c r="I173" s="2" t="s">
        <v>42</v>
      </c>
      <c r="J173" s="2" t="s">
        <v>1541</v>
      </c>
      <c r="K173" t="s">
        <v>48</v>
      </c>
      <c r="L173" s="12">
        <f>MIS_Report!$B$2-F173</f>
        <v>35</v>
      </c>
      <c r="M173" t="str" cm="1">
        <f t="array" ref="M173">_xlfn.IFS(L173&lt;=30,"0-30",L173&lt;=60,"31-60",L173&lt;=90,"61-90",TRUE,"90+")</f>
        <v>31-60</v>
      </c>
      <c r="N173">
        <f t="shared" si="5"/>
        <v>2300</v>
      </c>
      <c r="O173" t="str">
        <f>VLOOKUP(K173,Agents!$A$1:$C$11,2,0)</f>
        <v>Manish Arora</v>
      </c>
      <c r="P173">
        <f t="shared" si="4"/>
        <v>0</v>
      </c>
    </row>
    <row r="174" spans="1:16" x14ac:dyDescent="0.25">
      <c r="A174" s="2" t="s">
        <v>386</v>
      </c>
      <c r="B174" s="2" t="s">
        <v>387</v>
      </c>
      <c r="C174" s="2" t="s">
        <v>79</v>
      </c>
      <c r="D174" s="2" t="s">
        <v>41</v>
      </c>
      <c r="E174" s="4">
        <v>46019</v>
      </c>
      <c r="F174" s="4">
        <v>46032</v>
      </c>
      <c r="G174" s="5">
        <v>5600</v>
      </c>
      <c r="H174" s="5">
        <v>5509.06</v>
      </c>
      <c r="I174" s="2" t="s">
        <v>37</v>
      </c>
      <c r="J174" s="2" t="s">
        <v>1541</v>
      </c>
      <c r="K174" t="s">
        <v>109</v>
      </c>
      <c r="L174" s="12">
        <f>MIS_Report!$B$2-F174</f>
        <v>278</v>
      </c>
      <c r="M174" t="str" cm="1">
        <f t="array" ref="M174">_xlfn.IFS(L174&lt;=30,"0-30",L174&lt;=60,"31-60",L174&lt;=90,"61-90",TRUE,"90+")</f>
        <v>90+</v>
      </c>
      <c r="N174">
        <f t="shared" si="5"/>
        <v>0</v>
      </c>
      <c r="O174" t="str">
        <f>VLOOKUP(K174,Agents!$A$1:$C$11,2,0)</f>
        <v>Deepak Nair</v>
      </c>
      <c r="P174">
        <f t="shared" si="4"/>
        <v>0</v>
      </c>
    </row>
    <row r="175" spans="1:16" x14ac:dyDescent="0.25">
      <c r="A175" s="2" t="s">
        <v>388</v>
      </c>
      <c r="B175" s="2" t="s">
        <v>228</v>
      </c>
      <c r="C175" s="2" t="s">
        <v>29</v>
      </c>
      <c r="D175" s="2" t="s">
        <v>61</v>
      </c>
      <c r="E175" s="4">
        <v>46262</v>
      </c>
      <c r="F175" s="4">
        <v>46274</v>
      </c>
      <c r="G175" s="5">
        <v>9750</v>
      </c>
      <c r="H175" s="5"/>
      <c r="I175" s="2" t="s">
        <v>42</v>
      </c>
      <c r="J175" s="2" t="s">
        <v>1541</v>
      </c>
      <c r="K175" t="s">
        <v>43</v>
      </c>
      <c r="L175" s="12">
        <f>MIS_Report!$B$2-F175</f>
        <v>36</v>
      </c>
      <c r="M175" t="str" cm="1">
        <f t="array" ref="M175">_xlfn.IFS(L175&lt;=30,"0-30",L175&lt;=60,"31-60",L175&lt;=90,"61-90",TRUE,"90+")</f>
        <v>31-60</v>
      </c>
      <c r="N175">
        <f t="shared" si="5"/>
        <v>9750</v>
      </c>
      <c r="O175" t="str">
        <f>VLOOKUP(K175,Agents!$A$1:$C$11,2,0)</f>
        <v>Manish Arora</v>
      </c>
      <c r="P175">
        <f t="shared" si="4"/>
        <v>0</v>
      </c>
    </row>
    <row r="176" spans="1:16" x14ac:dyDescent="0.25">
      <c r="A176" s="2" t="s">
        <v>389</v>
      </c>
      <c r="B176" s="2" t="s">
        <v>98</v>
      </c>
      <c r="C176" s="2" t="s">
        <v>79</v>
      </c>
      <c r="D176" s="2" t="s">
        <v>80</v>
      </c>
      <c r="E176" s="4">
        <v>46195</v>
      </c>
      <c r="F176" s="4">
        <v>46208</v>
      </c>
      <c r="G176" s="5">
        <v>4850</v>
      </c>
      <c r="H176" s="5"/>
      <c r="I176" s="2" t="s">
        <v>42</v>
      </c>
      <c r="J176" s="2" t="s">
        <v>1541</v>
      </c>
      <c r="K176" t="s">
        <v>48</v>
      </c>
      <c r="L176" s="12">
        <f>MIS_Report!$B$2-F176</f>
        <v>102</v>
      </c>
      <c r="M176" t="str" cm="1">
        <f t="array" ref="M176">_xlfn.IFS(L176&lt;=30,"0-30",L176&lt;=60,"31-60",L176&lt;=90,"61-90",TRUE,"90+")</f>
        <v>90+</v>
      </c>
      <c r="N176">
        <f t="shared" si="5"/>
        <v>4850</v>
      </c>
      <c r="O176" t="str">
        <f>VLOOKUP(K176,Agents!$A$1:$C$11,2,0)</f>
        <v>Manish Arora</v>
      </c>
      <c r="P176">
        <f t="shared" si="4"/>
        <v>0</v>
      </c>
    </row>
    <row r="177" spans="1:16" x14ac:dyDescent="0.25">
      <c r="A177" s="2" t="s">
        <v>390</v>
      </c>
      <c r="B177" s="2" t="s">
        <v>391</v>
      </c>
      <c r="C177" s="2" t="s">
        <v>29</v>
      </c>
      <c r="D177" s="2" t="s">
        <v>41</v>
      </c>
      <c r="E177" s="4">
        <v>46063</v>
      </c>
      <c r="F177" s="4">
        <v>46075</v>
      </c>
      <c r="G177" s="5">
        <v>3175</v>
      </c>
      <c r="H177" s="5"/>
      <c r="I177" s="2" t="s">
        <v>42</v>
      </c>
      <c r="J177" s="2" t="s">
        <v>1541</v>
      </c>
      <c r="K177" t="s">
        <v>109</v>
      </c>
      <c r="L177" s="12">
        <f>MIS_Report!$B$2-F177</f>
        <v>235</v>
      </c>
      <c r="M177" t="str" cm="1">
        <f t="array" ref="M177">_xlfn.IFS(L177&lt;=30,"0-30",L177&lt;=60,"31-60",L177&lt;=90,"61-90",TRUE,"90+")</f>
        <v>90+</v>
      </c>
      <c r="N177">
        <f t="shared" si="5"/>
        <v>3175</v>
      </c>
      <c r="O177" t="str">
        <f>VLOOKUP(K177,Agents!$A$1:$C$11,2,0)</f>
        <v>Deepak Nair</v>
      </c>
      <c r="P177">
        <f t="shared" si="4"/>
        <v>0</v>
      </c>
    </row>
    <row r="178" spans="1:16" x14ac:dyDescent="0.25">
      <c r="A178" s="2" t="s">
        <v>392</v>
      </c>
      <c r="B178" s="2" t="s">
        <v>393</v>
      </c>
      <c r="C178" s="2" t="s">
        <v>29</v>
      </c>
      <c r="D178" s="2" t="s">
        <v>61</v>
      </c>
      <c r="E178" s="4">
        <v>46216</v>
      </c>
      <c r="F178" s="4">
        <v>46234</v>
      </c>
      <c r="G178" s="5">
        <v>1650</v>
      </c>
      <c r="H178" s="5">
        <v>1456.55</v>
      </c>
      <c r="I178" s="2" t="s">
        <v>37</v>
      </c>
      <c r="J178" s="2" t="s">
        <v>1541</v>
      </c>
      <c r="K178" t="s">
        <v>62</v>
      </c>
      <c r="L178" s="12">
        <f>MIS_Report!$B$2-F178</f>
        <v>76</v>
      </c>
      <c r="M178" t="str" cm="1">
        <f t="array" ref="M178">_xlfn.IFS(L178&lt;=30,"0-30",L178&lt;=60,"31-60",L178&lt;=90,"61-90",TRUE,"90+")</f>
        <v>61-90</v>
      </c>
      <c r="N178">
        <f t="shared" si="5"/>
        <v>0</v>
      </c>
      <c r="O178" t="str">
        <f>VLOOKUP(K178,Agents!$A$1:$C$11,2,0)</f>
        <v>Sunita Rao</v>
      </c>
      <c r="P178">
        <f t="shared" si="4"/>
        <v>0</v>
      </c>
    </row>
    <row r="179" spans="1:16" x14ac:dyDescent="0.25">
      <c r="A179" s="2" t="s">
        <v>395</v>
      </c>
      <c r="B179" s="2" t="s">
        <v>396</v>
      </c>
      <c r="C179" s="2" t="s">
        <v>79</v>
      </c>
      <c r="D179" s="2" t="s">
        <v>30</v>
      </c>
      <c r="E179" s="4">
        <v>46198</v>
      </c>
      <c r="F179" s="4">
        <v>46211</v>
      </c>
      <c r="G179" s="5">
        <v>4975</v>
      </c>
      <c r="H179" s="5">
        <v>4622.87</v>
      </c>
      <c r="I179" s="2" t="s">
        <v>37</v>
      </c>
      <c r="J179" s="2" t="s">
        <v>1541</v>
      </c>
      <c r="K179" t="s">
        <v>38</v>
      </c>
      <c r="L179" s="12">
        <f>MIS_Report!$B$2-F179</f>
        <v>99</v>
      </c>
      <c r="M179" t="str" cm="1">
        <f t="array" ref="M179">_xlfn.IFS(L179&lt;=30,"0-30",L179&lt;=60,"31-60",L179&lt;=90,"61-90",TRUE,"90+")</f>
        <v>90+</v>
      </c>
      <c r="N179">
        <f t="shared" si="5"/>
        <v>0</v>
      </c>
      <c r="O179" t="str">
        <f>VLOOKUP(K179,Agents!$A$1:$C$11,2,0)</f>
        <v>Sunita Rao</v>
      </c>
      <c r="P179">
        <f t="shared" si="4"/>
        <v>0</v>
      </c>
    </row>
    <row r="180" spans="1:16" x14ac:dyDescent="0.25">
      <c r="A180" s="2" t="s">
        <v>397</v>
      </c>
      <c r="B180" s="2" t="s">
        <v>398</v>
      </c>
      <c r="C180" s="2" t="s">
        <v>79</v>
      </c>
      <c r="D180" s="2" t="s">
        <v>71</v>
      </c>
      <c r="E180" s="4">
        <v>46076</v>
      </c>
      <c r="F180" s="4">
        <v>46087</v>
      </c>
      <c r="G180" s="5">
        <v>4400</v>
      </c>
      <c r="H180" s="5">
        <v>3745.33</v>
      </c>
      <c r="I180" s="2" t="s">
        <v>37</v>
      </c>
      <c r="J180" s="2" t="s">
        <v>1541</v>
      </c>
      <c r="K180" t="s">
        <v>65</v>
      </c>
      <c r="L180" s="12">
        <f>MIS_Report!$B$2-F180</f>
        <v>223</v>
      </c>
      <c r="M180" t="str" cm="1">
        <f t="array" ref="M180">_xlfn.IFS(L180&lt;=30,"0-30",L180&lt;=60,"31-60",L180&lt;=90,"61-90",TRUE,"90+")</f>
        <v>90+</v>
      </c>
      <c r="N180">
        <f t="shared" si="5"/>
        <v>0</v>
      </c>
      <c r="O180" t="str">
        <f>VLOOKUP(K180,Agents!$A$1:$C$11,2,0)</f>
        <v>Deepak Nair</v>
      </c>
      <c r="P180">
        <f t="shared" si="4"/>
        <v>0</v>
      </c>
    </row>
    <row r="181" spans="1:16" x14ac:dyDescent="0.25">
      <c r="A181" s="2" t="s">
        <v>399</v>
      </c>
      <c r="B181" s="2" t="s">
        <v>50</v>
      </c>
      <c r="C181" s="2" t="s">
        <v>79</v>
      </c>
      <c r="D181" s="2" t="s">
        <v>41</v>
      </c>
      <c r="E181" s="4">
        <v>46080</v>
      </c>
      <c r="F181" s="4">
        <v>46091</v>
      </c>
      <c r="G181" s="5">
        <v>7225</v>
      </c>
      <c r="H181" s="5">
        <v>5263.58</v>
      </c>
      <c r="I181" s="2" t="s">
        <v>37</v>
      </c>
      <c r="J181" s="2" t="s">
        <v>1541</v>
      </c>
      <c r="K181" t="s">
        <v>48</v>
      </c>
      <c r="L181" s="12">
        <f>MIS_Report!$B$2-F181</f>
        <v>219</v>
      </c>
      <c r="M181" t="str" cm="1">
        <f t="array" ref="M181">_xlfn.IFS(L181&lt;=30,"0-30",L181&lt;=60,"31-60",L181&lt;=90,"61-90",TRUE,"90+")</f>
        <v>90+</v>
      </c>
      <c r="N181">
        <f t="shared" si="5"/>
        <v>0</v>
      </c>
      <c r="O181" t="str">
        <f>VLOOKUP(K181,Agents!$A$1:$C$11,2,0)</f>
        <v>Manish Arora</v>
      </c>
      <c r="P181">
        <f t="shared" si="4"/>
        <v>0</v>
      </c>
    </row>
    <row r="182" spans="1:16" x14ac:dyDescent="0.25">
      <c r="A182" s="2" t="s">
        <v>400</v>
      </c>
      <c r="B182" s="2" t="s">
        <v>183</v>
      </c>
      <c r="C182" s="2" t="s">
        <v>46</v>
      </c>
      <c r="D182" s="2" t="s">
        <v>94</v>
      </c>
      <c r="E182" s="4">
        <v>46035</v>
      </c>
      <c r="F182" s="4">
        <v>46044</v>
      </c>
      <c r="G182" s="5">
        <v>7600</v>
      </c>
      <c r="H182" s="5">
        <v>6921.62</v>
      </c>
      <c r="I182" s="2" t="s">
        <v>37</v>
      </c>
      <c r="J182" s="2" t="s">
        <v>1541</v>
      </c>
      <c r="K182" t="s">
        <v>83</v>
      </c>
      <c r="L182" s="12">
        <f>MIS_Report!$B$2-F182</f>
        <v>266</v>
      </c>
      <c r="M182" t="str" cm="1">
        <f t="array" ref="M182">_xlfn.IFS(L182&lt;=30,"0-30",L182&lt;=60,"31-60",L182&lt;=90,"61-90",TRUE,"90+")</f>
        <v>90+</v>
      </c>
      <c r="N182">
        <f t="shared" si="5"/>
        <v>0</v>
      </c>
      <c r="O182" t="str">
        <f>VLOOKUP(K182,Agents!$A$1:$C$11,2,0)</f>
        <v>Deepak Nair</v>
      </c>
      <c r="P182">
        <f t="shared" si="4"/>
        <v>0</v>
      </c>
    </row>
    <row r="183" spans="1:16" x14ac:dyDescent="0.25">
      <c r="A183" s="2" t="s">
        <v>401</v>
      </c>
      <c r="B183" s="2" t="s">
        <v>343</v>
      </c>
      <c r="C183" s="2" t="s">
        <v>46</v>
      </c>
      <c r="D183" s="2" t="s">
        <v>61</v>
      </c>
      <c r="E183" s="4">
        <v>46262</v>
      </c>
      <c r="F183" s="4">
        <v>46270</v>
      </c>
      <c r="G183" s="5">
        <v>9850</v>
      </c>
      <c r="H183" s="5">
        <v>9272.93</v>
      </c>
      <c r="I183" s="2" t="s">
        <v>37</v>
      </c>
      <c r="J183" s="2" t="s">
        <v>1541</v>
      </c>
      <c r="K183" t="s">
        <v>109</v>
      </c>
      <c r="L183" s="12">
        <f>MIS_Report!$B$2-F183</f>
        <v>40</v>
      </c>
      <c r="M183" t="str" cm="1">
        <f t="array" ref="M183">_xlfn.IFS(L183&lt;=30,"0-30",L183&lt;=60,"31-60",L183&lt;=90,"61-90",TRUE,"90+")</f>
        <v>31-60</v>
      </c>
      <c r="N183">
        <f t="shared" si="5"/>
        <v>0</v>
      </c>
      <c r="O183" t="str">
        <f>VLOOKUP(K183,Agents!$A$1:$C$11,2,0)</f>
        <v>Deepak Nair</v>
      </c>
      <c r="P183">
        <f t="shared" si="4"/>
        <v>0</v>
      </c>
    </row>
    <row r="184" spans="1:16" x14ac:dyDescent="0.25">
      <c r="A184" s="2" t="s">
        <v>402</v>
      </c>
      <c r="B184" s="2" t="s">
        <v>345</v>
      </c>
      <c r="C184" s="2" t="s">
        <v>46</v>
      </c>
      <c r="D184" s="2" t="s">
        <v>1538</v>
      </c>
      <c r="E184" s="4">
        <v>46224</v>
      </c>
      <c r="F184" s="4">
        <v>46231</v>
      </c>
      <c r="G184" s="5">
        <v>10250</v>
      </c>
      <c r="H184" s="5"/>
      <c r="I184" s="2" t="s">
        <v>42</v>
      </c>
      <c r="J184" s="2" t="s">
        <v>1541</v>
      </c>
      <c r="K184" t="s">
        <v>33</v>
      </c>
      <c r="L184" s="12">
        <f>MIS_Report!$B$2-F184</f>
        <v>79</v>
      </c>
      <c r="M184" t="str" cm="1">
        <f t="array" ref="M184">_xlfn.IFS(L184&lt;=30,"0-30",L184&lt;=60,"31-60",L184&lt;=90,"61-90",TRUE,"90+")</f>
        <v>61-90</v>
      </c>
      <c r="N184">
        <f t="shared" si="5"/>
        <v>10250</v>
      </c>
      <c r="O184" t="str">
        <f>VLOOKUP(K184,Agents!$A$1:$C$11,2,0)</f>
        <v>Manish Arora</v>
      </c>
      <c r="P184">
        <f t="shared" si="4"/>
        <v>0</v>
      </c>
    </row>
    <row r="185" spans="1:16" x14ac:dyDescent="0.25">
      <c r="A185" s="2" t="s">
        <v>403</v>
      </c>
      <c r="B185" s="2" t="s">
        <v>290</v>
      </c>
      <c r="C185" s="2" t="s">
        <v>46</v>
      </c>
      <c r="D185" s="2" t="s">
        <v>94</v>
      </c>
      <c r="E185" s="4">
        <v>46241</v>
      </c>
      <c r="F185" s="4">
        <v>46249</v>
      </c>
      <c r="G185" s="5">
        <v>3025</v>
      </c>
      <c r="H185" s="5"/>
      <c r="I185" s="2" t="s">
        <v>42</v>
      </c>
      <c r="J185" s="2" t="s">
        <v>1541</v>
      </c>
      <c r="K185" t="s">
        <v>38</v>
      </c>
      <c r="L185" s="12">
        <f>MIS_Report!$B$2-F185</f>
        <v>61</v>
      </c>
      <c r="M185" t="str" cm="1">
        <f t="array" ref="M185">_xlfn.IFS(L185&lt;=30,"0-30",L185&lt;=60,"31-60",L185&lt;=90,"61-90",TRUE,"90+")</f>
        <v>61-90</v>
      </c>
      <c r="N185">
        <f t="shared" si="5"/>
        <v>3025</v>
      </c>
      <c r="O185" t="str">
        <f>VLOOKUP(K185,Agents!$A$1:$C$11,2,0)</f>
        <v>Sunita Rao</v>
      </c>
      <c r="P185">
        <f t="shared" si="4"/>
        <v>0</v>
      </c>
    </row>
    <row r="186" spans="1:16" x14ac:dyDescent="0.25">
      <c r="A186" s="2" t="s">
        <v>404</v>
      </c>
      <c r="B186" s="2" t="s">
        <v>405</v>
      </c>
      <c r="C186" s="2" t="s">
        <v>79</v>
      </c>
      <c r="D186" s="2" t="s">
        <v>61</v>
      </c>
      <c r="E186" s="4">
        <v>46077</v>
      </c>
      <c r="F186" s="4">
        <v>46084</v>
      </c>
      <c r="G186" s="5">
        <v>8575</v>
      </c>
      <c r="H186" s="5"/>
      <c r="I186" s="2" t="s">
        <v>42</v>
      </c>
      <c r="J186" s="2" t="s">
        <v>1541</v>
      </c>
      <c r="K186" t="s">
        <v>38</v>
      </c>
      <c r="L186" s="12">
        <f>MIS_Report!$B$2-F186</f>
        <v>226</v>
      </c>
      <c r="M186" t="str" cm="1">
        <f t="array" ref="M186">_xlfn.IFS(L186&lt;=30,"0-30",L186&lt;=60,"31-60",L186&lt;=90,"61-90",TRUE,"90+")</f>
        <v>90+</v>
      </c>
      <c r="N186">
        <f t="shared" si="5"/>
        <v>8575</v>
      </c>
      <c r="O186" t="str">
        <f>VLOOKUP(K186,Agents!$A$1:$C$11,2,0)</f>
        <v>Sunita Rao</v>
      </c>
      <c r="P186">
        <f t="shared" si="4"/>
        <v>0</v>
      </c>
    </row>
    <row r="187" spans="1:16" x14ac:dyDescent="0.25">
      <c r="A187" s="2" t="s">
        <v>406</v>
      </c>
      <c r="B187" s="2" t="s">
        <v>407</v>
      </c>
      <c r="C187" s="2" t="s">
        <v>36</v>
      </c>
      <c r="D187" s="2" t="s">
        <v>41</v>
      </c>
      <c r="E187" s="4">
        <v>46150</v>
      </c>
      <c r="F187" s="4">
        <v>46163</v>
      </c>
      <c r="G187" s="5">
        <v>6125</v>
      </c>
      <c r="H187" s="5">
        <v>4888.76</v>
      </c>
      <c r="I187" s="2" t="s">
        <v>37</v>
      </c>
      <c r="J187" s="2" t="s">
        <v>1541</v>
      </c>
      <c r="K187" t="s">
        <v>56</v>
      </c>
      <c r="L187" s="12">
        <f>MIS_Report!$B$2-F187</f>
        <v>147</v>
      </c>
      <c r="M187" t="str" cm="1">
        <f t="array" ref="M187">_xlfn.IFS(L187&lt;=30,"0-30",L187&lt;=60,"31-60",L187&lt;=90,"61-90",TRUE,"90+")</f>
        <v>90+</v>
      </c>
      <c r="N187">
        <f t="shared" si="5"/>
        <v>0</v>
      </c>
      <c r="O187" t="str">
        <f>VLOOKUP(K187,Agents!$A$1:$C$11,2,0)</f>
        <v>Manish Arora</v>
      </c>
      <c r="P187">
        <f t="shared" si="4"/>
        <v>0</v>
      </c>
    </row>
    <row r="188" spans="1:16" x14ac:dyDescent="0.25">
      <c r="A188" s="2" t="s">
        <v>408</v>
      </c>
      <c r="B188" s="2" t="s">
        <v>409</v>
      </c>
      <c r="C188" s="2" t="s">
        <v>29</v>
      </c>
      <c r="D188" s="2" t="s">
        <v>30</v>
      </c>
      <c r="E188" s="4">
        <v>46176</v>
      </c>
      <c r="F188" s="4">
        <v>46181</v>
      </c>
      <c r="G188" s="5">
        <v>400</v>
      </c>
      <c r="H188" s="5">
        <v>399.49</v>
      </c>
      <c r="I188" s="2" t="s">
        <v>37</v>
      </c>
      <c r="J188" s="2" t="s">
        <v>1541</v>
      </c>
      <c r="K188" t="s">
        <v>38</v>
      </c>
      <c r="L188" s="12">
        <f>MIS_Report!$B$2-F188</f>
        <v>129</v>
      </c>
      <c r="M188" t="str" cm="1">
        <f t="array" ref="M188">_xlfn.IFS(L188&lt;=30,"0-30",L188&lt;=60,"31-60",L188&lt;=90,"61-90",TRUE,"90+")</f>
        <v>90+</v>
      </c>
      <c r="N188">
        <f t="shared" si="5"/>
        <v>0</v>
      </c>
      <c r="O188" t="str">
        <f>VLOOKUP(K188,Agents!$A$1:$C$11,2,0)</f>
        <v>Sunita Rao</v>
      </c>
      <c r="P188">
        <f t="shared" si="4"/>
        <v>0</v>
      </c>
    </row>
    <row r="189" spans="1:16" x14ac:dyDescent="0.25">
      <c r="A189" s="2" t="s">
        <v>410</v>
      </c>
      <c r="B189" s="2" t="s">
        <v>411</v>
      </c>
      <c r="C189" s="2" t="s">
        <v>46</v>
      </c>
      <c r="D189" s="2" t="s">
        <v>61</v>
      </c>
      <c r="E189" s="4">
        <v>46182</v>
      </c>
      <c r="F189" s="4">
        <v>46202</v>
      </c>
      <c r="G189" s="5">
        <v>10425</v>
      </c>
      <c r="H189" s="5">
        <v>8626.8799999999992</v>
      </c>
      <c r="I189" s="2" t="s">
        <v>37</v>
      </c>
      <c r="J189" s="2" t="s">
        <v>1541</v>
      </c>
      <c r="K189" t="s">
        <v>62</v>
      </c>
      <c r="L189" s="12">
        <f>MIS_Report!$B$2-F189</f>
        <v>108</v>
      </c>
      <c r="M189" t="str" cm="1">
        <f t="array" ref="M189">_xlfn.IFS(L189&lt;=30,"0-30",L189&lt;=60,"31-60",L189&lt;=90,"61-90",TRUE,"90+")</f>
        <v>90+</v>
      </c>
      <c r="N189">
        <f t="shared" si="5"/>
        <v>0</v>
      </c>
      <c r="O189" t="str">
        <f>VLOOKUP(K189,Agents!$A$1:$C$11,2,0)</f>
        <v>Sunita Rao</v>
      </c>
      <c r="P189">
        <f t="shared" si="4"/>
        <v>0</v>
      </c>
    </row>
    <row r="190" spans="1:16" x14ac:dyDescent="0.25">
      <c r="A190" s="2" t="s">
        <v>412</v>
      </c>
      <c r="B190" s="2" t="s">
        <v>413</v>
      </c>
      <c r="C190" s="2" t="s">
        <v>36</v>
      </c>
      <c r="D190" s="2" t="s">
        <v>41</v>
      </c>
      <c r="E190" s="4">
        <v>46133</v>
      </c>
      <c r="F190" s="4">
        <v>46150</v>
      </c>
      <c r="G190" s="5">
        <v>14900</v>
      </c>
      <c r="H190" s="5"/>
      <c r="I190" s="2" t="s">
        <v>42</v>
      </c>
      <c r="J190" s="2" t="s">
        <v>1541</v>
      </c>
      <c r="K190" t="s">
        <v>56</v>
      </c>
      <c r="L190" s="12">
        <f>MIS_Report!$B$2-F190</f>
        <v>160</v>
      </c>
      <c r="M190" t="str" cm="1">
        <f t="array" ref="M190">_xlfn.IFS(L190&lt;=30,"0-30",L190&lt;=60,"31-60",L190&lt;=90,"61-90",TRUE,"90+")</f>
        <v>90+</v>
      </c>
      <c r="N190">
        <f t="shared" si="5"/>
        <v>14900</v>
      </c>
      <c r="O190" t="str">
        <f>VLOOKUP(K190,Agents!$A$1:$C$11,2,0)</f>
        <v>Manish Arora</v>
      </c>
      <c r="P190">
        <f t="shared" si="4"/>
        <v>0</v>
      </c>
    </row>
    <row r="191" spans="1:16" x14ac:dyDescent="0.25">
      <c r="A191" s="2" t="s">
        <v>414</v>
      </c>
      <c r="B191" s="2" t="s">
        <v>270</v>
      </c>
      <c r="C191" s="2" t="s">
        <v>46</v>
      </c>
      <c r="D191" s="2" t="s">
        <v>41</v>
      </c>
      <c r="E191" s="4">
        <v>46089</v>
      </c>
      <c r="F191" s="4">
        <v>46109</v>
      </c>
      <c r="G191" s="5">
        <v>3325</v>
      </c>
      <c r="H191" s="5">
        <v>1864.65</v>
      </c>
      <c r="I191" s="2" t="s">
        <v>37</v>
      </c>
      <c r="J191" s="2" t="s">
        <v>1541</v>
      </c>
      <c r="K191" t="s">
        <v>65</v>
      </c>
      <c r="L191" s="12">
        <f>MIS_Report!$B$2-F191</f>
        <v>201</v>
      </c>
      <c r="M191" t="str" cm="1">
        <f t="array" ref="M191">_xlfn.IFS(L191&lt;=30,"0-30",L191&lt;=60,"31-60",L191&lt;=90,"61-90",TRUE,"90+")</f>
        <v>90+</v>
      </c>
      <c r="N191">
        <f t="shared" si="5"/>
        <v>0</v>
      </c>
      <c r="O191" t="str">
        <f>VLOOKUP(K191,Agents!$A$1:$C$11,2,0)</f>
        <v>Deepak Nair</v>
      </c>
      <c r="P191">
        <f t="shared" si="4"/>
        <v>0</v>
      </c>
    </row>
    <row r="192" spans="1:16" x14ac:dyDescent="0.25">
      <c r="A192" s="2" t="s">
        <v>415</v>
      </c>
      <c r="B192" s="2" t="s">
        <v>241</v>
      </c>
      <c r="C192" s="2" t="s">
        <v>46</v>
      </c>
      <c r="D192" s="2" t="s">
        <v>80</v>
      </c>
      <c r="E192" s="4">
        <v>46019</v>
      </c>
      <c r="F192" s="4">
        <v>46028</v>
      </c>
      <c r="G192" s="5">
        <v>1925</v>
      </c>
      <c r="H192" s="5"/>
      <c r="I192" s="2" t="s">
        <v>42</v>
      </c>
      <c r="J192" s="2" t="s">
        <v>1541</v>
      </c>
      <c r="K192" t="s">
        <v>65</v>
      </c>
      <c r="L192" s="12">
        <f>MIS_Report!$B$2-F192</f>
        <v>282</v>
      </c>
      <c r="M192" t="str" cm="1">
        <f t="array" ref="M192">_xlfn.IFS(L192&lt;=30,"0-30",L192&lt;=60,"31-60",L192&lt;=90,"61-90",TRUE,"90+")</f>
        <v>90+</v>
      </c>
      <c r="N192">
        <f t="shared" si="5"/>
        <v>1925</v>
      </c>
      <c r="O192" t="str">
        <f>VLOOKUP(K192,Agents!$A$1:$C$11,2,0)</f>
        <v>Deepak Nair</v>
      </c>
      <c r="P192">
        <f t="shared" si="4"/>
        <v>0</v>
      </c>
    </row>
    <row r="193" spans="1:16" x14ac:dyDescent="0.25">
      <c r="A193" s="2" t="s">
        <v>416</v>
      </c>
      <c r="B193" s="2" t="s">
        <v>417</v>
      </c>
      <c r="C193" s="2" t="s">
        <v>36</v>
      </c>
      <c r="D193" s="2" t="s">
        <v>94</v>
      </c>
      <c r="E193" s="4">
        <v>46215</v>
      </c>
      <c r="F193" s="4">
        <v>46227</v>
      </c>
      <c r="G193" s="5">
        <v>13900</v>
      </c>
      <c r="H193" s="5"/>
      <c r="I193" s="2" t="s">
        <v>42</v>
      </c>
      <c r="J193" s="2" t="s">
        <v>1541</v>
      </c>
      <c r="K193" t="s">
        <v>65</v>
      </c>
      <c r="L193" s="12">
        <f>MIS_Report!$B$2-F193</f>
        <v>83</v>
      </c>
      <c r="M193" t="str" cm="1">
        <f t="array" ref="M193">_xlfn.IFS(L193&lt;=30,"0-30",L193&lt;=60,"31-60",L193&lt;=90,"61-90",TRUE,"90+")</f>
        <v>61-90</v>
      </c>
      <c r="N193">
        <f t="shared" si="5"/>
        <v>13900</v>
      </c>
      <c r="O193" t="str">
        <f>VLOOKUP(K193,Agents!$A$1:$C$11,2,0)</f>
        <v>Deepak Nair</v>
      </c>
      <c r="P193">
        <f t="shared" si="4"/>
        <v>0</v>
      </c>
    </row>
    <row r="194" spans="1:16" x14ac:dyDescent="0.25">
      <c r="A194" s="2" t="s">
        <v>418</v>
      </c>
      <c r="B194" s="2" t="s">
        <v>216</v>
      </c>
      <c r="C194" s="2" t="s">
        <v>36</v>
      </c>
      <c r="D194" s="2" t="s">
        <v>41</v>
      </c>
      <c r="E194" s="4">
        <v>46212</v>
      </c>
      <c r="F194" s="4">
        <v>46228</v>
      </c>
      <c r="G194" s="5">
        <v>6700</v>
      </c>
      <c r="H194" s="5"/>
      <c r="I194" s="2" t="s">
        <v>42</v>
      </c>
      <c r="J194" s="2" t="s">
        <v>1541</v>
      </c>
      <c r="K194" t="s">
        <v>33</v>
      </c>
      <c r="L194" s="12">
        <f>MIS_Report!$B$2-F194</f>
        <v>82</v>
      </c>
      <c r="M194" t="str" cm="1">
        <f t="array" ref="M194">_xlfn.IFS(L194&lt;=30,"0-30",L194&lt;=60,"31-60",L194&lt;=90,"61-90",TRUE,"90+")</f>
        <v>61-90</v>
      </c>
      <c r="N194">
        <f t="shared" si="5"/>
        <v>6700</v>
      </c>
      <c r="O194" t="str">
        <f>VLOOKUP(K194,Agents!$A$1:$C$11,2,0)</f>
        <v>Manish Arora</v>
      </c>
      <c r="P194">
        <f t="shared" si="4"/>
        <v>0</v>
      </c>
    </row>
    <row r="195" spans="1:16" x14ac:dyDescent="0.25">
      <c r="A195" s="2" t="s">
        <v>419</v>
      </c>
      <c r="B195" s="2" t="s">
        <v>206</v>
      </c>
      <c r="C195" s="2" t="s">
        <v>29</v>
      </c>
      <c r="D195" s="2" t="s">
        <v>61</v>
      </c>
      <c r="E195" s="4">
        <v>46126</v>
      </c>
      <c r="F195" s="4">
        <v>46139</v>
      </c>
      <c r="G195" s="5">
        <v>10225</v>
      </c>
      <c r="H195" s="5">
        <v>6897.49</v>
      </c>
      <c r="I195" s="2" t="s">
        <v>37</v>
      </c>
      <c r="J195" s="2" t="s">
        <v>1541</v>
      </c>
      <c r="K195" t="s">
        <v>62</v>
      </c>
      <c r="L195" s="12">
        <f>MIS_Report!$B$2-F195</f>
        <v>171</v>
      </c>
      <c r="M195" t="str" cm="1">
        <f t="array" ref="M195">_xlfn.IFS(L195&lt;=30,"0-30",L195&lt;=60,"31-60",L195&lt;=90,"61-90",TRUE,"90+")</f>
        <v>90+</v>
      </c>
      <c r="N195">
        <f t="shared" si="5"/>
        <v>0</v>
      </c>
      <c r="O195" t="str">
        <f>VLOOKUP(K195,Agents!$A$1:$C$11,2,0)</f>
        <v>Sunita Rao</v>
      </c>
      <c r="P195">
        <f t="shared" ref="P195:P258" si="6">IF(I195="Denied",G195,0)</f>
        <v>0</v>
      </c>
    </row>
    <row r="196" spans="1:16" x14ac:dyDescent="0.25">
      <c r="A196" s="2" t="s">
        <v>420</v>
      </c>
      <c r="B196" s="2" t="s">
        <v>421</v>
      </c>
      <c r="C196" s="2" t="s">
        <v>79</v>
      </c>
      <c r="D196" s="2" t="s">
        <v>30</v>
      </c>
      <c r="E196" s="4">
        <v>46044</v>
      </c>
      <c r="F196" s="4">
        <v>46057</v>
      </c>
      <c r="G196" s="5">
        <v>2700</v>
      </c>
      <c r="H196" s="5">
        <v>1703.8</v>
      </c>
      <c r="I196" s="2" t="s">
        <v>37</v>
      </c>
      <c r="J196" s="2" t="s">
        <v>1541</v>
      </c>
      <c r="K196" t="s">
        <v>43</v>
      </c>
      <c r="L196" s="12">
        <f>MIS_Report!$B$2-F196</f>
        <v>253</v>
      </c>
      <c r="M196" t="str" cm="1">
        <f t="array" ref="M196">_xlfn.IFS(L196&lt;=30,"0-30",L196&lt;=60,"31-60",L196&lt;=90,"61-90",TRUE,"90+")</f>
        <v>90+</v>
      </c>
      <c r="N196">
        <f t="shared" si="5"/>
        <v>0</v>
      </c>
      <c r="O196" t="str">
        <f>VLOOKUP(K196,Agents!$A$1:$C$11,2,0)</f>
        <v>Manish Arora</v>
      </c>
      <c r="P196">
        <f t="shared" si="6"/>
        <v>0</v>
      </c>
    </row>
    <row r="197" spans="1:16" x14ac:dyDescent="0.25">
      <c r="A197" s="2" t="s">
        <v>422</v>
      </c>
      <c r="B197" s="2" t="s">
        <v>423</v>
      </c>
      <c r="C197" s="2" t="s">
        <v>36</v>
      </c>
      <c r="D197" s="2" t="s">
        <v>55</v>
      </c>
      <c r="E197" s="4">
        <v>46099</v>
      </c>
      <c r="F197" s="4">
        <v>46113</v>
      </c>
      <c r="G197" s="5">
        <v>3000</v>
      </c>
      <c r="H197" s="5">
        <v>1896.16</v>
      </c>
      <c r="I197" s="2" t="s">
        <v>37</v>
      </c>
      <c r="J197" s="2" t="s">
        <v>1541</v>
      </c>
      <c r="K197" t="s">
        <v>56</v>
      </c>
      <c r="L197" s="12">
        <f>MIS_Report!$B$2-F197</f>
        <v>197</v>
      </c>
      <c r="M197" t="str" cm="1">
        <f t="array" ref="M197">_xlfn.IFS(L197&lt;=30,"0-30",L197&lt;=60,"31-60",L197&lt;=90,"61-90",TRUE,"90+")</f>
        <v>90+</v>
      </c>
      <c r="N197">
        <f t="shared" ref="N197:N260" si="7">IF(I197="Pending",G197-H197,0)</f>
        <v>0</v>
      </c>
      <c r="O197" t="str">
        <f>VLOOKUP(K197,Agents!$A$1:$C$11,2,0)</f>
        <v>Manish Arora</v>
      </c>
      <c r="P197">
        <f t="shared" si="6"/>
        <v>0</v>
      </c>
    </row>
    <row r="198" spans="1:16" x14ac:dyDescent="0.25">
      <c r="A198" s="2" t="s">
        <v>424</v>
      </c>
      <c r="B198" s="2" t="s">
        <v>425</v>
      </c>
      <c r="C198" s="2" t="s">
        <v>79</v>
      </c>
      <c r="D198" s="2" t="s">
        <v>41</v>
      </c>
      <c r="E198" s="4">
        <v>46223</v>
      </c>
      <c r="F198" s="4">
        <v>46229</v>
      </c>
      <c r="G198" s="5">
        <v>8525</v>
      </c>
      <c r="H198" s="5"/>
      <c r="I198" s="2" t="s">
        <v>42</v>
      </c>
      <c r="J198" s="2" t="s">
        <v>1541</v>
      </c>
      <c r="K198" t="s">
        <v>33</v>
      </c>
      <c r="L198" s="12">
        <f>MIS_Report!$B$2-F198</f>
        <v>81</v>
      </c>
      <c r="M198" t="str" cm="1">
        <f t="array" ref="M198">_xlfn.IFS(L198&lt;=30,"0-30",L198&lt;=60,"31-60",L198&lt;=90,"61-90",TRUE,"90+")</f>
        <v>61-90</v>
      </c>
      <c r="N198">
        <f t="shared" si="7"/>
        <v>8525</v>
      </c>
      <c r="O198" t="str">
        <f>VLOOKUP(K198,Agents!$A$1:$C$11,2,0)</f>
        <v>Manish Arora</v>
      </c>
      <c r="P198">
        <f t="shared" si="6"/>
        <v>0</v>
      </c>
    </row>
    <row r="199" spans="1:16" x14ac:dyDescent="0.25">
      <c r="A199" s="2" t="s">
        <v>426</v>
      </c>
      <c r="B199" s="2" t="s">
        <v>427</v>
      </c>
      <c r="C199" s="2" t="s">
        <v>79</v>
      </c>
      <c r="D199" s="2" t="s">
        <v>30</v>
      </c>
      <c r="E199" s="4">
        <v>46182</v>
      </c>
      <c r="F199" s="4">
        <v>46187</v>
      </c>
      <c r="G199" s="5">
        <v>3050</v>
      </c>
      <c r="H199" s="5">
        <v>2327.17</v>
      </c>
      <c r="I199" s="2" t="s">
        <v>37</v>
      </c>
      <c r="J199" s="2" t="s">
        <v>1541</v>
      </c>
      <c r="K199" t="s">
        <v>33</v>
      </c>
      <c r="L199" s="12">
        <f>MIS_Report!$B$2-F199</f>
        <v>123</v>
      </c>
      <c r="M199" t="str" cm="1">
        <f t="array" ref="M199">_xlfn.IFS(L199&lt;=30,"0-30",L199&lt;=60,"31-60",L199&lt;=90,"61-90",TRUE,"90+")</f>
        <v>90+</v>
      </c>
      <c r="N199">
        <f t="shared" si="7"/>
        <v>0</v>
      </c>
      <c r="O199" t="str">
        <f>VLOOKUP(K199,Agents!$A$1:$C$11,2,0)</f>
        <v>Manish Arora</v>
      </c>
      <c r="P199">
        <f t="shared" si="6"/>
        <v>0</v>
      </c>
    </row>
    <row r="200" spans="1:16" x14ac:dyDescent="0.25">
      <c r="A200" s="2" t="s">
        <v>428</v>
      </c>
      <c r="B200" s="2" t="s">
        <v>360</v>
      </c>
      <c r="C200" s="2" t="s">
        <v>79</v>
      </c>
      <c r="D200" s="2" t="s">
        <v>80</v>
      </c>
      <c r="E200" s="4">
        <v>46157</v>
      </c>
      <c r="F200" s="4">
        <v>46162</v>
      </c>
      <c r="G200" s="5">
        <v>10275</v>
      </c>
      <c r="H200" s="5"/>
      <c r="I200" s="2" t="s">
        <v>42</v>
      </c>
      <c r="J200" s="2" t="s">
        <v>1541</v>
      </c>
      <c r="K200" t="s">
        <v>83</v>
      </c>
      <c r="L200" s="12">
        <f>MIS_Report!$B$2-F200</f>
        <v>148</v>
      </c>
      <c r="M200" t="str" cm="1">
        <f t="array" ref="M200">_xlfn.IFS(L200&lt;=30,"0-30",L200&lt;=60,"31-60",L200&lt;=90,"61-90",TRUE,"90+")</f>
        <v>90+</v>
      </c>
      <c r="N200">
        <f t="shared" si="7"/>
        <v>10275</v>
      </c>
      <c r="O200" t="str">
        <f>VLOOKUP(K200,Agents!$A$1:$C$11,2,0)</f>
        <v>Deepak Nair</v>
      </c>
      <c r="P200">
        <f t="shared" si="6"/>
        <v>0</v>
      </c>
    </row>
    <row r="201" spans="1:16" x14ac:dyDescent="0.25">
      <c r="A201" s="2" t="s">
        <v>430</v>
      </c>
      <c r="B201" s="2" t="s">
        <v>431</v>
      </c>
      <c r="C201" s="2" t="s">
        <v>79</v>
      </c>
      <c r="D201" s="2" t="s">
        <v>30</v>
      </c>
      <c r="E201" s="4">
        <v>46021</v>
      </c>
      <c r="F201" s="4">
        <v>46028</v>
      </c>
      <c r="G201" s="5">
        <v>9975</v>
      </c>
      <c r="H201" s="5"/>
      <c r="I201" s="2" t="s">
        <v>42</v>
      </c>
      <c r="J201" s="2" t="s">
        <v>1541</v>
      </c>
      <c r="K201" t="s">
        <v>52</v>
      </c>
      <c r="L201" s="12">
        <f>MIS_Report!$B$2-F201</f>
        <v>282</v>
      </c>
      <c r="M201" t="str" cm="1">
        <f t="array" ref="M201">_xlfn.IFS(L201&lt;=30,"0-30",L201&lt;=60,"31-60",L201&lt;=90,"61-90",TRUE,"90+")</f>
        <v>90+</v>
      </c>
      <c r="N201">
        <f t="shared" si="7"/>
        <v>9975</v>
      </c>
      <c r="O201" t="str">
        <f>VLOOKUP(K201,Agents!$A$1:$C$11,2,0)</f>
        <v>Sunita Rao</v>
      </c>
      <c r="P201">
        <f t="shared" si="6"/>
        <v>0</v>
      </c>
    </row>
    <row r="202" spans="1:16" x14ac:dyDescent="0.25">
      <c r="A202" s="2" t="s">
        <v>432</v>
      </c>
      <c r="B202" s="2" t="s">
        <v>433</v>
      </c>
      <c r="C202" s="2" t="s">
        <v>36</v>
      </c>
      <c r="D202" s="2" t="s">
        <v>41</v>
      </c>
      <c r="E202" s="4">
        <v>46232</v>
      </c>
      <c r="F202" s="4">
        <v>46248</v>
      </c>
      <c r="G202" s="5">
        <v>13200</v>
      </c>
      <c r="H202" s="5"/>
      <c r="I202" s="2" t="s">
        <v>42</v>
      </c>
      <c r="J202" s="2" t="s">
        <v>1541</v>
      </c>
      <c r="K202" t="s">
        <v>65</v>
      </c>
      <c r="L202" s="12">
        <f>MIS_Report!$B$2-F202</f>
        <v>62</v>
      </c>
      <c r="M202" t="str" cm="1">
        <f t="array" ref="M202">_xlfn.IFS(L202&lt;=30,"0-30",L202&lt;=60,"31-60",L202&lt;=90,"61-90",TRUE,"90+")</f>
        <v>61-90</v>
      </c>
      <c r="N202">
        <f t="shared" si="7"/>
        <v>13200</v>
      </c>
      <c r="O202" t="str">
        <f>VLOOKUP(K202,Agents!$A$1:$C$11,2,0)</f>
        <v>Deepak Nair</v>
      </c>
      <c r="P202">
        <f t="shared" si="6"/>
        <v>0</v>
      </c>
    </row>
    <row r="203" spans="1:16" x14ac:dyDescent="0.25">
      <c r="A203" s="2" t="s">
        <v>434</v>
      </c>
      <c r="B203" s="2" t="s">
        <v>127</v>
      </c>
      <c r="C203" s="2" t="s">
        <v>79</v>
      </c>
      <c r="D203" s="2" t="s">
        <v>55</v>
      </c>
      <c r="E203" s="4">
        <v>46229</v>
      </c>
      <c r="F203" s="4">
        <v>46246</v>
      </c>
      <c r="G203" s="5">
        <v>11025</v>
      </c>
      <c r="H203" s="5"/>
      <c r="I203" s="2" t="s">
        <v>42</v>
      </c>
      <c r="J203" s="2" t="s">
        <v>1541</v>
      </c>
      <c r="K203" t="s">
        <v>83</v>
      </c>
      <c r="L203" s="12">
        <f>MIS_Report!$B$2-F203</f>
        <v>64</v>
      </c>
      <c r="M203" t="str" cm="1">
        <f t="array" ref="M203">_xlfn.IFS(L203&lt;=30,"0-30",L203&lt;=60,"31-60",L203&lt;=90,"61-90",TRUE,"90+")</f>
        <v>61-90</v>
      </c>
      <c r="N203">
        <f t="shared" si="7"/>
        <v>11025</v>
      </c>
      <c r="O203" t="str">
        <f>VLOOKUP(K203,Agents!$A$1:$C$11,2,0)</f>
        <v>Deepak Nair</v>
      </c>
      <c r="P203">
        <f t="shared" si="6"/>
        <v>0</v>
      </c>
    </row>
    <row r="204" spans="1:16" x14ac:dyDescent="0.25">
      <c r="A204" s="2" t="s">
        <v>435</v>
      </c>
      <c r="B204" s="2" t="s">
        <v>436</v>
      </c>
      <c r="C204" s="2" t="s">
        <v>36</v>
      </c>
      <c r="D204" s="2" t="s">
        <v>94</v>
      </c>
      <c r="E204" s="4">
        <v>46025</v>
      </c>
      <c r="F204" s="4">
        <v>46044</v>
      </c>
      <c r="G204" s="5">
        <v>1100</v>
      </c>
      <c r="H204" s="5">
        <v>745.67</v>
      </c>
      <c r="I204" s="2" t="s">
        <v>37</v>
      </c>
      <c r="J204" s="2" t="s">
        <v>1541</v>
      </c>
      <c r="K204" t="s">
        <v>33</v>
      </c>
      <c r="L204" s="12">
        <f>MIS_Report!$B$2-F204</f>
        <v>266</v>
      </c>
      <c r="M204" t="str" cm="1">
        <f t="array" ref="M204">_xlfn.IFS(L204&lt;=30,"0-30",L204&lt;=60,"31-60",L204&lt;=90,"61-90",TRUE,"90+")</f>
        <v>90+</v>
      </c>
      <c r="N204">
        <f t="shared" si="7"/>
        <v>0</v>
      </c>
      <c r="O204" t="str">
        <f>VLOOKUP(K204,Agents!$A$1:$C$11,2,0)</f>
        <v>Manish Arora</v>
      </c>
      <c r="P204">
        <f t="shared" si="6"/>
        <v>0</v>
      </c>
    </row>
    <row r="205" spans="1:16" x14ac:dyDescent="0.25">
      <c r="A205" s="2" t="s">
        <v>437</v>
      </c>
      <c r="B205" s="2" t="s">
        <v>98</v>
      </c>
      <c r="C205" s="2" t="s">
        <v>46</v>
      </c>
      <c r="D205" s="2" t="s">
        <v>41</v>
      </c>
      <c r="E205" s="4">
        <v>46280</v>
      </c>
      <c r="F205" s="4">
        <v>46297</v>
      </c>
      <c r="G205" s="5">
        <v>8700</v>
      </c>
      <c r="H205" s="5"/>
      <c r="I205" s="2" t="s">
        <v>42</v>
      </c>
      <c r="J205" s="2" t="s">
        <v>1541</v>
      </c>
      <c r="K205" t="s">
        <v>65</v>
      </c>
      <c r="L205" s="12">
        <f>MIS_Report!$B$2-F205</f>
        <v>13</v>
      </c>
      <c r="M205" t="str" cm="1">
        <f t="array" ref="M205">_xlfn.IFS(L205&lt;=30,"0-30",L205&lt;=60,"31-60",L205&lt;=90,"61-90",TRUE,"90+")</f>
        <v>0-30</v>
      </c>
      <c r="N205">
        <f t="shared" si="7"/>
        <v>8700</v>
      </c>
      <c r="O205" t="str">
        <f>VLOOKUP(K205,Agents!$A$1:$C$11,2,0)</f>
        <v>Deepak Nair</v>
      </c>
      <c r="P205">
        <f t="shared" si="6"/>
        <v>0</v>
      </c>
    </row>
    <row r="206" spans="1:16" x14ac:dyDescent="0.25">
      <c r="A206" s="2" t="s">
        <v>438</v>
      </c>
      <c r="B206" s="2" t="s">
        <v>290</v>
      </c>
      <c r="C206" s="2" t="s">
        <v>29</v>
      </c>
      <c r="D206" s="2" t="s">
        <v>41</v>
      </c>
      <c r="E206" s="4">
        <v>46224</v>
      </c>
      <c r="F206" s="4">
        <v>46228</v>
      </c>
      <c r="G206" s="5">
        <v>3525</v>
      </c>
      <c r="H206" s="5"/>
      <c r="I206" s="2" t="s">
        <v>42</v>
      </c>
      <c r="J206" s="2" t="s">
        <v>1541</v>
      </c>
      <c r="K206" t="s">
        <v>33</v>
      </c>
      <c r="L206" s="12">
        <f>MIS_Report!$B$2-F206</f>
        <v>82</v>
      </c>
      <c r="M206" t="str" cm="1">
        <f t="array" ref="M206">_xlfn.IFS(L206&lt;=30,"0-30",L206&lt;=60,"31-60",L206&lt;=90,"61-90",TRUE,"90+")</f>
        <v>61-90</v>
      </c>
      <c r="N206">
        <f t="shared" si="7"/>
        <v>3525</v>
      </c>
      <c r="O206" t="str">
        <f>VLOOKUP(K206,Agents!$A$1:$C$11,2,0)</f>
        <v>Manish Arora</v>
      </c>
      <c r="P206">
        <f t="shared" si="6"/>
        <v>0</v>
      </c>
    </row>
    <row r="207" spans="1:16" x14ac:dyDescent="0.25">
      <c r="A207" s="2" t="s">
        <v>439</v>
      </c>
      <c r="B207" s="2" t="s">
        <v>144</v>
      </c>
      <c r="C207" s="2" t="s">
        <v>36</v>
      </c>
      <c r="D207" s="2" t="s">
        <v>68</v>
      </c>
      <c r="E207" s="4">
        <v>46089</v>
      </c>
      <c r="F207" s="4">
        <v>46095</v>
      </c>
      <c r="G207" s="5">
        <v>2950</v>
      </c>
      <c r="H207" s="5">
        <v>0</v>
      </c>
      <c r="I207" s="2" t="s">
        <v>31</v>
      </c>
      <c r="J207" s="2" t="s">
        <v>347</v>
      </c>
      <c r="K207" t="s">
        <v>62</v>
      </c>
      <c r="L207" s="12">
        <f>MIS_Report!$B$2-F207</f>
        <v>215</v>
      </c>
      <c r="M207" t="str" cm="1">
        <f t="array" ref="M207">_xlfn.IFS(L207&lt;=30,"0-30",L207&lt;=60,"31-60",L207&lt;=90,"61-90",TRUE,"90+")</f>
        <v>90+</v>
      </c>
      <c r="N207">
        <f t="shared" si="7"/>
        <v>0</v>
      </c>
      <c r="O207" t="str">
        <f>VLOOKUP(K207,Agents!$A$1:$C$11,2,0)</f>
        <v>Sunita Rao</v>
      </c>
      <c r="P207">
        <f t="shared" si="6"/>
        <v>2950</v>
      </c>
    </row>
    <row r="208" spans="1:16" x14ac:dyDescent="0.25">
      <c r="A208" s="2" t="s">
        <v>440</v>
      </c>
      <c r="B208" s="2" t="s">
        <v>362</v>
      </c>
      <c r="C208" s="2" t="s">
        <v>46</v>
      </c>
      <c r="D208" s="2" t="s">
        <v>71</v>
      </c>
      <c r="E208" s="4">
        <v>46274</v>
      </c>
      <c r="F208" s="4">
        <v>46288</v>
      </c>
      <c r="G208" s="5">
        <v>11900</v>
      </c>
      <c r="H208" s="5">
        <v>8830.7199999999993</v>
      </c>
      <c r="I208" s="2" t="s">
        <v>37</v>
      </c>
      <c r="J208" s="2" t="s">
        <v>1541</v>
      </c>
      <c r="K208" t="s">
        <v>43</v>
      </c>
      <c r="L208" s="12">
        <f>MIS_Report!$B$2-F208</f>
        <v>22</v>
      </c>
      <c r="M208" t="str" cm="1">
        <f t="array" ref="M208">_xlfn.IFS(L208&lt;=30,"0-30",L208&lt;=60,"31-60",L208&lt;=90,"61-90",TRUE,"90+")</f>
        <v>0-30</v>
      </c>
      <c r="N208">
        <f t="shared" si="7"/>
        <v>0</v>
      </c>
      <c r="O208" t="str">
        <f>VLOOKUP(K208,Agents!$A$1:$C$11,2,0)</f>
        <v>Manish Arora</v>
      </c>
      <c r="P208">
        <f t="shared" si="6"/>
        <v>0</v>
      </c>
    </row>
    <row r="209" spans="1:16" x14ac:dyDescent="0.25">
      <c r="A209" s="2" t="s">
        <v>442</v>
      </c>
      <c r="B209" s="2" t="s">
        <v>170</v>
      </c>
      <c r="C209" s="2" t="s">
        <v>29</v>
      </c>
      <c r="D209" s="2" t="s">
        <v>80</v>
      </c>
      <c r="E209" s="4">
        <v>46054</v>
      </c>
      <c r="F209" s="4">
        <v>46060</v>
      </c>
      <c r="G209" s="5">
        <v>14500</v>
      </c>
      <c r="H209" s="5">
        <v>13696.07</v>
      </c>
      <c r="I209" s="2" t="s">
        <v>37</v>
      </c>
      <c r="J209" s="2" t="s">
        <v>1541</v>
      </c>
      <c r="K209" t="s">
        <v>83</v>
      </c>
      <c r="L209" s="12">
        <f>MIS_Report!$B$2-F209</f>
        <v>250</v>
      </c>
      <c r="M209" t="str" cm="1">
        <f t="array" ref="M209">_xlfn.IFS(L209&lt;=30,"0-30",L209&lt;=60,"31-60",L209&lt;=90,"61-90",TRUE,"90+")</f>
        <v>90+</v>
      </c>
      <c r="N209">
        <f t="shared" si="7"/>
        <v>0</v>
      </c>
      <c r="O209" t="str">
        <f>VLOOKUP(K209,Agents!$A$1:$C$11,2,0)</f>
        <v>Deepak Nair</v>
      </c>
      <c r="P209">
        <f t="shared" si="6"/>
        <v>0</v>
      </c>
    </row>
    <row r="210" spans="1:16" x14ac:dyDescent="0.25">
      <c r="A210" s="2" t="s">
        <v>443</v>
      </c>
      <c r="B210" s="2" t="s">
        <v>259</v>
      </c>
      <c r="C210" s="2" t="s">
        <v>79</v>
      </c>
      <c r="D210" s="2" t="s">
        <v>80</v>
      </c>
      <c r="E210" s="4">
        <v>46049</v>
      </c>
      <c r="F210" s="4">
        <v>46056</v>
      </c>
      <c r="G210" s="5">
        <v>9650</v>
      </c>
      <c r="H210" s="5">
        <v>9341.0499999999993</v>
      </c>
      <c r="I210" s="2" t="s">
        <v>37</v>
      </c>
      <c r="J210" s="2" t="s">
        <v>1541</v>
      </c>
      <c r="K210" t="s">
        <v>48</v>
      </c>
      <c r="L210" s="12">
        <f>MIS_Report!$B$2-F210</f>
        <v>254</v>
      </c>
      <c r="M210" t="str" cm="1">
        <f t="array" ref="M210">_xlfn.IFS(L210&lt;=30,"0-30",L210&lt;=60,"31-60",L210&lt;=90,"61-90",TRUE,"90+")</f>
        <v>90+</v>
      </c>
      <c r="N210">
        <f t="shared" si="7"/>
        <v>0</v>
      </c>
      <c r="O210" t="str">
        <f>VLOOKUP(K210,Agents!$A$1:$C$11,2,0)</f>
        <v>Manish Arora</v>
      </c>
      <c r="P210">
        <f t="shared" si="6"/>
        <v>0</v>
      </c>
    </row>
    <row r="211" spans="1:16" x14ac:dyDescent="0.25">
      <c r="A211" s="2" t="s">
        <v>444</v>
      </c>
      <c r="B211" s="2" t="s">
        <v>362</v>
      </c>
      <c r="C211" s="2" t="s">
        <v>36</v>
      </c>
      <c r="D211" s="2" t="s">
        <v>41</v>
      </c>
      <c r="E211" s="4">
        <v>46228</v>
      </c>
      <c r="F211" s="4">
        <v>46236</v>
      </c>
      <c r="G211" s="5">
        <v>10225</v>
      </c>
      <c r="H211" s="5">
        <v>7766.46</v>
      </c>
      <c r="I211" s="2" t="s">
        <v>37</v>
      </c>
      <c r="J211" s="2" t="s">
        <v>1541</v>
      </c>
      <c r="K211" t="s">
        <v>43</v>
      </c>
      <c r="L211" s="12">
        <f>MIS_Report!$B$2-F211</f>
        <v>74</v>
      </c>
      <c r="M211" t="str" cm="1">
        <f t="array" ref="M211">_xlfn.IFS(L211&lt;=30,"0-30",L211&lt;=60,"31-60",L211&lt;=90,"61-90",TRUE,"90+")</f>
        <v>61-90</v>
      </c>
      <c r="N211">
        <f t="shared" si="7"/>
        <v>0</v>
      </c>
      <c r="O211" t="str">
        <f>VLOOKUP(K211,Agents!$A$1:$C$11,2,0)</f>
        <v>Manish Arora</v>
      </c>
      <c r="P211">
        <f t="shared" si="6"/>
        <v>0</v>
      </c>
    </row>
    <row r="212" spans="1:16" x14ac:dyDescent="0.25">
      <c r="A212" s="2" t="s">
        <v>445</v>
      </c>
      <c r="B212" s="2" t="s">
        <v>446</v>
      </c>
      <c r="C212" s="2" t="s">
        <v>29</v>
      </c>
      <c r="D212" s="2" t="s">
        <v>41</v>
      </c>
      <c r="E212" s="4">
        <v>46282</v>
      </c>
      <c r="F212" s="4">
        <v>46295</v>
      </c>
      <c r="G212" s="5">
        <v>5325</v>
      </c>
      <c r="H212" s="5"/>
      <c r="I212" s="2" t="s">
        <v>42</v>
      </c>
      <c r="J212" s="2" t="s">
        <v>1541</v>
      </c>
      <c r="K212" t="s">
        <v>52</v>
      </c>
      <c r="L212" s="12">
        <f>MIS_Report!$B$2-F212</f>
        <v>15</v>
      </c>
      <c r="M212" t="str" cm="1">
        <f t="array" ref="M212">_xlfn.IFS(L212&lt;=30,"0-30",L212&lt;=60,"31-60",L212&lt;=90,"61-90",TRUE,"90+")</f>
        <v>0-30</v>
      </c>
      <c r="N212">
        <f t="shared" si="7"/>
        <v>5325</v>
      </c>
      <c r="O212" t="str">
        <f>VLOOKUP(K212,Agents!$A$1:$C$11,2,0)</f>
        <v>Sunita Rao</v>
      </c>
      <c r="P212">
        <f t="shared" si="6"/>
        <v>0</v>
      </c>
    </row>
    <row r="213" spans="1:16" x14ac:dyDescent="0.25">
      <c r="A213" s="2" t="s">
        <v>447</v>
      </c>
      <c r="B213" s="2" t="s">
        <v>393</v>
      </c>
      <c r="C213" s="2" t="s">
        <v>29</v>
      </c>
      <c r="D213" s="2" t="s">
        <v>41</v>
      </c>
      <c r="E213" s="4">
        <v>46173</v>
      </c>
      <c r="F213" s="4">
        <v>46184</v>
      </c>
      <c r="G213" s="5">
        <v>5625</v>
      </c>
      <c r="H213" s="5">
        <v>3417.82</v>
      </c>
      <c r="I213" s="2" t="s">
        <v>37</v>
      </c>
      <c r="J213" s="2" t="s">
        <v>1541</v>
      </c>
      <c r="K213" t="s">
        <v>62</v>
      </c>
      <c r="L213" s="12">
        <f>MIS_Report!$B$2-F213</f>
        <v>126</v>
      </c>
      <c r="M213" t="str" cm="1">
        <f t="array" ref="M213">_xlfn.IFS(L213&lt;=30,"0-30",L213&lt;=60,"31-60",L213&lt;=90,"61-90",TRUE,"90+")</f>
        <v>90+</v>
      </c>
      <c r="N213">
        <f t="shared" si="7"/>
        <v>0</v>
      </c>
      <c r="O213" t="str">
        <f>VLOOKUP(K213,Agents!$A$1:$C$11,2,0)</f>
        <v>Sunita Rao</v>
      </c>
      <c r="P213">
        <f t="shared" si="6"/>
        <v>0</v>
      </c>
    </row>
    <row r="214" spans="1:16" x14ac:dyDescent="0.25">
      <c r="A214" s="2" t="s">
        <v>448</v>
      </c>
      <c r="B214" s="2" t="s">
        <v>87</v>
      </c>
      <c r="C214" s="2" t="s">
        <v>79</v>
      </c>
      <c r="D214" s="2" t="s">
        <v>68</v>
      </c>
      <c r="E214" s="4">
        <v>46071</v>
      </c>
      <c r="F214" s="4">
        <v>46082</v>
      </c>
      <c r="G214" s="5">
        <v>9100</v>
      </c>
      <c r="H214" s="5">
        <v>5808.26</v>
      </c>
      <c r="I214" s="2" t="s">
        <v>37</v>
      </c>
      <c r="J214" s="2" t="s">
        <v>1541</v>
      </c>
      <c r="K214" t="s">
        <v>52</v>
      </c>
      <c r="L214" s="12">
        <f>MIS_Report!$B$2-F214</f>
        <v>228</v>
      </c>
      <c r="M214" t="str" cm="1">
        <f t="array" ref="M214">_xlfn.IFS(L214&lt;=30,"0-30",L214&lt;=60,"31-60",L214&lt;=90,"61-90",TRUE,"90+")</f>
        <v>90+</v>
      </c>
      <c r="N214">
        <f t="shared" si="7"/>
        <v>0</v>
      </c>
      <c r="O214" t="str">
        <f>VLOOKUP(K214,Agents!$A$1:$C$11,2,0)</f>
        <v>Sunita Rao</v>
      </c>
      <c r="P214">
        <f t="shared" si="6"/>
        <v>0</v>
      </c>
    </row>
    <row r="215" spans="1:16" x14ac:dyDescent="0.25">
      <c r="A215" s="2" t="s">
        <v>449</v>
      </c>
      <c r="B215" s="2" t="s">
        <v>450</v>
      </c>
      <c r="C215" s="2" t="s">
        <v>29</v>
      </c>
      <c r="D215" s="2" t="s">
        <v>61</v>
      </c>
      <c r="E215" s="4">
        <v>46165</v>
      </c>
      <c r="F215" s="4">
        <v>46181</v>
      </c>
      <c r="G215" s="5">
        <v>5400</v>
      </c>
      <c r="H215" s="5">
        <v>4002.07</v>
      </c>
      <c r="I215" s="2" t="s">
        <v>37</v>
      </c>
      <c r="J215" s="2" t="s">
        <v>1541</v>
      </c>
      <c r="K215" t="s">
        <v>33</v>
      </c>
      <c r="L215" s="12">
        <f>MIS_Report!$B$2-F215</f>
        <v>129</v>
      </c>
      <c r="M215" t="str" cm="1">
        <f t="array" ref="M215">_xlfn.IFS(L215&lt;=30,"0-30",L215&lt;=60,"31-60",L215&lt;=90,"61-90",TRUE,"90+")</f>
        <v>90+</v>
      </c>
      <c r="N215">
        <f t="shared" si="7"/>
        <v>0</v>
      </c>
      <c r="O215" t="str">
        <f>VLOOKUP(K215,Agents!$A$1:$C$11,2,0)</f>
        <v>Manish Arora</v>
      </c>
      <c r="P215">
        <f t="shared" si="6"/>
        <v>0</v>
      </c>
    </row>
    <row r="216" spans="1:16" x14ac:dyDescent="0.25">
      <c r="A216" s="2" t="s">
        <v>451</v>
      </c>
      <c r="B216" s="2" t="s">
        <v>452</v>
      </c>
      <c r="C216" s="2" t="s">
        <v>29</v>
      </c>
      <c r="D216" s="2" t="s">
        <v>61</v>
      </c>
      <c r="E216" s="4">
        <v>46276</v>
      </c>
      <c r="F216" s="4">
        <v>46282</v>
      </c>
      <c r="G216" s="5">
        <v>2725</v>
      </c>
      <c r="H216" s="5"/>
      <c r="I216" s="2" t="s">
        <v>42</v>
      </c>
      <c r="J216" s="2" t="s">
        <v>1541</v>
      </c>
      <c r="K216" t="s">
        <v>109</v>
      </c>
      <c r="L216" s="12">
        <f>MIS_Report!$B$2-F216</f>
        <v>28</v>
      </c>
      <c r="M216" t="str" cm="1">
        <f t="array" ref="M216">_xlfn.IFS(L216&lt;=30,"0-30",L216&lt;=60,"31-60",L216&lt;=90,"61-90",TRUE,"90+")</f>
        <v>0-30</v>
      </c>
      <c r="N216">
        <f t="shared" si="7"/>
        <v>2725</v>
      </c>
      <c r="O216" t="str">
        <f>VLOOKUP(K216,Agents!$A$1:$C$11,2,0)</f>
        <v>Deepak Nair</v>
      </c>
      <c r="P216">
        <f t="shared" si="6"/>
        <v>0</v>
      </c>
    </row>
    <row r="217" spans="1:16" x14ac:dyDescent="0.25">
      <c r="A217" s="2" t="s">
        <v>453</v>
      </c>
      <c r="B217" s="2" t="s">
        <v>454</v>
      </c>
      <c r="C217" s="2" t="s">
        <v>36</v>
      </c>
      <c r="D217" s="2" t="s">
        <v>68</v>
      </c>
      <c r="E217" s="4">
        <v>46071</v>
      </c>
      <c r="F217" s="4">
        <v>46083</v>
      </c>
      <c r="G217" s="5">
        <v>3450</v>
      </c>
      <c r="H217" s="5"/>
      <c r="I217" s="2" t="s">
        <v>42</v>
      </c>
      <c r="J217" s="2" t="s">
        <v>1541</v>
      </c>
      <c r="K217" t="s">
        <v>65</v>
      </c>
      <c r="L217" s="12">
        <f>MIS_Report!$B$2-F217</f>
        <v>227</v>
      </c>
      <c r="M217" t="str" cm="1">
        <f t="array" ref="M217">_xlfn.IFS(L217&lt;=30,"0-30",L217&lt;=60,"31-60",L217&lt;=90,"61-90",TRUE,"90+")</f>
        <v>90+</v>
      </c>
      <c r="N217">
        <f t="shared" si="7"/>
        <v>3450</v>
      </c>
      <c r="O217" t="str">
        <f>VLOOKUP(K217,Agents!$A$1:$C$11,2,0)</f>
        <v>Deepak Nair</v>
      </c>
      <c r="P217">
        <f t="shared" si="6"/>
        <v>0</v>
      </c>
    </row>
    <row r="218" spans="1:16" x14ac:dyDescent="0.25">
      <c r="A218" s="2" t="s">
        <v>455</v>
      </c>
      <c r="B218" s="2" t="s">
        <v>45</v>
      </c>
      <c r="C218" s="2" t="s">
        <v>36</v>
      </c>
      <c r="D218" s="2" t="s">
        <v>55</v>
      </c>
      <c r="E218" s="4">
        <v>46120</v>
      </c>
      <c r="F218" s="4">
        <v>46138</v>
      </c>
      <c r="G218" s="5">
        <v>10200</v>
      </c>
      <c r="H218" s="5">
        <v>6621.55</v>
      </c>
      <c r="I218" s="2" t="s">
        <v>37</v>
      </c>
      <c r="J218" s="2" t="s">
        <v>1541</v>
      </c>
      <c r="K218" t="s">
        <v>52</v>
      </c>
      <c r="L218" s="12">
        <f>MIS_Report!$B$2-F218</f>
        <v>172</v>
      </c>
      <c r="M218" t="str" cm="1">
        <f t="array" ref="M218">_xlfn.IFS(L218&lt;=30,"0-30",L218&lt;=60,"31-60",L218&lt;=90,"61-90",TRUE,"90+")</f>
        <v>90+</v>
      </c>
      <c r="N218">
        <f t="shared" si="7"/>
        <v>0</v>
      </c>
      <c r="O218" t="str">
        <f>VLOOKUP(K218,Agents!$A$1:$C$11,2,0)</f>
        <v>Sunita Rao</v>
      </c>
      <c r="P218">
        <f t="shared" si="6"/>
        <v>0</v>
      </c>
    </row>
    <row r="219" spans="1:16" x14ac:dyDescent="0.25">
      <c r="A219" s="2" t="s">
        <v>456</v>
      </c>
      <c r="B219" s="2" t="s">
        <v>457</v>
      </c>
      <c r="C219" s="2" t="s">
        <v>36</v>
      </c>
      <c r="D219" s="2" t="s">
        <v>55</v>
      </c>
      <c r="E219" s="4">
        <v>46150</v>
      </c>
      <c r="F219" s="4">
        <v>46167</v>
      </c>
      <c r="G219" s="5">
        <v>7150</v>
      </c>
      <c r="H219" s="5">
        <v>6094.86</v>
      </c>
      <c r="I219" s="2" t="s">
        <v>37</v>
      </c>
      <c r="J219" s="2" t="s">
        <v>1541</v>
      </c>
      <c r="K219" t="s">
        <v>33</v>
      </c>
      <c r="L219" s="12">
        <f>MIS_Report!$B$2-F219</f>
        <v>143</v>
      </c>
      <c r="M219" t="str" cm="1">
        <f t="array" ref="M219">_xlfn.IFS(L219&lt;=30,"0-30",L219&lt;=60,"31-60",L219&lt;=90,"61-90",TRUE,"90+")</f>
        <v>90+</v>
      </c>
      <c r="N219">
        <f t="shared" si="7"/>
        <v>0</v>
      </c>
      <c r="O219" t="str">
        <f>VLOOKUP(K219,Agents!$A$1:$C$11,2,0)</f>
        <v>Manish Arora</v>
      </c>
      <c r="P219">
        <f t="shared" si="6"/>
        <v>0</v>
      </c>
    </row>
    <row r="220" spans="1:16" x14ac:dyDescent="0.25">
      <c r="A220" s="2" t="s">
        <v>458</v>
      </c>
      <c r="B220" s="2" t="s">
        <v>417</v>
      </c>
      <c r="C220" s="2" t="s">
        <v>36</v>
      </c>
      <c r="D220" s="2" t="s">
        <v>30</v>
      </c>
      <c r="E220" s="4">
        <v>46136</v>
      </c>
      <c r="F220" s="4">
        <v>46151</v>
      </c>
      <c r="G220" s="5">
        <v>11050</v>
      </c>
      <c r="H220" s="5">
        <v>10453.82</v>
      </c>
      <c r="I220" s="2" t="s">
        <v>37</v>
      </c>
      <c r="J220" s="2" t="s">
        <v>1541</v>
      </c>
      <c r="K220" t="s">
        <v>48</v>
      </c>
      <c r="L220" s="12">
        <f>MIS_Report!$B$2-F220</f>
        <v>159</v>
      </c>
      <c r="M220" t="str" cm="1">
        <f t="array" ref="M220">_xlfn.IFS(L220&lt;=30,"0-30",L220&lt;=60,"31-60",L220&lt;=90,"61-90",TRUE,"90+")</f>
        <v>90+</v>
      </c>
      <c r="N220">
        <f t="shared" si="7"/>
        <v>0</v>
      </c>
      <c r="O220" t="str">
        <f>VLOOKUP(K220,Agents!$A$1:$C$11,2,0)</f>
        <v>Manish Arora</v>
      </c>
      <c r="P220">
        <f t="shared" si="6"/>
        <v>0</v>
      </c>
    </row>
    <row r="221" spans="1:16" x14ac:dyDescent="0.25">
      <c r="A221" s="2" t="s">
        <v>459</v>
      </c>
      <c r="B221" s="2" t="s">
        <v>460</v>
      </c>
      <c r="C221" s="2" t="s">
        <v>46</v>
      </c>
      <c r="D221" s="2" t="s">
        <v>41</v>
      </c>
      <c r="E221" s="4">
        <v>46246</v>
      </c>
      <c r="F221" s="4">
        <v>46255</v>
      </c>
      <c r="G221" s="5">
        <v>2550</v>
      </c>
      <c r="H221" s="5"/>
      <c r="I221" s="2" t="s">
        <v>42</v>
      </c>
      <c r="J221" s="2" t="s">
        <v>1541</v>
      </c>
      <c r="K221" t="s">
        <v>109</v>
      </c>
      <c r="L221" s="12">
        <f>MIS_Report!$B$2-F221</f>
        <v>55</v>
      </c>
      <c r="M221" t="str" cm="1">
        <f t="array" ref="M221">_xlfn.IFS(L221&lt;=30,"0-30",L221&lt;=60,"31-60",L221&lt;=90,"61-90",TRUE,"90+")</f>
        <v>31-60</v>
      </c>
      <c r="N221">
        <f t="shared" si="7"/>
        <v>2550</v>
      </c>
      <c r="O221" t="str">
        <f>VLOOKUP(K221,Agents!$A$1:$C$11,2,0)</f>
        <v>Deepak Nair</v>
      </c>
      <c r="P221">
        <f t="shared" si="6"/>
        <v>0</v>
      </c>
    </row>
    <row r="222" spans="1:16" x14ac:dyDescent="0.25">
      <c r="A222" s="2" t="s">
        <v>461</v>
      </c>
      <c r="B222" s="2" t="s">
        <v>164</v>
      </c>
      <c r="C222" s="2" t="s">
        <v>29</v>
      </c>
      <c r="D222" s="2" t="s">
        <v>68</v>
      </c>
      <c r="E222" s="4">
        <v>46196</v>
      </c>
      <c r="F222" s="4">
        <v>46199</v>
      </c>
      <c r="G222" s="5">
        <v>4275</v>
      </c>
      <c r="H222" s="5">
        <v>3245.49</v>
      </c>
      <c r="I222" s="2" t="s">
        <v>37</v>
      </c>
      <c r="J222" s="2" t="s">
        <v>1541</v>
      </c>
      <c r="K222" t="s">
        <v>109</v>
      </c>
      <c r="L222" s="12">
        <f>MIS_Report!$B$2-F222</f>
        <v>111</v>
      </c>
      <c r="M222" t="str" cm="1">
        <f t="array" ref="M222">_xlfn.IFS(L222&lt;=30,"0-30",L222&lt;=60,"31-60",L222&lt;=90,"61-90",TRUE,"90+")</f>
        <v>90+</v>
      </c>
      <c r="N222">
        <f t="shared" si="7"/>
        <v>0</v>
      </c>
      <c r="O222" t="str">
        <f>VLOOKUP(K222,Agents!$A$1:$C$11,2,0)</f>
        <v>Deepak Nair</v>
      </c>
      <c r="P222">
        <f t="shared" si="6"/>
        <v>0</v>
      </c>
    </row>
    <row r="223" spans="1:16" x14ac:dyDescent="0.25">
      <c r="A223" s="2" t="s">
        <v>462</v>
      </c>
      <c r="B223" s="2" t="s">
        <v>463</v>
      </c>
      <c r="C223" s="2" t="s">
        <v>29</v>
      </c>
      <c r="D223" s="2" t="s">
        <v>80</v>
      </c>
      <c r="E223" s="4">
        <v>46044</v>
      </c>
      <c r="F223" s="4">
        <v>46054</v>
      </c>
      <c r="G223" s="5">
        <v>825</v>
      </c>
      <c r="H223" s="5"/>
      <c r="I223" s="2" t="s">
        <v>42</v>
      </c>
      <c r="J223" s="2" t="s">
        <v>1541</v>
      </c>
      <c r="K223" t="s">
        <v>83</v>
      </c>
      <c r="L223" s="12">
        <f>MIS_Report!$B$2-F223</f>
        <v>256</v>
      </c>
      <c r="M223" t="str" cm="1">
        <f t="array" ref="M223">_xlfn.IFS(L223&lt;=30,"0-30",L223&lt;=60,"31-60",L223&lt;=90,"61-90",TRUE,"90+")</f>
        <v>90+</v>
      </c>
      <c r="N223">
        <f t="shared" si="7"/>
        <v>825</v>
      </c>
      <c r="O223" t="str">
        <f>VLOOKUP(K223,Agents!$A$1:$C$11,2,0)</f>
        <v>Deepak Nair</v>
      </c>
      <c r="P223">
        <f t="shared" si="6"/>
        <v>0</v>
      </c>
    </row>
    <row r="224" spans="1:16" x14ac:dyDescent="0.25">
      <c r="A224" s="2" t="s">
        <v>464</v>
      </c>
      <c r="B224" s="2" t="s">
        <v>465</v>
      </c>
      <c r="C224" s="2" t="s">
        <v>29</v>
      </c>
      <c r="D224" s="2" t="s">
        <v>80</v>
      </c>
      <c r="E224" s="4">
        <v>46075</v>
      </c>
      <c r="F224" s="4">
        <v>46079</v>
      </c>
      <c r="G224" s="5">
        <v>2000</v>
      </c>
      <c r="H224" s="5"/>
      <c r="I224" s="2" t="s">
        <v>42</v>
      </c>
      <c r="J224" s="2" t="s">
        <v>1541</v>
      </c>
      <c r="K224" t="s">
        <v>43</v>
      </c>
      <c r="L224" s="12">
        <f>MIS_Report!$B$2-F224</f>
        <v>231</v>
      </c>
      <c r="M224" t="str" cm="1">
        <f t="array" ref="M224">_xlfn.IFS(L224&lt;=30,"0-30",L224&lt;=60,"31-60",L224&lt;=90,"61-90",TRUE,"90+")</f>
        <v>90+</v>
      </c>
      <c r="N224">
        <f t="shared" si="7"/>
        <v>2000</v>
      </c>
      <c r="O224" t="str">
        <f>VLOOKUP(K224,Agents!$A$1:$C$11,2,0)</f>
        <v>Manish Arora</v>
      </c>
      <c r="P224">
        <f t="shared" si="6"/>
        <v>0</v>
      </c>
    </row>
    <row r="225" spans="1:16" x14ac:dyDescent="0.25">
      <c r="A225" s="2" t="s">
        <v>466</v>
      </c>
      <c r="B225" s="2" t="s">
        <v>467</v>
      </c>
      <c r="C225" s="2" t="s">
        <v>29</v>
      </c>
      <c r="D225" s="2" t="s">
        <v>41</v>
      </c>
      <c r="E225" s="4">
        <v>46279</v>
      </c>
      <c r="F225" s="4">
        <v>46288</v>
      </c>
      <c r="G225" s="5">
        <v>13025</v>
      </c>
      <c r="H225" s="5"/>
      <c r="I225" s="2" t="s">
        <v>42</v>
      </c>
      <c r="J225" s="2" t="s">
        <v>1541</v>
      </c>
      <c r="K225" t="s">
        <v>48</v>
      </c>
      <c r="L225" s="12">
        <f>MIS_Report!$B$2-F225</f>
        <v>22</v>
      </c>
      <c r="M225" t="str" cm="1">
        <f t="array" ref="M225">_xlfn.IFS(L225&lt;=30,"0-30",L225&lt;=60,"31-60",L225&lt;=90,"61-90",TRUE,"90+")</f>
        <v>0-30</v>
      </c>
      <c r="N225">
        <f t="shared" si="7"/>
        <v>13025</v>
      </c>
      <c r="O225" t="str">
        <f>VLOOKUP(K225,Agents!$A$1:$C$11,2,0)</f>
        <v>Manish Arora</v>
      </c>
      <c r="P225">
        <f t="shared" si="6"/>
        <v>0</v>
      </c>
    </row>
    <row r="226" spans="1:16" x14ac:dyDescent="0.25">
      <c r="A226" s="2" t="s">
        <v>468</v>
      </c>
      <c r="B226" s="2" t="s">
        <v>469</v>
      </c>
      <c r="C226" s="2" t="s">
        <v>36</v>
      </c>
      <c r="D226" s="2" t="s">
        <v>55</v>
      </c>
      <c r="E226" s="4">
        <v>46016</v>
      </c>
      <c r="F226" s="4">
        <v>46024</v>
      </c>
      <c r="G226" s="5">
        <v>6775</v>
      </c>
      <c r="H226" s="5">
        <v>0</v>
      </c>
      <c r="I226" s="2" t="s">
        <v>31</v>
      </c>
      <c r="J226" s="2" t="s">
        <v>47</v>
      </c>
      <c r="K226" t="s">
        <v>33</v>
      </c>
      <c r="L226" s="12">
        <f>MIS_Report!$B$2-F226</f>
        <v>286</v>
      </c>
      <c r="M226" t="str" cm="1">
        <f t="array" ref="M226">_xlfn.IFS(L226&lt;=30,"0-30",L226&lt;=60,"31-60",L226&lt;=90,"61-90",TRUE,"90+")</f>
        <v>90+</v>
      </c>
      <c r="N226">
        <f t="shared" si="7"/>
        <v>0</v>
      </c>
      <c r="O226" t="str">
        <f>VLOOKUP(K226,Agents!$A$1:$C$11,2,0)</f>
        <v>Manish Arora</v>
      </c>
      <c r="P226">
        <f t="shared" si="6"/>
        <v>6775</v>
      </c>
    </row>
    <row r="227" spans="1:16" x14ac:dyDescent="0.25">
      <c r="A227" s="2" t="s">
        <v>470</v>
      </c>
      <c r="B227" s="2" t="s">
        <v>471</v>
      </c>
      <c r="C227" s="2" t="s">
        <v>36</v>
      </c>
      <c r="D227" s="2" t="s">
        <v>41</v>
      </c>
      <c r="E227" s="4">
        <v>46017</v>
      </c>
      <c r="F227" s="4">
        <v>46031</v>
      </c>
      <c r="G227" s="5">
        <v>9650</v>
      </c>
      <c r="H227" s="5"/>
      <c r="I227" s="2" t="s">
        <v>42</v>
      </c>
      <c r="J227" s="2" t="s">
        <v>1541</v>
      </c>
      <c r="K227" t="s">
        <v>38</v>
      </c>
      <c r="L227" s="12">
        <f>MIS_Report!$B$2-F227</f>
        <v>279</v>
      </c>
      <c r="M227" t="str" cm="1">
        <f t="array" ref="M227">_xlfn.IFS(L227&lt;=30,"0-30",L227&lt;=60,"31-60",L227&lt;=90,"61-90",TRUE,"90+")</f>
        <v>90+</v>
      </c>
      <c r="N227">
        <f t="shared" si="7"/>
        <v>9650</v>
      </c>
      <c r="O227" t="str">
        <f>VLOOKUP(K227,Agents!$A$1:$C$11,2,0)</f>
        <v>Sunita Rao</v>
      </c>
      <c r="P227">
        <f t="shared" si="6"/>
        <v>0</v>
      </c>
    </row>
    <row r="228" spans="1:16" x14ac:dyDescent="0.25">
      <c r="A228" s="2" t="s">
        <v>473</v>
      </c>
      <c r="B228" s="2" t="s">
        <v>474</v>
      </c>
      <c r="C228" s="2" t="s">
        <v>36</v>
      </c>
      <c r="D228" s="2" t="s">
        <v>61</v>
      </c>
      <c r="E228" s="4">
        <v>46277</v>
      </c>
      <c r="F228" s="4">
        <v>46297</v>
      </c>
      <c r="G228" s="5">
        <v>13950</v>
      </c>
      <c r="H228" s="5"/>
      <c r="I228" s="2" t="s">
        <v>42</v>
      </c>
      <c r="J228" s="2" t="s">
        <v>1541</v>
      </c>
      <c r="K228" t="s">
        <v>83</v>
      </c>
      <c r="L228" s="12">
        <f>MIS_Report!$B$2-F228</f>
        <v>13</v>
      </c>
      <c r="M228" t="str" cm="1">
        <f t="array" ref="M228">_xlfn.IFS(L228&lt;=30,"0-30",L228&lt;=60,"31-60",L228&lt;=90,"61-90",TRUE,"90+")</f>
        <v>0-30</v>
      </c>
      <c r="N228">
        <f t="shared" si="7"/>
        <v>13950</v>
      </c>
      <c r="O228" t="str">
        <f>VLOOKUP(K228,Agents!$A$1:$C$11,2,0)</f>
        <v>Deepak Nair</v>
      </c>
      <c r="P228">
        <f t="shared" si="6"/>
        <v>0</v>
      </c>
    </row>
    <row r="229" spans="1:16" x14ac:dyDescent="0.25">
      <c r="A229" s="2" t="s">
        <v>475</v>
      </c>
      <c r="B229" s="2" t="s">
        <v>476</v>
      </c>
      <c r="C229" s="2" t="s">
        <v>46</v>
      </c>
      <c r="D229" s="2" t="s">
        <v>61</v>
      </c>
      <c r="E229" s="4">
        <v>46081</v>
      </c>
      <c r="F229" s="4">
        <v>46086</v>
      </c>
      <c r="G229" s="5">
        <v>14825</v>
      </c>
      <c r="H229" s="5">
        <v>11554.14</v>
      </c>
      <c r="I229" s="2" t="s">
        <v>37</v>
      </c>
      <c r="J229" s="2" t="s">
        <v>1541</v>
      </c>
      <c r="K229" t="s">
        <v>43</v>
      </c>
      <c r="L229" s="12">
        <f>MIS_Report!$B$2-F229</f>
        <v>224</v>
      </c>
      <c r="M229" t="str" cm="1">
        <f t="array" ref="M229">_xlfn.IFS(L229&lt;=30,"0-30",L229&lt;=60,"31-60",L229&lt;=90,"61-90",TRUE,"90+")</f>
        <v>90+</v>
      </c>
      <c r="N229">
        <f t="shared" si="7"/>
        <v>0</v>
      </c>
      <c r="O229" t="str">
        <f>VLOOKUP(K229,Agents!$A$1:$C$11,2,0)</f>
        <v>Manish Arora</v>
      </c>
      <c r="P229">
        <f t="shared" si="6"/>
        <v>0</v>
      </c>
    </row>
    <row r="230" spans="1:16" x14ac:dyDescent="0.25">
      <c r="A230" s="2" t="s">
        <v>477</v>
      </c>
      <c r="B230" s="2" t="s">
        <v>478</v>
      </c>
      <c r="C230" s="2" t="s">
        <v>36</v>
      </c>
      <c r="D230" s="2" t="s">
        <v>55</v>
      </c>
      <c r="E230" s="4">
        <v>46133</v>
      </c>
      <c r="F230" s="4">
        <v>46149</v>
      </c>
      <c r="G230" s="5">
        <v>12225</v>
      </c>
      <c r="H230" s="5">
        <v>9208.61</v>
      </c>
      <c r="I230" s="2" t="s">
        <v>37</v>
      </c>
      <c r="J230" s="2" t="s">
        <v>1541</v>
      </c>
      <c r="K230" t="s">
        <v>48</v>
      </c>
      <c r="L230" s="12">
        <f>MIS_Report!$B$2-F230</f>
        <v>161</v>
      </c>
      <c r="M230" t="str" cm="1">
        <f t="array" ref="M230">_xlfn.IFS(L230&lt;=30,"0-30",L230&lt;=60,"31-60",L230&lt;=90,"61-90",TRUE,"90+")</f>
        <v>90+</v>
      </c>
      <c r="N230">
        <f t="shared" si="7"/>
        <v>0</v>
      </c>
      <c r="O230" t="str">
        <f>VLOOKUP(K230,Agents!$A$1:$C$11,2,0)</f>
        <v>Manish Arora</v>
      </c>
      <c r="P230">
        <f t="shared" si="6"/>
        <v>0</v>
      </c>
    </row>
    <row r="231" spans="1:16" x14ac:dyDescent="0.25">
      <c r="A231" s="2" t="s">
        <v>479</v>
      </c>
      <c r="B231" s="2" t="s">
        <v>480</v>
      </c>
      <c r="C231" s="2" t="s">
        <v>79</v>
      </c>
      <c r="D231" s="2" t="s">
        <v>55</v>
      </c>
      <c r="E231" s="4">
        <v>46273</v>
      </c>
      <c r="F231" s="4">
        <v>46280</v>
      </c>
      <c r="G231" s="5">
        <v>3975</v>
      </c>
      <c r="H231" s="5"/>
      <c r="I231" s="2" t="s">
        <v>42</v>
      </c>
      <c r="J231" s="2" t="s">
        <v>1541</v>
      </c>
      <c r="K231" t="s">
        <v>109</v>
      </c>
      <c r="L231" s="12">
        <f>MIS_Report!$B$2-F231</f>
        <v>30</v>
      </c>
      <c r="M231" t="str" cm="1">
        <f t="array" ref="M231">_xlfn.IFS(L231&lt;=30,"0-30",L231&lt;=60,"31-60",L231&lt;=90,"61-90",TRUE,"90+")</f>
        <v>0-30</v>
      </c>
      <c r="N231">
        <f t="shared" si="7"/>
        <v>3975</v>
      </c>
      <c r="O231" t="str">
        <f>VLOOKUP(K231,Agents!$A$1:$C$11,2,0)</f>
        <v>Deepak Nair</v>
      </c>
      <c r="P231">
        <f t="shared" si="6"/>
        <v>0</v>
      </c>
    </row>
    <row r="232" spans="1:16" x14ac:dyDescent="0.25">
      <c r="A232" s="2" t="s">
        <v>481</v>
      </c>
      <c r="B232" s="2" t="s">
        <v>98</v>
      </c>
      <c r="C232" s="2" t="s">
        <v>29</v>
      </c>
      <c r="D232" s="2" t="s">
        <v>41</v>
      </c>
      <c r="E232" s="4">
        <v>46067</v>
      </c>
      <c r="F232" s="4">
        <v>46083</v>
      </c>
      <c r="G232" s="5">
        <v>550</v>
      </c>
      <c r="H232" s="5">
        <v>329.61</v>
      </c>
      <c r="I232" s="2" t="s">
        <v>37</v>
      </c>
      <c r="J232" s="2" t="s">
        <v>1541</v>
      </c>
      <c r="K232" t="s">
        <v>83</v>
      </c>
      <c r="L232" s="12">
        <f>MIS_Report!$B$2-F232</f>
        <v>227</v>
      </c>
      <c r="M232" t="str" cm="1">
        <f t="array" ref="M232">_xlfn.IFS(L232&lt;=30,"0-30",L232&lt;=60,"31-60",L232&lt;=90,"61-90",TRUE,"90+")</f>
        <v>90+</v>
      </c>
      <c r="N232">
        <f t="shared" si="7"/>
        <v>0</v>
      </c>
      <c r="O232" t="str">
        <f>VLOOKUP(K232,Agents!$A$1:$C$11,2,0)</f>
        <v>Deepak Nair</v>
      </c>
      <c r="P232">
        <f t="shared" si="6"/>
        <v>0</v>
      </c>
    </row>
    <row r="233" spans="1:16" x14ac:dyDescent="0.25">
      <c r="A233" s="2" t="s">
        <v>482</v>
      </c>
      <c r="B233" s="2" t="s">
        <v>483</v>
      </c>
      <c r="C233" s="2" t="s">
        <v>36</v>
      </c>
      <c r="D233" s="2" t="s">
        <v>55</v>
      </c>
      <c r="E233" s="4">
        <v>46022</v>
      </c>
      <c r="F233" s="4">
        <v>46037</v>
      </c>
      <c r="G233" s="5">
        <v>3100</v>
      </c>
      <c r="H233" s="5">
        <v>0</v>
      </c>
      <c r="I233" s="2" t="s">
        <v>31</v>
      </c>
      <c r="J233" s="2" t="s">
        <v>47</v>
      </c>
      <c r="K233" t="s">
        <v>62</v>
      </c>
      <c r="L233" s="12">
        <f>MIS_Report!$B$2-F233</f>
        <v>273</v>
      </c>
      <c r="M233" t="str" cm="1">
        <f t="array" ref="M233">_xlfn.IFS(L233&lt;=30,"0-30",L233&lt;=60,"31-60",L233&lt;=90,"61-90",TRUE,"90+")</f>
        <v>90+</v>
      </c>
      <c r="N233">
        <f t="shared" si="7"/>
        <v>0</v>
      </c>
      <c r="O233" t="str">
        <f>VLOOKUP(K233,Agents!$A$1:$C$11,2,0)</f>
        <v>Sunita Rao</v>
      </c>
      <c r="P233">
        <f t="shared" si="6"/>
        <v>3100</v>
      </c>
    </row>
    <row r="234" spans="1:16" x14ac:dyDescent="0.25">
      <c r="A234" s="2" t="s">
        <v>484</v>
      </c>
      <c r="B234" s="2" t="s">
        <v>471</v>
      </c>
      <c r="C234" s="2" t="s">
        <v>29</v>
      </c>
      <c r="D234" s="2" t="s">
        <v>41</v>
      </c>
      <c r="E234" s="4">
        <v>46054</v>
      </c>
      <c r="F234" s="4">
        <v>46063</v>
      </c>
      <c r="G234" s="5">
        <v>6975</v>
      </c>
      <c r="H234" s="5">
        <v>5152.07</v>
      </c>
      <c r="I234" s="2" t="s">
        <v>37</v>
      </c>
      <c r="J234" s="2" t="s">
        <v>1541</v>
      </c>
      <c r="K234" t="s">
        <v>83</v>
      </c>
      <c r="L234" s="12">
        <f>MIS_Report!$B$2-F234</f>
        <v>247</v>
      </c>
      <c r="M234" t="str" cm="1">
        <f t="array" ref="M234">_xlfn.IFS(L234&lt;=30,"0-30",L234&lt;=60,"31-60",L234&lt;=90,"61-90",TRUE,"90+")</f>
        <v>90+</v>
      </c>
      <c r="N234">
        <f t="shared" si="7"/>
        <v>0</v>
      </c>
      <c r="O234" t="str">
        <f>VLOOKUP(K234,Agents!$A$1:$C$11,2,0)</f>
        <v>Deepak Nair</v>
      </c>
      <c r="P234">
        <f t="shared" si="6"/>
        <v>0</v>
      </c>
    </row>
    <row r="235" spans="1:16" x14ac:dyDescent="0.25">
      <c r="A235" s="2" t="s">
        <v>485</v>
      </c>
      <c r="B235" s="2" t="s">
        <v>166</v>
      </c>
      <c r="C235" s="2" t="s">
        <v>79</v>
      </c>
      <c r="D235" s="2" t="s">
        <v>55</v>
      </c>
      <c r="E235" s="4">
        <v>46074</v>
      </c>
      <c r="F235" s="4">
        <v>46093</v>
      </c>
      <c r="G235" s="5">
        <v>2775</v>
      </c>
      <c r="H235" s="5">
        <v>2449.48</v>
      </c>
      <c r="I235" s="2" t="s">
        <v>37</v>
      </c>
      <c r="J235" s="2" t="s">
        <v>1541</v>
      </c>
      <c r="K235" t="s">
        <v>38</v>
      </c>
      <c r="L235" s="12">
        <f>MIS_Report!$B$2-F235</f>
        <v>217</v>
      </c>
      <c r="M235" t="str" cm="1">
        <f t="array" ref="M235">_xlfn.IFS(L235&lt;=30,"0-30",L235&lt;=60,"31-60",L235&lt;=90,"61-90",TRUE,"90+")</f>
        <v>90+</v>
      </c>
      <c r="N235">
        <f t="shared" si="7"/>
        <v>0</v>
      </c>
      <c r="O235" t="str">
        <f>VLOOKUP(K235,Agents!$A$1:$C$11,2,0)</f>
        <v>Sunita Rao</v>
      </c>
      <c r="P235">
        <f t="shared" si="6"/>
        <v>0</v>
      </c>
    </row>
    <row r="236" spans="1:16" x14ac:dyDescent="0.25">
      <c r="A236" s="2" t="s">
        <v>486</v>
      </c>
      <c r="B236" s="2" t="s">
        <v>487</v>
      </c>
      <c r="C236" s="2" t="s">
        <v>29</v>
      </c>
      <c r="D236" s="2" t="s">
        <v>41</v>
      </c>
      <c r="E236" s="4">
        <v>46252</v>
      </c>
      <c r="F236" s="4">
        <v>46267</v>
      </c>
      <c r="G236" s="5">
        <v>9475</v>
      </c>
      <c r="H236" s="5"/>
      <c r="I236" s="2" t="s">
        <v>42</v>
      </c>
      <c r="J236" s="2" t="s">
        <v>1541</v>
      </c>
      <c r="K236" t="s">
        <v>62</v>
      </c>
      <c r="L236" s="12">
        <f>MIS_Report!$B$2-F236</f>
        <v>43</v>
      </c>
      <c r="M236" t="str" cm="1">
        <f t="array" ref="M236">_xlfn.IFS(L236&lt;=30,"0-30",L236&lt;=60,"31-60",L236&lt;=90,"61-90",TRUE,"90+")</f>
        <v>31-60</v>
      </c>
      <c r="N236">
        <f t="shared" si="7"/>
        <v>9475</v>
      </c>
      <c r="O236" t="str">
        <f>VLOOKUP(K236,Agents!$A$1:$C$11,2,0)</f>
        <v>Sunita Rao</v>
      </c>
      <c r="P236">
        <f t="shared" si="6"/>
        <v>0</v>
      </c>
    </row>
    <row r="237" spans="1:16" x14ac:dyDescent="0.25">
      <c r="A237" s="2" t="s">
        <v>488</v>
      </c>
      <c r="B237" s="2" t="s">
        <v>489</v>
      </c>
      <c r="C237" s="2" t="s">
        <v>46</v>
      </c>
      <c r="D237" s="2" t="s">
        <v>55</v>
      </c>
      <c r="E237" s="4">
        <v>46290</v>
      </c>
      <c r="F237" s="4">
        <v>46294</v>
      </c>
      <c r="G237" s="5">
        <v>4475</v>
      </c>
      <c r="H237" s="5"/>
      <c r="I237" s="2" t="s">
        <v>42</v>
      </c>
      <c r="J237" s="2" t="s">
        <v>1541</v>
      </c>
      <c r="K237" t="s">
        <v>43</v>
      </c>
      <c r="L237" s="12">
        <f>MIS_Report!$B$2-F237</f>
        <v>16</v>
      </c>
      <c r="M237" t="str" cm="1">
        <f t="array" ref="M237">_xlfn.IFS(L237&lt;=30,"0-30",L237&lt;=60,"31-60",L237&lt;=90,"61-90",TRUE,"90+")</f>
        <v>0-30</v>
      </c>
      <c r="N237">
        <f t="shared" si="7"/>
        <v>4475</v>
      </c>
      <c r="O237" t="str">
        <f>VLOOKUP(K237,Agents!$A$1:$C$11,2,0)</f>
        <v>Manish Arora</v>
      </c>
      <c r="P237">
        <f t="shared" si="6"/>
        <v>0</v>
      </c>
    </row>
    <row r="238" spans="1:16" x14ac:dyDescent="0.25">
      <c r="A238" s="2" t="s">
        <v>490</v>
      </c>
      <c r="B238" s="2" t="s">
        <v>491</v>
      </c>
      <c r="C238" s="2" t="s">
        <v>29</v>
      </c>
      <c r="D238" s="2" t="s">
        <v>68</v>
      </c>
      <c r="E238" s="4">
        <v>46059</v>
      </c>
      <c r="F238" s="4">
        <v>46073</v>
      </c>
      <c r="G238" s="5">
        <v>1125</v>
      </c>
      <c r="H238" s="5">
        <v>735.35</v>
      </c>
      <c r="I238" s="2" t="s">
        <v>37</v>
      </c>
      <c r="J238" s="2" t="s">
        <v>1541</v>
      </c>
      <c r="K238" t="s">
        <v>52</v>
      </c>
      <c r="L238" s="12">
        <f>MIS_Report!$B$2-F238</f>
        <v>237</v>
      </c>
      <c r="M238" t="str" cm="1">
        <f t="array" ref="M238">_xlfn.IFS(L238&lt;=30,"0-30",L238&lt;=60,"31-60",L238&lt;=90,"61-90",TRUE,"90+")</f>
        <v>90+</v>
      </c>
      <c r="N238">
        <f t="shared" si="7"/>
        <v>0</v>
      </c>
      <c r="O238" t="str">
        <f>VLOOKUP(K238,Agents!$A$1:$C$11,2,0)</f>
        <v>Sunita Rao</v>
      </c>
      <c r="P238">
        <f t="shared" si="6"/>
        <v>0</v>
      </c>
    </row>
    <row r="239" spans="1:16" x14ac:dyDescent="0.25">
      <c r="A239" s="2" t="s">
        <v>492</v>
      </c>
      <c r="B239" s="2" t="s">
        <v>493</v>
      </c>
      <c r="C239" s="2" t="s">
        <v>79</v>
      </c>
      <c r="D239" s="2" t="s">
        <v>55</v>
      </c>
      <c r="E239" s="4">
        <v>46225</v>
      </c>
      <c r="F239" s="4">
        <v>46231</v>
      </c>
      <c r="G239" s="5">
        <v>475</v>
      </c>
      <c r="H239" s="5"/>
      <c r="I239" s="2" t="s">
        <v>42</v>
      </c>
      <c r="J239" s="2" t="s">
        <v>1541</v>
      </c>
      <c r="K239" t="s">
        <v>109</v>
      </c>
      <c r="L239" s="12">
        <f>MIS_Report!$B$2-F239</f>
        <v>79</v>
      </c>
      <c r="M239" t="str" cm="1">
        <f t="array" ref="M239">_xlfn.IFS(L239&lt;=30,"0-30",L239&lt;=60,"31-60",L239&lt;=90,"61-90",TRUE,"90+")</f>
        <v>61-90</v>
      </c>
      <c r="N239">
        <f t="shared" si="7"/>
        <v>475</v>
      </c>
      <c r="O239" t="str">
        <f>VLOOKUP(K239,Agents!$A$1:$C$11,2,0)</f>
        <v>Deepak Nair</v>
      </c>
      <c r="P239">
        <f t="shared" si="6"/>
        <v>0</v>
      </c>
    </row>
    <row r="240" spans="1:16" x14ac:dyDescent="0.25">
      <c r="A240" s="2" t="s">
        <v>494</v>
      </c>
      <c r="B240" s="2" t="s">
        <v>187</v>
      </c>
      <c r="C240" s="2" t="s">
        <v>36</v>
      </c>
      <c r="D240" s="2" t="s">
        <v>30</v>
      </c>
      <c r="E240" s="4">
        <v>46199</v>
      </c>
      <c r="F240" s="4">
        <v>46211</v>
      </c>
      <c r="G240" s="5">
        <v>5650</v>
      </c>
      <c r="H240" s="5">
        <v>3908.72</v>
      </c>
      <c r="I240" s="2" t="s">
        <v>37</v>
      </c>
      <c r="J240" s="2" t="s">
        <v>1541</v>
      </c>
      <c r="K240" t="s">
        <v>52</v>
      </c>
      <c r="L240" s="12">
        <f>MIS_Report!$B$2-F240</f>
        <v>99</v>
      </c>
      <c r="M240" t="str" cm="1">
        <f t="array" ref="M240">_xlfn.IFS(L240&lt;=30,"0-30",L240&lt;=60,"31-60",L240&lt;=90,"61-90",TRUE,"90+")</f>
        <v>90+</v>
      </c>
      <c r="N240">
        <f t="shared" si="7"/>
        <v>0</v>
      </c>
      <c r="O240" t="str">
        <f>VLOOKUP(K240,Agents!$A$1:$C$11,2,0)</f>
        <v>Sunita Rao</v>
      </c>
      <c r="P240">
        <f t="shared" si="6"/>
        <v>0</v>
      </c>
    </row>
    <row r="241" spans="1:16" x14ac:dyDescent="0.25">
      <c r="A241" s="2" t="s">
        <v>495</v>
      </c>
      <c r="B241" s="2" t="s">
        <v>496</v>
      </c>
      <c r="C241" s="2" t="s">
        <v>46</v>
      </c>
      <c r="D241" s="2" t="s">
        <v>55</v>
      </c>
      <c r="E241" s="4">
        <v>46045</v>
      </c>
      <c r="F241" s="4">
        <v>46050</v>
      </c>
      <c r="G241" s="5">
        <v>5750</v>
      </c>
      <c r="H241" s="5">
        <v>5221.24</v>
      </c>
      <c r="I241" s="2" t="s">
        <v>37</v>
      </c>
      <c r="J241" s="2" t="s">
        <v>1541</v>
      </c>
      <c r="K241" t="s">
        <v>62</v>
      </c>
      <c r="L241" s="12">
        <f>MIS_Report!$B$2-F241</f>
        <v>260</v>
      </c>
      <c r="M241" t="str" cm="1">
        <f t="array" ref="M241">_xlfn.IFS(L241&lt;=30,"0-30",L241&lt;=60,"31-60",L241&lt;=90,"61-90",TRUE,"90+")</f>
        <v>90+</v>
      </c>
      <c r="N241">
        <f t="shared" si="7"/>
        <v>0</v>
      </c>
      <c r="O241" t="str">
        <f>VLOOKUP(K241,Agents!$A$1:$C$11,2,0)</f>
        <v>Sunita Rao</v>
      </c>
      <c r="P241">
        <f t="shared" si="6"/>
        <v>0</v>
      </c>
    </row>
    <row r="242" spans="1:16" x14ac:dyDescent="0.25">
      <c r="A242" s="2" t="s">
        <v>497</v>
      </c>
      <c r="B242" s="2" t="s">
        <v>498</v>
      </c>
      <c r="C242" s="2" t="s">
        <v>46</v>
      </c>
      <c r="D242" s="2" t="s">
        <v>61</v>
      </c>
      <c r="E242" s="4">
        <v>46067</v>
      </c>
      <c r="F242" s="4">
        <v>46072</v>
      </c>
      <c r="G242" s="5">
        <v>10450</v>
      </c>
      <c r="H242" s="5"/>
      <c r="I242" s="2" t="s">
        <v>42</v>
      </c>
      <c r="J242" s="2" t="s">
        <v>1541</v>
      </c>
      <c r="K242" t="s">
        <v>52</v>
      </c>
      <c r="L242" s="12">
        <f>MIS_Report!$B$2-F242</f>
        <v>238</v>
      </c>
      <c r="M242" t="str" cm="1">
        <f t="array" ref="M242">_xlfn.IFS(L242&lt;=30,"0-30",L242&lt;=60,"31-60",L242&lt;=90,"61-90",TRUE,"90+")</f>
        <v>90+</v>
      </c>
      <c r="N242">
        <f t="shared" si="7"/>
        <v>10450</v>
      </c>
      <c r="O242" t="str">
        <f>VLOOKUP(K242,Agents!$A$1:$C$11,2,0)</f>
        <v>Sunita Rao</v>
      </c>
      <c r="P242">
        <f t="shared" si="6"/>
        <v>0</v>
      </c>
    </row>
    <row r="243" spans="1:16" x14ac:dyDescent="0.25">
      <c r="A243" s="2" t="s">
        <v>499</v>
      </c>
      <c r="B243" s="2" t="s">
        <v>421</v>
      </c>
      <c r="C243" s="2" t="s">
        <v>29</v>
      </c>
      <c r="D243" s="2" t="s">
        <v>30</v>
      </c>
      <c r="E243" s="4">
        <v>46092</v>
      </c>
      <c r="F243" s="4">
        <v>46099</v>
      </c>
      <c r="G243" s="5">
        <v>7600</v>
      </c>
      <c r="H243" s="5">
        <v>6791.45</v>
      </c>
      <c r="I243" s="2" t="s">
        <v>37</v>
      </c>
      <c r="J243" s="2" t="s">
        <v>1541</v>
      </c>
      <c r="K243" t="s">
        <v>83</v>
      </c>
      <c r="L243" s="12">
        <f>MIS_Report!$B$2-F243</f>
        <v>211</v>
      </c>
      <c r="M243" t="str" cm="1">
        <f t="array" ref="M243">_xlfn.IFS(L243&lt;=30,"0-30",L243&lt;=60,"31-60",L243&lt;=90,"61-90",TRUE,"90+")</f>
        <v>90+</v>
      </c>
      <c r="N243">
        <f t="shared" si="7"/>
        <v>0</v>
      </c>
      <c r="O243" t="str">
        <f>VLOOKUP(K243,Agents!$A$1:$C$11,2,0)</f>
        <v>Deepak Nair</v>
      </c>
      <c r="P243">
        <f t="shared" si="6"/>
        <v>0</v>
      </c>
    </row>
    <row r="244" spans="1:16" x14ac:dyDescent="0.25">
      <c r="A244" s="2" t="s">
        <v>500</v>
      </c>
      <c r="B244" s="2" t="s">
        <v>501</v>
      </c>
      <c r="C244" s="2" t="s">
        <v>36</v>
      </c>
      <c r="D244" s="2" t="s">
        <v>80</v>
      </c>
      <c r="E244" s="4">
        <v>46080</v>
      </c>
      <c r="F244" s="4">
        <v>46093</v>
      </c>
      <c r="G244" s="5">
        <v>850</v>
      </c>
      <c r="H244" s="5">
        <v>548.4</v>
      </c>
      <c r="I244" s="2" t="s">
        <v>37</v>
      </c>
      <c r="J244" s="2" t="s">
        <v>1541</v>
      </c>
      <c r="K244" t="s">
        <v>65</v>
      </c>
      <c r="L244" s="12">
        <f>MIS_Report!$B$2-F244</f>
        <v>217</v>
      </c>
      <c r="M244" t="str" cm="1">
        <f t="array" ref="M244">_xlfn.IFS(L244&lt;=30,"0-30",L244&lt;=60,"31-60",L244&lt;=90,"61-90",TRUE,"90+")</f>
        <v>90+</v>
      </c>
      <c r="N244">
        <f t="shared" si="7"/>
        <v>0</v>
      </c>
      <c r="O244" t="str">
        <f>VLOOKUP(K244,Agents!$A$1:$C$11,2,0)</f>
        <v>Deepak Nair</v>
      </c>
      <c r="P244">
        <f t="shared" si="6"/>
        <v>0</v>
      </c>
    </row>
    <row r="245" spans="1:16" x14ac:dyDescent="0.25">
      <c r="A245" s="2" t="s">
        <v>502</v>
      </c>
      <c r="B245" s="2" t="s">
        <v>93</v>
      </c>
      <c r="C245" s="2" t="s">
        <v>29</v>
      </c>
      <c r="D245" s="2" t="s">
        <v>80</v>
      </c>
      <c r="E245" s="4">
        <v>46224</v>
      </c>
      <c r="F245" s="4">
        <v>46237</v>
      </c>
      <c r="G245" s="5">
        <v>2200</v>
      </c>
      <c r="H245" s="5">
        <v>1888.49</v>
      </c>
      <c r="I245" s="2" t="s">
        <v>37</v>
      </c>
      <c r="J245" s="2" t="s">
        <v>1541</v>
      </c>
      <c r="K245" t="s">
        <v>38</v>
      </c>
      <c r="L245" s="12">
        <f>MIS_Report!$B$2-F245</f>
        <v>73</v>
      </c>
      <c r="M245" t="str" cm="1">
        <f t="array" ref="M245">_xlfn.IFS(L245&lt;=30,"0-30",L245&lt;=60,"31-60",L245&lt;=90,"61-90",TRUE,"90+")</f>
        <v>61-90</v>
      </c>
      <c r="N245">
        <f t="shared" si="7"/>
        <v>0</v>
      </c>
      <c r="O245" t="str">
        <f>VLOOKUP(K245,Agents!$A$1:$C$11,2,0)</f>
        <v>Sunita Rao</v>
      </c>
      <c r="P245">
        <f t="shared" si="6"/>
        <v>0</v>
      </c>
    </row>
    <row r="246" spans="1:16" x14ac:dyDescent="0.25">
      <c r="A246" s="2" t="s">
        <v>503</v>
      </c>
      <c r="B246" s="2" t="s">
        <v>504</v>
      </c>
      <c r="C246" s="2" t="s">
        <v>36</v>
      </c>
      <c r="D246" s="2" t="s">
        <v>80</v>
      </c>
      <c r="E246" s="4">
        <v>46066</v>
      </c>
      <c r="F246" s="4">
        <v>46083</v>
      </c>
      <c r="G246" s="5">
        <v>8475</v>
      </c>
      <c r="H246" s="5"/>
      <c r="I246" s="2" t="s">
        <v>42</v>
      </c>
      <c r="J246" s="2" t="s">
        <v>1541</v>
      </c>
      <c r="K246" t="s">
        <v>52</v>
      </c>
      <c r="L246" s="12">
        <f>MIS_Report!$B$2-F246</f>
        <v>227</v>
      </c>
      <c r="M246" t="str" cm="1">
        <f t="array" ref="M246">_xlfn.IFS(L246&lt;=30,"0-30",L246&lt;=60,"31-60",L246&lt;=90,"61-90",TRUE,"90+")</f>
        <v>90+</v>
      </c>
      <c r="N246">
        <f t="shared" si="7"/>
        <v>8475</v>
      </c>
      <c r="O246" t="str">
        <f>VLOOKUP(K246,Agents!$A$1:$C$11,2,0)</f>
        <v>Sunita Rao</v>
      </c>
      <c r="P246">
        <f t="shared" si="6"/>
        <v>0</v>
      </c>
    </row>
    <row r="247" spans="1:16" x14ac:dyDescent="0.25">
      <c r="A247" s="2" t="s">
        <v>505</v>
      </c>
      <c r="B247" s="2" t="s">
        <v>506</v>
      </c>
      <c r="C247" s="2" t="s">
        <v>79</v>
      </c>
      <c r="D247" s="2" t="s">
        <v>41</v>
      </c>
      <c r="E247" s="4">
        <v>46074</v>
      </c>
      <c r="F247" s="4">
        <v>46080</v>
      </c>
      <c r="G247" s="5">
        <v>10450</v>
      </c>
      <c r="H247" s="5">
        <v>0</v>
      </c>
      <c r="I247" s="2" t="s">
        <v>31</v>
      </c>
      <c r="J247" s="2" t="s">
        <v>47</v>
      </c>
      <c r="K247" t="s">
        <v>52</v>
      </c>
      <c r="L247" s="12">
        <f>MIS_Report!$B$2-F247</f>
        <v>230</v>
      </c>
      <c r="M247" t="str" cm="1">
        <f t="array" ref="M247">_xlfn.IFS(L247&lt;=30,"0-30",L247&lt;=60,"31-60",L247&lt;=90,"61-90",TRUE,"90+")</f>
        <v>90+</v>
      </c>
      <c r="N247">
        <f t="shared" si="7"/>
        <v>0</v>
      </c>
      <c r="O247" t="str">
        <f>VLOOKUP(K247,Agents!$A$1:$C$11,2,0)</f>
        <v>Sunita Rao</v>
      </c>
      <c r="P247">
        <f t="shared" si="6"/>
        <v>10450</v>
      </c>
    </row>
    <row r="248" spans="1:16" x14ac:dyDescent="0.25">
      <c r="A248" s="2" t="s">
        <v>507</v>
      </c>
      <c r="B248" s="2" t="s">
        <v>290</v>
      </c>
      <c r="C248" s="2" t="s">
        <v>29</v>
      </c>
      <c r="D248" s="2" t="s">
        <v>94</v>
      </c>
      <c r="E248" s="4">
        <v>46290</v>
      </c>
      <c r="F248" s="4">
        <v>46297</v>
      </c>
      <c r="G248" s="5">
        <v>3450</v>
      </c>
      <c r="H248" s="5">
        <v>2530.3000000000002</v>
      </c>
      <c r="I248" s="2" t="s">
        <v>37</v>
      </c>
      <c r="J248" s="2" t="s">
        <v>1541</v>
      </c>
      <c r="K248" t="s">
        <v>43</v>
      </c>
      <c r="L248" s="12">
        <f>MIS_Report!$B$2-F248</f>
        <v>13</v>
      </c>
      <c r="M248" t="str" cm="1">
        <f t="array" ref="M248">_xlfn.IFS(L248&lt;=30,"0-30",L248&lt;=60,"31-60",L248&lt;=90,"61-90",TRUE,"90+")</f>
        <v>0-30</v>
      </c>
      <c r="N248">
        <f t="shared" si="7"/>
        <v>0</v>
      </c>
      <c r="O248" t="str">
        <f>VLOOKUP(K248,Agents!$A$1:$C$11,2,0)</f>
        <v>Manish Arora</v>
      </c>
      <c r="P248">
        <f t="shared" si="6"/>
        <v>0</v>
      </c>
    </row>
    <row r="249" spans="1:16" x14ac:dyDescent="0.25">
      <c r="A249" s="2" t="s">
        <v>508</v>
      </c>
      <c r="B249" s="2" t="s">
        <v>509</v>
      </c>
      <c r="C249" s="2" t="s">
        <v>29</v>
      </c>
      <c r="D249" s="2" t="s">
        <v>41</v>
      </c>
      <c r="E249" s="4">
        <v>46258</v>
      </c>
      <c r="F249" s="4">
        <v>46276</v>
      </c>
      <c r="G249" s="5">
        <v>11475</v>
      </c>
      <c r="H249" s="5"/>
      <c r="I249" s="2" t="s">
        <v>42</v>
      </c>
      <c r="J249" s="2" t="s">
        <v>1541</v>
      </c>
      <c r="K249" t="s">
        <v>33</v>
      </c>
      <c r="L249" s="12">
        <f>MIS_Report!$B$2-F249</f>
        <v>34</v>
      </c>
      <c r="M249" t="str" cm="1">
        <f t="array" ref="M249">_xlfn.IFS(L249&lt;=30,"0-30",L249&lt;=60,"31-60",L249&lt;=90,"61-90",TRUE,"90+")</f>
        <v>31-60</v>
      </c>
      <c r="N249">
        <f t="shared" si="7"/>
        <v>11475</v>
      </c>
      <c r="O249" t="str">
        <f>VLOOKUP(K249,Agents!$A$1:$C$11,2,0)</f>
        <v>Manish Arora</v>
      </c>
      <c r="P249">
        <f t="shared" si="6"/>
        <v>0</v>
      </c>
    </row>
    <row r="250" spans="1:16" x14ac:dyDescent="0.25">
      <c r="A250" s="2" t="s">
        <v>510</v>
      </c>
      <c r="B250" s="2" t="s">
        <v>230</v>
      </c>
      <c r="C250" s="2" t="s">
        <v>29</v>
      </c>
      <c r="D250" s="2" t="s">
        <v>55</v>
      </c>
      <c r="E250" s="4">
        <v>46179</v>
      </c>
      <c r="F250" s="4">
        <v>46188</v>
      </c>
      <c r="G250" s="5">
        <v>675</v>
      </c>
      <c r="H250" s="5">
        <v>477.49</v>
      </c>
      <c r="I250" s="2" t="s">
        <v>37</v>
      </c>
      <c r="J250" s="2" t="s">
        <v>1541</v>
      </c>
      <c r="K250" t="s">
        <v>109</v>
      </c>
      <c r="L250" s="12">
        <f>MIS_Report!$B$2-F250</f>
        <v>122</v>
      </c>
      <c r="M250" t="str" cm="1">
        <f t="array" ref="M250">_xlfn.IFS(L250&lt;=30,"0-30",L250&lt;=60,"31-60",L250&lt;=90,"61-90",TRUE,"90+")</f>
        <v>90+</v>
      </c>
      <c r="N250">
        <f t="shared" si="7"/>
        <v>0</v>
      </c>
      <c r="O250" t="str">
        <f>VLOOKUP(K250,Agents!$A$1:$C$11,2,0)</f>
        <v>Deepak Nair</v>
      </c>
      <c r="P250">
        <f t="shared" si="6"/>
        <v>0</v>
      </c>
    </row>
    <row r="251" spans="1:16" x14ac:dyDescent="0.25">
      <c r="A251" s="2" t="s">
        <v>511</v>
      </c>
      <c r="B251" s="2" t="s">
        <v>316</v>
      </c>
      <c r="C251" s="2" t="s">
        <v>29</v>
      </c>
      <c r="D251" s="2" t="s">
        <v>61</v>
      </c>
      <c r="E251" s="4">
        <v>46245</v>
      </c>
      <c r="F251" s="4">
        <v>46259</v>
      </c>
      <c r="G251" s="5">
        <v>4075</v>
      </c>
      <c r="H251" s="5">
        <v>0</v>
      </c>
      <c r="I251" s="2" t="s">
        <v>31</v>
      </c>
      <c r="J251" s="2" t="s">
        <v>312</v>
      </c>
      <c r="K251" t="s">
        <v>62</v>
      </c>
      <c r="L251" s="12">
        <f>MIS_Report!$B$2-F251</f>
        <v>51</v>
      </c>
      <c r="M251" t="str" cm="1">
        <f t="array" ref="M251">_xlfn.IFS(L251&lt;=30,"0-30",L251&lt;=60,"31-60",L251&lt;=90,"61-90",TRUE,"90+")</f>
        <v>31-60</v>
      </c>
      <c r="N251">
        <f t="shared" si="7"/>
        <v>0</v>
      </c>
      <c r="O251" t="str">
        <f>VLOOKUP(K251,Agents!$A$1:$C$11,2,0)</f>
        <v>Sunita Rao</v>
      </c>
      <c r="P251">
        <f t="shared" si="6"/>
        <v>4075</v>
      </c>
    </row>
    <row r="252" spans="1:16" x14ac:dyDescent="0.25">
      <c r="A252" s="2" t="s">
        <v>512</v>
      </c>
      <c r="B252" s="2" t="s">
        <v>513</v>
      </c>
      <c r="C252" s="2" t="s">
        <v>79</v>
      </c>
      <c r="D252" s="2" t="s">
        <v>68</v>
      </c>
      <c r="E252" s="4">
        <v>46186</v>
      </c>
      <c r="F252" s="4">
        <v>46202</v>
      </c>
      <c r="G252" s="5">
        <v>1450</v>
      </c>
      <c r="H252" s="5">
        <v>1335.71</v>
      </c>
      <c r="I252" s="2" t="s">
        <v>37</v>
      </c>
      <c r="J252" s="2" t="s">
        <v>1541</v>
      </c>
      <c r="K252" t="s">
        <v>38</v>
      </c>
      <c r="L252" s="12">
        <f>MIS_Report!$B$2-F252</f>
        <v>108</v>
      </c>
      <c r="M252" t="str" cm="1">
        <f t="array" ref="M252">_xlfn.IFS(L252&lt;=30,"0-30",L252&lt;=60,"31-60",L252&lt;=90,"61-90",TRUE,"90+")</f>
        <v>90+</v>
      </c>
      <c r="N252">
        <f t="shared" si="7"/>
        <v>0</v>
      </c>
      <c r="O252" t="str">
        <f>VLOOKUP(K252,Agents!$A$1:$C$11,2,0)</f>
        <v>Sunita Rao</v>
      </c>
      <c r="P252">
        <f t="shared" si="6"/>
        <v>0</v>
      </c>
    </row>
    <row r="253" spans="1:16" x14ac:dyDescent="0.25">
      <c r="A253" s="2" t="s">
        <v>514</v>
      </c>
      <c r="B253" s="2" t="s">
        <v>129</v>
      </c>
      <c r="C253" s="2" t="s">
        <v>29</v>
      </c>
      <c r="D253" s="2" t="s">
        <v>55</v>
      </c>
      <c r="E253" s="4">
        <v>46036</v>
      </c>
      <c r="F253" s="4">
        <v>46056</v>
      </c>
      <c r="G253" s="5">
        <v>4900</v>
      </c>
      <c r="H253" s="5"/>
      <c r="I253" s="2" t="s">
        <v>42</v>
      </c>
      <c r="J253" s="2" t="s">
        <v>1541</v>
      </c>
      <c r="K253" t="s">
        <v>48</v>
      </c>
      <c r="L253" s="12">
        <f>MIS_Report!$B$2-F253</f>
        <v>254</v>
      </c>
      <c r="M253" t="str" cm="1">
        <f t="array" ref="M253">_xlfn.IFS(L253&lt;=30,"0-30",L253&lt;=60,"31-60",L253&lt;=90,"61-90",TRUE,"90+")</f>
        <v>90+</v>
      </c>
      <c r="N253">
        <f t="shared" si="7"/>
        <v>4900</v>
      </c>
      <c r="O253" t="str">
        <f>VLOOKUP(K253,Agents!$A$1:$C$11,2,0)</f>
        <v>Manish Arora</v>
      </c>
      <c r="P253">
        <f t="shared" si="6"/>
        <v>0</v>
      </c>
    </row>
    <row r="254" spans="1:16" x14ac:dyDescent="0.25">
      <c r="A254" s="2" t="s">
        <v>515</v>
      </c>
      <c r="B254" s="2" t="s">
        <v>316</v>
      </c>
      <c r="C254" s="2" t="s">
        <v>46</v>
      </c>
      <c r="D254" s="2" t="s">
        <v>30</v>
      </c>
      <c r="E254" s="4">
        <v>46133</v>
      </c>
      <c r="F254" s="4">
        <v>46141</v>
      </c>
      <c r="G254" s="5">
        <v>2900</v>
      </c>
      <c r="H254" s="5">
        <v>1791.1</v>
      </c>
      <c r="I254" s="2" t="s">
        <v>37</v>
      </c>
      <c r="J254" s="2" t="s">
        <v>1541</v>
      </c>
      <c r="K254" t="s">
        <v>83</v>
      </c>
      <c r="L254" s="12">
        <f>MIS_Report!$B$2-F254</f>
        <v>169</v>
      </c>
      <c r="M254" t="str" cm="1">
        <f t="array" ref="M254">_xlfn.IFS(L254&lt;=30,"0-30",L254&lt;=60,"31-60",L254&lt;=90,"61-90",TRUE,"90+")</f>
        <v>90+</v>
      </c>
      <c r="N254">
        <f t="shared" si="7"/>
        <v>0</v>
      </c>
      <c r="O254" t="str">
        <f>VLOOKUP(K254,Agents!$A$1:$C$11,2,0)</f>
        <v>Deepak Nair</v>
      </c>
      <c r="P254">
        <f t="shared" si="6"/>
        <v>0</v>
      </c>
    </row>
    <row r="255" spans="1:16" x14ac:dyDescent="0.25">
      <c r="A255" s="2" t="s">
        <v>516</v>
      </c>
      <c r="B255" s="2" t="s">
        <v>239</v>
      </c>
      <c r="C255" s="2" t="s">
        <v>46</v>
      </c>
      <c r="D255" s="2" t="s">
        <v>41</v>
      </c>
      <c r="E255" s="4">
        <v>46260</v>
      </c>
      <c r="F255" s="4">
        <v>46273</v>
      </c>
      <c r="G255" s="5">
        <v>12825</v>
      </c>
      <c r="H255" s="5">
        <v>0</v>
      </c>
      <c r="I255" s="2" t="s">
        <v>31</v>
      </c>
      <c r="J255" s="2" t="s">
        <v>271</v>
      </c>
      <c r="K255" t="s">
        <v>33</v>
      </c>
      <c r="L255" s="12">
        <f>MIS_Report!$B$2-F255</f>
        <v>37</v>
      </c>
      <c r="M255" t="str" cm="1">
        <f t="array" ref="M255">_xlfn.IFS(L255&lt;=30,"0-30",L255&lt;=60,"31-60",L255&lt;=90,"61-90",TRUE,"90+")</f>
        <v>31-60</v>
      </c>
      <c r="N255">
        <f t="shared" si="7"/>
        <v>0</v>
      </c>
      <c r="O255" t="str">
        <f>VLOOKUP(K255,Agents!$A$1:$C$11,2,0)</f>
        <v>Manish Arora</v>
      </c>
      <c r="P255">
        <f t="shared" si="6"/>
        <v>12825</v>
      </c>
    </row>
    <row r="256" spans="1:16" x14ac:dyDescent="0.25">
      <c r="A256" s="2" t="s">
        <v>517</v>
      </c>
      <c r="B256" s="2" t="s">
        <v>328</v>
      </c>
      <c r="C256" s="2" t="s">
        <v>79</v>
      </c>
      <c r="D256" s="2" t="s">
        <v>94</v>
      </c>
      <c r="E256" s="4">
        <v>46125</v>
      </c>
      <c r="F256" s="4">
        <v>46134</v>
      </c>
      <c r="G256" s="5">
        <v>13975</v>
      </c>
      <c r="H256" s="5">
        <v>8711.9699999999993</v>
      </c>
      <c r="I256" s="2" t="s">
        <v>37</v>
      </c>
      <c r="J256" s="2" t="s">
        <v>1541</v>
      </c>
      <c r="K256" t="s">
        <v>52</v>
      </c>
      <c r="L256" s="12">
        <f>MIS_Report!$B$2-F256</f>
        <v>176</v>
      </c>
      <c r="M256" t="str" cm="1">
        <f t="array" ref="M256">_xlfn.IFS(L256&lt;=30,"0-30",L256&lt;=60,"31-60",L256&lt;=90,"61-90",TRUE,"90+")</f>
        <v>90+</v>
      </c>
      <c r="N256">
        <f t="shared" si="7"/>
        <v>0</v>
      </c>
      <c r="O256" t="str">
        <f>VLOOKUP(K256,Agents!$A$1:$C$11,2,0)</f>
        <v>Sunita Rao</v>
      </c>
      <c r="P256">
        <f t="shared" si="6"/>
        <v>0</v>
      </c>
    </row>
    <row r="257" spans="1:16" x14ac:dyDescent="0.25">
      <c r="A257" s="2" t="s">
        <v>518</v>
      </c>
      <c r="B257" s="2" t="s">
        <v>519</v>
      </c>
      <c r="C257" s="2" t="s">
        <v>46</v>
      </c>
      <c r="D257" s="2" t="s">
        <v>30</v>
      </c>
      <c r="E257" s="4">
        <v>46175</v>
      </c>
      <c r="F257" s="4">
        <v>46189</v>
      </c>
      <c r="G257" s="5">
        <v>3075</v>
      </c>
      <c r="H257" s="5"/>
      <c r="I257" s="2" t="s">
        <v>42</v>
      </c>
      <c r="J257" s="2" t="s">
        <v>1541</v>
      </c>
      <c r="K257" t="s">
        <v>62</v>
      </c>
      <c r="L257" s="12">
        <f>MIS_Report!$B$2-F257</f>
        <v>121</v>
      </c>
      <c r="M257" t="str" cm="1">
        <f t="array" ref="M257">_xlfn.IFS(L257&lt;=30,"0-30",L257&lt;=60,"31-60",L257&lt;=90,"61-90",TRUE,"90+")</f>
        <v>90+</v>
      </c>
      <c r="N257">
        <f t="shared" si="7"/>
        <v>3075</v>
      </c>
      <c r="O257" t="str">
        <f>VLOOKUP(K257,Agents!$A$1:$C$11,2,0)</f>
        <v>Sunita Rao</v>
      </c>
      <c r="P257">
        <f t="shared" si="6"/>
        <v>0</v>
      </c>
    </row>
    <row r="258" spans="1:16" x14ac:dyDescent="0.25">
      <c r="A258" s="2" t="s">
        <v>520</v>
      </c>
      <c r="B258" s="2" t="s">
        <v>521</v>
      </c>
      <c r="C258" s="2" t="s">
        <v>46</v>
      </c>
      <c r="D258" s="2" t="s">
        <v>61</v>
      </c>
      <c r="E258" s="4">
        <v>46069</v>
      </c>
      <c r="F258" s="4">
        <v>46079</v>
      </c>
      <c r="G258" s="5">
        <v>9450</v>
      </c>
      <c r="H258" s="5">
        <v>6275.79</v>
      </c>
      <c r="I258" s="2" t="s">
        <v>37</v>
      </c>
      <c r="J258" s="2" t="s">
        <v>1541</v>
      </c>
      <c r="K258" t="s">
        <v>33</v>
      </c>
      <c r="L258" s="12">
        <f>MIS_Report!$B$2-F258</f>
        <v>231</v>
      </c>
      <c r="M258" t="str" cm="1">
        <f t="array" ref="M258">_xlfn.IFS(L258&lt;=30,"0-30",L258&lt;=60,"31-60",L258&lt;=90,"61-90",TRUE,"90+")</f>
        <v>90+</v>
      </c>
      <c r="N258">
        <f t="shared" si="7"/>
        <v>0</v>
      </c>
      <c r="O258" t="str">
        <f>VLOOKUP(K258,Agents!$A$1:$C$11,2,0)</f>
        <v>Manish Arora</v>
      </c>
      <c r="P258">
        <f t="shared" si="6"/>
        <v>0</v>
      </c>
    </row>
    <row r="259" spans="1:16" x14ac:dyDescent="0.25">
      <c r="A259" s="2" t="s">
        <v>522</v>
      </c>
      <c r="B259" s="2" t="s">
        <v>523</v>
      </c>
      <c r="C259" s="2" t="s">
        <v>79</v>
      </c>
      <c r="D259" s="2" t="s">
        <v>80</v>
      </c>
      <c r="E259" s="4">
        <v>46139</v>
      </c>
      <c r="F259" s="4">
        <v>46157</v>
      </c>
      <c r="G259" s="5">
        <v>2225</v>
      </c>
      <c r="H259" s="5">
        <v>1501.68</v>
      </c>
      <c r="I259" s="2" t="s">
        <v>37</v>
      </c>
      <c r="J259" s="2" t="s">
        <v>1541</v>
      </c>
      <c r="K259" t="s">
        <v>33</v>
      </c>
      <c r="L259" s="12">
        <f>MIS_Report!$B$2-F259</f>
        <v>153</v>
      </c>
      <c r="M259" t="str" cm="1">
        <f t="array" ref="M259">_xlfn.IFS(L259&lt;=30,"0-30",L259&lt;=60,"31-60",L259&lt;=90,"61-90",TRUE,"90+")</f>
        <v>90+</v>
      </c>
      <c r="N259">
        <f t="shared" si="7"/>
        <v>0</v>
      </c>
      <c r="O259" t="str">
        <f>VLOOKUP(K259,Agents!$A$1:$C$11,2,0)</f>
        <v>Manish Arora</v>
      </c>
      <c r="P259">
        <f t="shared" ref="P259:P322" si="8">IF(I259="Denied",G259,0)</f>
        <v>0</v>
      </c>
    </row>
    <row r="260" spans="1:16" x14ac:dyDescent="0.25">
      <c r="A260" s="2" t="s">
        <v>524</v>
      </c>
      <c r="B260" s="2" t="s">
        <v>525</v>
      </c>
      <c r="C260" s="2" t="s">
        <v>46</v>
      </c>
      <c r="D260" s="2" t="s">
        <v>61</v>
      </c>
      <c r="E260" s="4">
        <v>46085</v>
      </c>
      <c r="F260" s="4">
        <v>46090</v>
      </c>
      <c r="G260" s="5">
        <v>14200</v>
      </c>
      <c r="H260" s="5"/>
      <c r="I260" s="2" t="s">
        <v>42</v>
      </c>
      <c r="J260" s="2" t="s">
        <v>1541</v>
      </c>
      <c r="K260" t="s">
        <v>38</v>
      </c>
      <c r="L260" s="12">
        <f>MIS_Report!$B$2-F260</f>
        <v>220</v>
      </c>
      <c r="M260" t="str" cm="1">
        <f t="array" ref="M260">_xlfn.IFS(L260&lt;=30,"0-30",L260&lt;=60,"31-60",L260&lt;=90,"61-90",TRUE,"90+")</f>
        <v>90+</v>
      </c>
      <c r="N260">
        <f t="shared" si="7"/>
        <v>14200</v>
      </c>
      <c r="O260" t="str">
        <f>VLOOKUP(K260,Agents!$A$1:$C$11,2,0)</f>
        <v>Sunita Rao</v>
      </c>
      <c r="P260">
        <f t="shared" si="8"/>
        <v>0</v>
      </c>
    </row>
    <row r="261" spans="1:16" x14ac:dyDescent="0.25">
      <c r="A261" s="2" t="s">
        <v>526</v>
      </c>
      <c r="B261" s="2" t="s">
        <v>345</v>
      </c>
      <c r="C261" s="2" t="s">
        <v>46</v>
      </c>
      <c r="D261" s="2" t="s">
        <v>30</v>
      </c>
      <c r="E261" s="4">
        <v>46188</v>
      </c>
      <c r="F261" s="4">
        <v>46208</v>
      </c>
      <c r="G261" s="5">
        <v>6275</v>
      </c>
      <c r="H261" s="5">
        <v>4427.25</v>
      </c>
      <c r="I261" s="2" t="s">
        <v>37</v>
      </c>
      <c r="J261" s="2" t="s">
        <v>1541</v>
      </c>
      <c r="K261" t="s">
        <v>52</v>
      </c>
      <c r="L261" s="12">
        <f>MIS_Report!$B$2-F261</f>
        <v>102</v>
      </c>
      <c r="M261" t="str" cm="1">
        <f t="array" ref="M261">_xlfn.IFS(L261&lt;=30,"0-30",L261&lt;=60,"31-60",L261&lt;=90,"61-90",TRUE,"90+")</f>
        <v>90+</v>
      </c>
      <c r="N261">
        <f t="shared" ref="N261:N324" si="9">IF(I261="Pending",G261-H261,0)</f>
        <v>0</v>
      </c>
      <c r="O261" t="str">
        <f>VLOOKUP(K261,Agents!$A$1:$C$11,2,0)</f>
        <v>Sunita Rao</v>
      </c>
      <c r="P261">
        <f t="shared" si="8"/>
        <v>0</v>
      </c>
    </row>
    <row r="262" spans="1:16" x14ac:dyDescent="0.25">
      <c r="A262" s="2" t="s">
        <v>527</v>
      </c>
      <c r="B262" s="2" t="s">
        <v>170</v>
      </c>
      <c r="C262" s="2" t="s">
        <v>46</v>
      </c>
      <c r="D262" s="2" t="s">
        <v>94</v>
      </c>
      <c r="E262" s="4">
        <v>46136</v>
      </c>
      <c r="F262" s="4">
        <v>46141</v>
      </c>
      <c r="G262" s="5">
        <v>14375</v>
      </c>
      <c r="H262" s="5">
        <v>0</v>
      </c>
      <c r="I262" s="2" t="s">
        <v>31</v>
      </c>
      <c r="J262" s="2" t="s">
        <v>271</v>
      </c>
      <c r="K262" t="s">
        <v>48</v>
      </c>
      <c r="L262" s="12">
        <f>MIS_Report!$B$2-F262</f>
        <v>169</v>
      </c>
      <c r="M262" t="str" cm="1">
        <f t="array" ref="M262">_xlfn.IFS(L262&lt;=30,"0-30",L262&lt;=60,"31-60",L262&lt;=90,"61-90",TRUE,"90+")</f>
        <v>90+</v>
      </c>
      <c r="N262">
        <f t="shared" si="9"/>
        <v>0</v>
      </c>
      <c r="O262" t="str">
        <f>VLOOKUP(K262,Agents!$A$1:$C$11,2,0)</f>
        <v>Manish Arora</v>
      </c>
      <c r="P262">
        <f t="shared" si="8"/>
        <v>14375</v>
      </c>
    </row>
    <row r="263" spans="1:16" x14ac:dyDescent="0.25">
      <c r="A263" s="2" t="s">
        <v>528</v>
      </c>
      <c r="B263" s="2" t="s">
        <v>264</v>
      </c>
      <c r="C263" s="2" t="s">
        <v>36</v>
      </c>
      <c r="D263" s="2" t="s">
        <v>41</v>
      </c>
      <c r="E263" s="4">
        <v>46075</v>
      </c>
      <c r="F263" s="4">
        <v>46084</v>
      </c>
      <c r="G263" s="5">
        <v>9700</v>
      </c>
      <c r="H263" s="5">
        <v>0</v>
      </c>
      <c r="I263" s="2" t="s">
        <v>31</v>
      </c>
      <c r="J263" s="2" t="s">
        <v>347</v>
      </c>
      <c r="K263" t="s">
        <v>38</v>
      </c>
      <c r="L263" s="12">
        <f>MIS_Report!$B$2-F263</f>
        <v>226</v>
      </c>
      <c r="M263" t="str" cm="1">
        <f t="array" ref="M263">_xlfn.IFS(L263&lt;=30,"0-30",L263&lt;=60,"31-60",L263&lt;=90,"61-90",TRUE,"90+")</f>
        <v>90+</v>
      </c>
      <c r="N263">
        <f t="shared" si="9"/>
        <v>0</v>
      </c>
      <c r="O263" t="str">
        <f>VLOOKUP(K263,Agents!$A$1:$C$11,2,0)</f>
        <v>Sunita Rao</v>
      </c>
      <c r="P263">
        <f t="shared" si="8"/>
        <v>9700</v>
      </c>
    </row>
    <row r="264" spans="1:16" x14ac:dyDescent="0.25">
      <c r="A264" s="2" t="s">
        <v>529</v>
      </c>
      <c r="B264" s="2" t="s">
        <v>530</v>
      </c>
      <c r="C264" s="2" t="s">
        <v>46</v>
      </c>
      <c r="D264" s="2" t="s">
        <v>30</v>
      </c>
      <c r="E264" s="4">
        <v>46077</v>
      </c>
      <c r="F264" s="4">
        <v>46096</v>
      </c>
      <c r="G264" s="5">
        <v>14175</v>
      </c>
      <c r="H264" s="5">
        <v>8973.58</v>
      </c>
      <c r="I264" s="2" t="s">
        <v>37</v>
      </c>
      <c r="J264" s="2" t="s">
        <v>1541</v>
      </c>
      <c r="K264" t="s">
        <v>43</v>
      </c>
      <c r="L264" s="12">
        <f>MIS_Report!$B$2-F264</f>
        <v>214</v>
      </c>
      <c r="M264" t="str" cm="1">
        <f t="array" ref="M264">_xlfn.IFS(L264&lt;=30,"0-30",L264&lt;=60,"31-60",L264&lt;=90,"61-90",TRUE,"90+")</f>
        <v>90+</v>
      </c>
      <c r="N264">
        <f t="shared" si="9"/>
        <v>0</v>
      </c>
      <c r="O264" t="str">
        <f>VLOOKUP(K264,Agents!$A$1:$C$11,2,0)</f>
        <v>Manish Arora</v>
      </c>
      <c r="P264">
        <f t="shared" si="8"/>
        <v>0</v>
      </c>
    </row>
    <row r="265" spans="1:16" x14ac:dyDescent="0.25">
      <c r="A265" s="2" t="s">
        <v>531</v>
      </c>
      <c r="B265" s="2" t="s">
        <v>478</v>
      </c>
      <c r="C265" s="2" t="s">
        <v>36</v>
      </c>
      <c r="D265" s="2" t="s">
        <v>41</v>
      </c>
      <c r="E265" s="4">
        <v>46059</v>
      </c>
      <c r="F265" s="4">
        <v>46075</v>
      </c>
      <c r="G265" s="5">
        <v>3850</v>
      </c>
      <c r="H265" s="5">
        <v>2961.14</v>
      </c>
      <c r="I265" s="2" t="s">
        <v>37</v>
      </c>
      <c r="J265" s="2" t="s">
        <v>1541</v>
      </c>
      <c r="K265" t="s">
        <v>62</v>
      </c>
      <c r="L265" s="12">
        <f>MIS_Report!$B$2-F265</f>
        <v>235</v>
      </c>
      <c r="M265" t="str" cm="1">
        <f t="array" ref="M265">_xlfn.IFS(L265&lt;=30,"0-30",L265&lt;=60,"31-60",L265&lt;=90,"61-90",TRUE,"90+")</f>
        <v>90+</v>
      </c>
      <c r="N265">
        <f t="shared" si="9"/>
        <v>0</v>
      </c>
      <c r="O265" t="str">
        <f>VLOOKUP(K265,Agents!$A$1:$C$11,2,0)</f>
        <v>Sunita Rao</v>
      </c>
      <c r="P265">
        <f t="shared" si="8"/>
        <v>0</v>
      </c>
    </row>
    <row r="266" spans="1:16" x14ac:dyDescent="0.25">
      <c r="A266" s="2" t="s">
        <v>532</v>
      </c>
      <c r="B266" s="2" t="s">
        <v>533</v>
      </c>
      <c r="C266" s="2" t="s">
        <v>79</v>
      </c>
      <c r="D266" s="2" t="s">
        <v>80</v>
      </c>
      <c r="E266" s="4">
        <v>46141</v>
      </c>
      <c r="F266" s="4">
        <v>46154</v>
      </c>
      <c r="G266" s="5">
        <v>5900</v>
      </c>
      <c r="H266" s="5">
        <v>0</v>
      </c>
      <c r="I266" s="2" t="s">
        <v>31</v>
      </c>
      <c r="J266" s="2" t="s">
        <v>72</v>
      </c>
      <c r="K266" t="s">
        <v>56</v>
      </c>
      <c r="L266" s="12">
        <f>MIS_Report!$B$2-F266</f>
        <v>156</v>
      </c>
      <c r="M266" t="str" cm="1">
        <f t="array" ref="M266">_xlfn.IFS(L266&lt;=30,"0-30",L266&lt;=60,"31-60",L266&lt;=90,"61-90",TRUE,"90+")</f>
        <v>90+</v>
      </c>
      <c r="N266">
        <f t="shared" si="9"/>
        <v>0</v>
      </c>
      <c r="O266" t="str">
        <f>VLOOKUP(K266,Agents!$A$1:$C$11,2,0)</f>
        <v>Manish Arora</v>
      </c>
      <c r="P266">
        <f t="shared" si="8"/>
        <v>5900</v>
      </c>
    </row>
    <row r="267" spans="1:16" x14ac:dyDescent="0.25">
      <c r="A267" s="2" t="s">
        <v>534</v>
      </c>
      <c r="B267" s="2" t="s">
        <v>535</v>
      </c>
      <c r="C267" s="2" t="s">
        <v>36</v>
      </c>
      <c r="D267" s="2" t="s">
        <v>41</v>
      </c>
      <c r="E267" s="4">
        <v>46260</v>
      </c>
      <c r="F267" s="4">
        <v>46273</v>
      </c>
      <c r="G267" s="5">
        <v>4625</v>
      </c>
      <c r="H267" s="5">
        <v>4540.66</v>
      </c>
      <c r="I267" s="2" t="s">
        <v>37</v>
      </c>
      <c r="J267" s="2" t="s">
        <v>1541</v>
      </c>
      <c r="K267" t="s">
        <v>62</v>
      </c>
      <c r="L267" s="12">
        <f>MIS_Report!$B$2-F267</f>
        <v>37</v>
      </c>
      <c r="M267" t="str" cm="1">
        <f t="array" ref="M267">_xlfn.IFS(L267&lt;=30,"0-30",L267&lt;=60,"31-60",L267&lt;=90,"61-90",TRUE,"90+")</f>
        <v>31-60</v>
      </c>
      <c r="N267">
        <f t="shared" si="9"/>
        <v>0</v>
      </c>
      <c r="O267" t="str">
        <f>VLOOKUP(K267,Agents!$A$1:$C$11,2,0)</f>
        <v>Sunita Rao</v>
      </c>
      <c r="P267">
        <f t="shared" si="8"/>
        <v>0</v>
      </c>
    </row>
    <row r="268" spans="1:16" x14ac:dyDescent="0.25">
      <c r="A268" s="2" t="s">
        <v>536</v>
      </c>
      <c r="B268" s="2" t="s">
        <v>208</v>
      </c>
      <c r="C268" s="2" t="s">
        <v>36</v>
      </c>
      <c r="D268" s="2" t="s">
        <v>41</v>
      </c>
      <c r="E268" s="4">
        <v>46019</v>
      </c>
      <c r="F268" s="4">
        <v>46035</v>
      </c>
      <c r="G268" s="5">
        <v>1100</v>
      </c>
      <c r="H268" s="5">
        <v>904.33</v>
      </c>
      <c r="I268" s="2" t="s">
        <v>37</v>
      </c>
      <c r="J268" s="2" t="s">
        <v>1541</v>
      </c>
      <c r="K268" t="s">
        <v>48</v>
      </c>
      <c r="L268" s="12">
        <f>MIS_Report!$B$2-F268</f>
        <v>275</v>
      </c>
      <c r="M268" t="str" cm="1">
        <f t="array" ref="M268">_xlfn.IFS(L268&lt;=30,"0-30",L268&lt;=60,"31-60",L268&lt;=90,"61-90",TRUE,"90+")</f>
        <v>90+</v>
      </c>
      <c r="N268">
        <f t="shared" si="9"/>
        <v>0</v>
      </c>
      <c r="O268" t="str">
        <f>VLOOKUP(K268,Agents!$A$1:$C$11,2,0)</f>
        <v>Manish Arora</v>
      </c>
      <c r="P268">
        <f t="shared" si="8"/>
        <v>0</v>
      </c>
    </row>
    <row r="269" spans="1:16" x14ac:dyDescent="0.25">
      <c r="A269" s="2" t="s">
        <v>537</v>
      </c>
      <c r="B269" s="2" t="s">
        <v>538</v>
      </c>
      <c r="C269" s="2" t="s">
        <v>79</v>
      </c>
      <c r="D269" s="2" t="s">
        <v>61</v>
      </c>
      <c r="E269" s="4">
        <v>46118</v>
      </c>
      <c r="F269" s="4">
        <v>46133</v>
      </c>
      <c r="G269" s="5">
        <v>6225</v>
      </c>
      <c r="H269" s="5">
        <v>4395.05</v>
      </c>
      <c r="I269" s="2" t="s">
        <v>37</v>
      </c>
      <c r="J269" s="2" t="s">
        <v>1541</v>
      </c>
      <c r="K269" t="s">
        <v>109</v>
      </c>
      <c r="L269" s="12">
        <f>MIS_Report!$B$2-F269</f>
        <v>177</v>
      </c>
      <c r="M269" t="str" cm="1">
        <f t="array" ref="M269">_xlfn.IFS(L269&lt;=30,"0-30",L269&lt;=60,"31-60",L269&lt;=90,"61-90",TRUE,"90+")</f>
        <v>90+</v>
      </c>
      <c r="N269">
        <f t="shared" si="9"/>
        <v>0</v>
      </c>
      <c r="O269" t="str">
        <f>VLOOKUP(K269,Agents!$A$1:$C$11,2,0)</f>
        <v>Deepak Nair</v>
      </c>
      <c r="P269">
        <f t="shared" si="8"/>
        <v>0</v>
      </c>
    </row>
    <row r="270" spans="1:16" x14ac:dyDescent="0.25">
      <c r="A270" s="2" t="s">
        <v>539</v>
      </c>
      <c r="B270" s="2" t="s">
        <v>540</v>
      </c>
      <c r="C270" s="2" t="s">
        <v>29</v>
      </c>
      <c r="D270" s="2" t="s">
        <v>41</v>
      </c>
      <c r="E270" s="4">
        <v>46193</v>
      </c>
      <c r="F270" s="4">
        <v>46212</v>
      </c>
      <c r="G270" s="5">
        <v>8875</v>
      </c>
      <c r="H270" s="5">
        <v>7483.45</v>
      </c>
      <c r="I270" s="2" t="s">
        <v>37</v>
      </c>
      <c r="J270" s="2" t="s">
        <v>1541</v>
      </c>
      <c r="K270" t="s">
        <v>33</v>
      </c>
      <c r="L270" s="12">
        <f>MIS_Report!$B$2-F270</f>
        <v>98</v>
      </c>
      <c r="M270" t="str" cm="1">
        <f t="array" ref="M270">_xlfn.IFS(L270&lt;=30,"0-30",L270&lt;=60,"31-60",L270&lt;=90,"61-90",TRUE,"90+")</f>
        <v>90+</v>
      </c>
      <c r="N270">
        <f t="shared" si="9"/>
        <v>0</v>
      </c>
      <c r="O270" t="str">
        <f>VLOOKUP(K270,Agents!$A$1:$C$11,2,0)</f>
        <v>Manish Arora</v>
      </c>
      <c r="P270">
        <f t="shared" si="8"/>
        <v>0</v>
      </c>
    </row>
    <row r="271" spans="1:16" x14ac:dyDescent="0.25">
      <c r="A271" s="2" t="s">
        <v>541</v>
      </c>
      <c r="B271" s="2" t="s">
        <v>341</v>
      </c>
      <c r="C271" s="2" t="s">
        <v>46</v>
      </c>
      <c r="D271" s="2" t="s">
        <v>30</v>
      </c>
      <c r="E271" s="4">
        <v>46120</v>
      </c>
      <c r="F271" s="4">
        <v>46131</v>
      </c>
      <c r="G271" s="5">
        <v>11850</v>
      </c>
      <c r="H271" s="5">
        <v>8292.6</v>
      </c>
      <c r="I271" s="2" t="s">
        <v>37</v>
      </c>
      <c r="J271" s="2" t="s">
        <v>1541</v>
      </c>
      <c r="K271" t="s">
        <v>109</v>
      </c>
      <c r="L271" s="12">
        <f>MIS_Report!$B$2-F271</f>
        <v>179</v>
      </c>
      <c r="M271" t="str" cm="1">
        <f t="array" ref="M271">_xlfn.IFS(L271&lt;=30,"0-30",L271&lt;=60,"31-60",L271&lt;=90,"61-90",TRUE,"90+")</f>
        <v>90+</v>
      </c>
      <c r="N271">
        <f t="shared" si="9"/>
        <v>0</v>
      </c>
      <c r="O271" t="str">
        <f>VLOOKUP(K271,Agents!$A$1:$C$11,2,0)</f>
        <v>Deepak Nair</v>
      </c>
      <c r="P271">
        <f t="shared" si="8"/>
        <v>0</v>
      </c>
    </row>
    <row r="272" spans="1:16" x14ac:dyDescent="0.25">
      <c r="A272" s="2" t="s">
        <v>542</v>
      </c>
      <c r="B272" s="2" t="s">
        <v>543</v>
      </c>
      <c r="C272" s="2" t="s">
        <v>79</v>
      </c>
      <c r="D272" s="2" t="s">
        <v>68</v>
      </c>
      <c r="E272" s="4">
        <v>46150</v>
      </c>
      <c r="F272" s="4">
        <v>46153</v>
      </c>
      <c r="G272" s="5">
        <v>5000</v>
      </c>
      <c r="H272" s="5">
        <v>3896.85</v>
      </c>
      <c r="I272" s="2" t="s">
        <v>37</v>
      </c>
      <c r="J272" s="2" t="s">
        <v>1541</v>
      </c>
      <c r="K272" t="s">
        <v>43</v>
      </c>
      <c r="L272" s="12">
        <f>MIS_Report!$B$2-F272</f>
        <v>157</v>
      </c>
      <c r="M272" t="str" cm="1">
        <f t="array" ref="M272">_xlfn.IFS(L272&lt;=30,"0-30",L272&lt;=60,"31-60",L272&lt;=90,"61-90",TRUE,"90+")</f>
        <v>90+</v>
      </c>
      <c r="N272">
        <f t="shared" si="9"/>
        <v>0</v>
      </c>
      <c r="O272" t="str">
        <f>VLOOKUP(K272,Agents!$A$1:$C$11,2,0)</f>
        <v>Manish Arora</v>
      </c>
      <c r="P272">
        <f t="shared" si="8"/>
        <v>0</v>
      </c>
    </row>
    <row r="273" spans="1:16" x14ac:dyDescent="0.25">
      <c r="A273" s="2" t="s">
        <v>544</v>
      </c>
      <c r="B273" s="2" t="s">
        <v>545</v>
      </c>
      <c r="C273" s="2" t="s">
        <v>79</v>
      </c>
      <c r="D273" s="2" t="s">
        <v>55</v>
      </c>
      <c r="E273" s="4">
        <v>46294</v>
      </c>
      <c r="F273" s="4">
        <v>46299</v>
      </c>
      <c r="G273" s="5">
        <v>2300</v>
      </c>
      <c r="H273" s="5"/>
      <c r="I273" s="2" t="s">
        <v>42</v>
      </c>
      <c r="J273" s="2" t="s">
        <v>1541</v>
      </c>
      <c r="K273" t="s">
        <v>56</v>
      </c>
      <c r="L273" s="12">
        <f>MIS_Report!$B$2-F273</f>
        <v>11</v>
      </c>
      <c r="M273" t="str" cm="1">
        <f t="array" ref="M273">_xlfn.IFS(L273&lt;=30,"0-30",L273&lt;=60,"31-60",L273&lt;=90,"61-90",TRUE,"90+")</f>
        <v>0-30</v>
      </c>
      <c r="N273">
        <f t="shared" si="9"/>
        <v>2300</v>
      </c>
      <c r="O273" t="str">
        <f>VLOOKUP(K273,Agents!$A$1:$C$11,2,0)</f>
        <v>Manish Arora</v>
      </c>
      <c r="P273">
        <f t="shared" si="8"/>
        <v>0</v>
      </c>
    </row>
    <row r="274" spans="1:16" x14ac:dyDescent="0.25">
      <c r="A274" s="2" t="s">
        <v>546</v>
      </c>
      <c r="B274" s="2" t="s">
        <v>547</v>
      </c>
      <c r="C274" s="2" t="s">
        <v>29</v>
      </c>
      <c r="D274" s="2" t="s">
        <v>71</v>
      </c>
      <c r="E274" s="4">
        <v>46215</v>
      </c>
      <c r="F274" s="4">
        <v>46235</v>
      </c>
      <c r="G274" s="5">
        <v>3825</v>
      </c>
      <c r="H274" s="5">
        <v>3671.82</v>
      </c>
      <c r="I274" s="2" t="s">
        <v>37</v>
      </c>
      <c r="J274" s="2" t="s">
        <v>1541</v>
      </c>
      <c r="K274" t="s">
        <v>38</v>
      </c>
      <c r="L274" s="12">
        <f>MIS_Report!$B$2-F274</f>
        <v>75</v>
      </c>
      <c r="M274" t="str" cm="1">
        <f t="array" ref="M274">_xlfn.IFS(L274&lt;=30,"0-30",L274&lt;=60,"31-60",L274&lt;=90,"61-90",TRUE,"90+")</f>
        <v>61-90</v>
      </c>
      <c r="N274">
        <f t="shared" si="9"/>
        <v>0</v>
      </c>
      <c r="O274" t="str">
        <f>VLOOKUP(K274,Agents!$A$1:$C$11,2,0)</f>
        <v>Sunita Rao</v>
      </c>
      <c r="P274">
        <f t="shared" si="8"/>
        <v>0</v>
      </c>
    </row>
    <row r="275" spans="1:16" x14ac:dyDescent="0.25">
      <c r="A275" s="2" t="s">
        <v>548</v>
      </c>
      <c r="B275" s="2" t="s">
        <v>549</v>
      </c>
      <c r="C275" s="2" t="s">
        <v>36</v>
      </c>
      <c r="D275" s="2" t="s">
        <v>55</v>
      </c>
      <c r="E275" s="4">
        <v>46129</v>
      </c>
      <c r="F275" s="4">
        <v>46142</v>
      </c>
      <c r="G275" s="5">
        <v>5575</v>
      </c>
      <c r="H275" s="5">
        <v>4554.6899999999996</v>
      </c>
      <c r="I275" s="2" t="s">
        <v>37</v>
      </c>
      <c r="J275" s="2" t="s">
        <v>1541</v>
      </c>
      <c r="K275" t="s">
        <v>56</v>
      </c>
      <c r="L275" s="12">
        <f>MIS_Report!$B$2-F275</f>
        <v>168</v>
      </c>
      <c r="M275" t="str" cm="1">
        <f t="array" ref="M275">_xlfn.IFS(L275&lt;=30,"0-30",L275&lt;=60,"31-60",L275&lt;=90,"61-90",TRUE,"90+")</f>
        <v>90+</v>
      </c>
      <c r="N275">
        <f t="shared" si="9"/>
        <v>0</v>
      </c>
      <c r="O275" t="str">
        <f>VLOOKUP(K275,Agents!$A$1:$C$11,2,0)</f>
        <v>Manish Arora</v>
      </c>
      <c r="P275">
        <f t="shared" si="8"/>
        <v>0</v>
      </c>
    </row>
    <row r="276" spans="1:16" x14ac:dyDescent="0.25">
      <c r="A276" s="2" t="s">
        <v>550</v>
      </c>
      <c r="B276" s="2" t="s">
        <v>467</v>
      </c>
      <c r="C276" s="2" t="s">
        <v>36</v>
      </c>
      <c r="D276" s="2" t="s">
        <v>41</v>
      </c>
      <c r="E276" s="4">
        <v>46031</v>
      </c>
      <c r="F276" s="4">
        <v>46049</v>
      </c>
      <c r="G276" s="5">
        <v>1125</v>
      </c>
      <c r="H276" s="5">
        <v>1081.73</v>
      </c>
      <c r="I276" s="2" t="s">
        <v>37</v>
      </c>
      <c r="J276" s="2" t="s">
        <v>1541</v>
      </c>
      <c r="K276" t="s">
        <v>65</v>
      </c>
      <c r="L276" s="12">
        <f>MIS_Report!$B$2-F276</f>
        <v>261</v>
      </c>
      <c r="M276" t="str" cm="1">
        <f t="array" ref="M276">_xlfn.IFS(L276&lt;=30,"0-30",L276&lt;=60,"31-60",L276&lt;=90,"61-90",TRUE,"90+")</f>
        <v>90+</v>
      </c>
      <c r="N276">
        <f t="shared" si="9"/>
        <v>0</v>
      </c>
      <c r="O276" t="str">
        <f>VLOOKUP(K276,Agents!$A$1:$C$11,2,0)</f>
        <v>Deepak Nair</v>
      </c>
      <c r="P276">
        <f t="shared" si="8"/>
        <v>0</v>
      </c>
    </row>
    <row r="277" spans="1:16" x14ac:dyDescent="0.25">
      <c r="A277" s="2" t="s">
        <v>551</v>
      </c>
      <c r="B277" s="2" t="s">
        <v>552</v>
      </c>
      <c r="C277" s="2" t="s">
        <v>36</v>
      </c>
      <c r="D277" s="2" t="s">
        <v>41</v>
      </c>
      <c r="E277" s="4">
        <v>46125</v>
      </c>
      <c r="F277" s="4">
        <v>46138</v>
      </c>
      <c r="G277" s="5">
        <v>9050</v>
      </c>
      <c r="H277" s="5">
        <v>8250.07</v>
      </c>
      <c r="I277" s="2" t="s">
        <v>37</v>
      </c>
      <c r="J277" s="2" t="s">
        <v>1541</v>
      </c>
      <c r="K277" t="s">
        <v>33</v>
      </c>
      <c r="L277" s="12">
        <f>MIS_Report!$B$2-F277</f>
        <v>172</v>
      </c>
      <c r="M277" t="str" cm="1">
        <f t="array" ref="M277">_xlfn.IFS(L277&lt;=30,"0-30",L277&lt;=60,"31-60",L277&lt;=90,"61-90",TRUE,"90+")</f>
        <v>90+</v>
      </c>
      <c r="N277">
        <f t="shared" si="9"/>
        <v>0</v>
      </c>
      <c r="O277" t="str">
        <f>VLOOKUP(K277,Agents!$A$1:$C$11,2,0)</f>
        <v>Manish Arora</v>
      </c>
      <c r="P277">
        <f t="shared" si="8"/>
        <v>0</v>
      </c>
    </row>
    <row r="278" spans="1:16" x14ac:dyDescent="0.25">
      <c r="A278" s="2" t="s">
        <v>553</v>
      </c>
      <c r="B278" s="2" t="s">
        <v>427</v>
      </c>
      <c r="C278" s="2" t="s">
        <v>36</v>
      </c>
      <c r="D278" s="2" t="s">
        <v>71</v>
      </c>
      <c r="E278" s="4">
        <v>46127</v>
      </c>
      <c r="F278" s="4">
        <v>46144</v>
      </c>
      <c r="G278" s="5">
        <v>9700</v>
      </c>
      <c r="H278" s="5">
        <v>6526.66</v>
      </c>
      <c r="I278" s="2" t="s">
        <v>37</v>
      </c>
      <c r="J278" s="2" t="s">
        <v>1541</v>
      </c>
      <c r="K278" t="s">
        <v>52</v>
      </c>
      <c r="L278" s="12">
        <f>MIS_Report!$B$2-F278</f>
        <v>166</v>
      </c>
      <c r="M278" t="str" cm="1">
        <f t="array" ref="M278">_xlfn.IFS(L278&lt;=30,"0-30",L278&lt;=60,"31-60",L278&lt;=90,"61-90",TRUE,"90+")</f>
        <v>90+</v>
      </c>
      <c r="N278">
        <f t="shared" si="9"/>
        <v>0</v>
      </c>
      <c r="O278" t="str">
        <f>VLOOKUP(K278,Agents!$A$1:$C$11,2,0)</f>
        <v>Sunita Rao</v>
      </c>
      <c r="P278">
        <f t="shared" si="8"/>
        <v>0</v>
      </c>
    </row>
    <row r="279" spans="1:16" x14ac:dyDescent="0.25">
      <c r="A279" s="2" t="s">
        <v>554</v>
      </c>
      <c r="B279" s="2" t="s">
        <v>555</v>
      </c>
      <c r="C279" s="2" t="s">
        <v>29</v>
      </c>
      <c r="D279" s="2" t="s">
        <v>80</v>
      </c>
      <c r="E279" s="4">
        <v>46042</v>
      </c>
      <c r="F279" s="4">
        <v>46048</v>
      </c>
      <c r="G279" s="5">
        <v>8150</v>
      </c>
      <c r="H279" s="5">
        <v>5486.97</v>
      </c>
      <c r="I279" s="2" t="s">
        <v>37</v>
      </c>
      <c r="J279" s="2" t="s">
        <v>1541</v>
      </c>
      <c r="K279" t="s">
        <v>83</v>
      </c>
      <c r="L279" s="12">
        <f>MIS_Report!$B$2-F279</f>
        <v>262</v>
      </c>
      <c r="M279" t="str" cm="1">
        <f t="array" ref="M279">_xlfn.IFS(L279&lt;=30,"0-30",L279&lt;=60,"31-60",L279&lt;=90,"61-90",TRUE,"90+")</f>
        <v>90+</v>
      </c>
      <c r="N279">
        <f t="shared" si="9"/>
        <v>0</v>
      </c>
      <c r="O279" t="str">
        <f>VLOOKUP(K279,Agents!$A$1:$C$11,2,0)</f>
        <v>Deepak Nair</v>
      </c>
      <c r="P279">
        <f t="shared" si="8"/>
        <v>0</v>
      </c>
    </row>
    <row r="280" spans="1:16" x14ac:dyDescent="0.25">
      <c r="A280" s="2" t="s">
        <v>556</v>
      </c>
      <c r="B280" s="2" t="s">
        <v>557</v>
      </c>
      <c r="C280" s="2" t="s">
        <v>79</v>
      </c>
      <c r="D280" s="2" t="s">
        <v>41</v>
      </c>
      <c r="E280" s="4">
        <v>46152</v>
      </c>
      <c r="F280" s="4">
        <v>46157</v>
      </c>
      <c r="G280" s="5">
        <v>2375</v>
      </c>
      <c r="H280" s="5">
        <v>2291.2800000000002</v>
      </c>
      <c r="I280" s="2" t="s">
        <v>37</v>
      </c>
      <c r="J280" s="2" t="s">
        <v>1541</v>
      </c>
      <c r="K280" t="s">
        <v>52</v>
      </c>
      <c r="L280" s="12">
        <f>MIS_Report!$B$2-F280</f>
        <v>153</v>
      </c>
      <c r="M280" t="str" cm="1">
        <f t="array" ref="M280">_xlfn.IFS(L280&lt;=30,"0-30",L280&lt;=60,"31-60",L280&lt;=90,"61-90",TRUE,"90+")</f>
        <v>90+</v>
      </c>
      <c r="N280">
        <f t="shared" si="9"/>
        <v>0</v>
      </c>
      <c r="O280" t="str">
        <f>VLOOKUP(K280,Agents!$A$1:$C$11,2,0)</f>
        <v>Sunita Rao</v>
      </c>
      <c r="P280">
        <f t="shared" si="8"/>
        <v>0</v>
      </c>
    </row>
    <row r="281" spans="1:16" x14ac:dyDescent="0.25">
      <c r="A281" s="2" t="s">
        <v>558</v>
      </c>
      <c r="B281" s="2" t="s">
        <v>74</v>
      </c>
      <c r="C281" s="2" t="s">
        <v>29</v>
      </c>
      <c r="D281" s="2" t="s">
        <v>55</v>
      </c>
      <c r="E281" s="4">
        <v>46064</v>
      </c>
      <c r="F281" s="4">
        <v>46076</v>
      </c>
      <c r="G281" s="5">
        <v>12675</v>
      </c>
      <c r="H281" s="5">
        <v>0</v>
      </c>
      <c r="I281" s="2" t="s">
        <v>31</v>
      </c>
      <c r="J281" s="2" t="s">
        <v>47</v>
      </c>
      <c r="K281" t="s">
        <v>43</v>
      </c>
      <c r="L281" s="12">
        <f>MIS_Report!$B$2-F281</f>
        <v>234</v>
      </c>
      <c r="M281" t="str" cm="1">
        <f t="array" ref="M281">_xlfn.IFS(L281&lt;=30,"0-30",L281&lt;=60,"31-60",L281&lt;=90,"61-90",TRUE,"90+")</f>
        <v>90+</v>
      </c>
      <c r="N281">
        <f t="shared" si="9"/>
        <v>0</v>
      </c>
      <c r="O281" t="str">
        <f>VLOOKUP(K281,Agents!$A$1:$C$11,2,0)</f>
        <v>Manish Arora</v>
      </c>
      <c r="P281">
        <f t="shared" si="8"/>
        <v>12675</v>
      </c>
    </row>
    <row r="282" spans="1:16" x14ac:dyDescent="0.25">
      <c r="A282" s="2" t="s">
        <v>559</v>
      </c>
      <c r="B282" s="2" t="s">
        <v>560</v>
      </c>
      <c r="C282" s="2" t="s">
        <v>79</v>
      </c>
      <c r="D282" s="2" t="s">
        <v>41</v>
      </c>
      <c r="E282" s="4">
        <v>46080</v>
      </c>
      <c r="F282" s="4">
        <v>46098</v>
      </c>
      <c r="G282" s="5">
        <v>925</v>
      </c>
      <c r="H282" s="5">
        <v>734.92</v>
      </c>
      <c r="I282" s="2" t="s">
        <v>37</v>
      </c>
      <c r="J282" s="2" t="s">
        <v>1541</v>
      </c>
      <c r="K282" t="s">
        <v>38</v>
      </c>
      <c r="L282" s="12">
        <f>MIS_Report!$B$2-F282</f>
        <v>212</v>
      </c>
      <c r="M282" t="str" cm="1">
        <f t="array" ref="M282">_xlfn.IFS(L282&lt;=30,"0-30",L282&lt;=60,"31-60",L282&lt;=90,"61-90",TRUE,"90+")</f>
        <v>90+</v>
      </c>
      <c r="N282">
        <f t="shared" si="9"/>
        <v>0</v>
      </c>
      <c r="O282" t="str">
        <f>VLOOKUP(K282,Agents!$A$1:$C$11,2,0)</f>
        <v>Sunita Rao</v>
      </c>
      <c r="P282">
        <f t="shared" si="8"/>
        <v>0</v>
      </c>
    </row>
    <row r="283" spans="1:16" x14ac:dyDescent="0.25">
      <c r="A283" s="2" t="s">
        <v>561</v>
      </c>
      <c r="B283" s="2" t="s">
        <v>562</v>
      </c>
      <c r="C283" s="2" t="s">
        <v>36</v>
      </c>
      <c r="D283" s="2" t="s">
        <v>55</v>
      </c>
      <c r="E283" s="4">
        <v>46128</v>
      </c>
      <c r="F283" s="4">
        <v>46131</v>
      </c>
      <c r="G283" s="5">
        <v>900</v>
      </c>
      <c r="H283" s="5">
        <v>697.17</v>
      </c>
      <c r="I283" s="2" t="s">
        <v>37</v>
      </c>
      <c r="J283" s="2" t="s">
        <v>1541</v>
      </c>
      <c r="K283" t="s">
        <v>33</v>
      </c>
      <c r="L283" s="12">
        <f>MIS_Report!$B$2-F283</f>
        <v>179</v>
      </c>
      <c r="M283" t="str" cm="1">
        <f t="array" ref="M283">_xlfn.IFS(L283&lt;=30,"0-30",L283&lt;=60,"31-60",L283&lt;=90,"61-90",TRUE,"90+")</f>
        <v>90+</v>
      </c>
      <c r="N283">
        <f t="shared" si="9"/>
        <v>0</v>
      </c>
      <c r="O283" t="str">
        <f>VLOOKUP(K283,Agents!$A$1:$C$11,2,0)</f>
        <v>Manish Arora</v>
      </c>
      <c r="P283">
        <f t="shared" si="8"/>
        <v>0</v>
      </c>
    </row>
    <row r="284" spans="1:16" x14ac:dyDescent="0.25">
      <c r="A284" s="2" t="s">
        <v>563</v>
      </c>
      <c r="B284" s="2" t="s">
        <v>564</v>
      </c>
      <c r="C284" s="2" t="s">
        <v>46</v>
      </c>
      <c r="D284" s="2" t="s">
        <v>68</v>
      </c>
      <c r="E284" s="4">
        <v>46195</v>
      </c>
      <c r="F284" s="4">
        <v>46198</v>
      </c>
      <c r="G284" s="5">
        <v>4550</v>
      </c>
      <c r="H284" s="5">
        <v>3036.04</v>
      </c>
      <c r="I284" s="2" t="s">
        <v>37</v>
      </c>
      <c r="J284" s="2" t="s">
        <v>1541</v>
      </c>
      <c r="K284" t="s">
        <v>62</v>
      </c>
      <c r="L284" s="12">
        <f>MIS_Report!$B$2-F284</f>
        <v>112</v>
      </c>
      <c r="M284" t="str" cm="1">
        <f t="array" ref="M284">_xlfn.IFS(L284&lt;=30,"0-30",L284&lt;=60,"31-60",L284&lt;=90,"61-90",TRUE,"90+")</f>
        <v>90+</v>
      </c>
      <c r="N284">
        <f t="shared" si="9"/>
        <v>0</v>
      </c>
      <c r="O284" t="str">
        <f>VLOOKUP(K284,Agents!$A$1:$C$11,2,0)</f>
        <v>Sunita Rao</v>
      </c>
      <c r="P284">
        <f t="shared" si="8"/>
        <v>0</v>
      </c>
    </row>
    <row r="285" spans="1:16" x14ac:dyDescent="0.25">
      <c r="A285" s="2" t="s">
        <v>565</v>
      </c>
      <c r="B285" s="2" t="s">
        <v>566</v>
      </c>
      <c r="C285" s="2" t="s">
        <v>29</v>
      </c>
      <c r="D285" s="2" t="s">
        <v>61</v>
      </c>
      <c r="E285" s="4">
        <v>46177</v>
      </c>
      <c r="F285" s="4">
        <v>46185</v>
      </c>
      <c r="G285" s="5">
        <v>9425</v>
      </c>
      <c r="H285" s="5">
        <v>7780.95</v>
      </c>
      <c r="I285" s="2" t="s">
        <v>37</v>
      </c>
      <c r="J285" s="2" t="s">
        <v>1541</v>
      </c>
      <c r="K285" t="s">
        <v>65</v>
      </c>
      <c r="L285" s="12">
        <f>MIS_Report!$B$2-F285</f>
        <v>125</v>
      </c>
      <c r="M285" t="str" cm="1">
        <f t="array" ref="M285">_xlfn.IFS(L285&lt;=30,"0-30",L285&lt;=60,"31-60",L285&lt;=90,"61-90",TRUE,"90+")</f>
        <v>90+</v>
      </c>
      <c r="N285">
        <f t="shared" si="9"/>
        <v>0</v>
      </c>
      <c r="O285" t="str">
        <f>VLOOKUP(K285,Agents!$A$1:$C$11,2,0)</f>
        <v>Deepak Nair</v>
      </c>
      <c r="P285">
        <f t="shared" si="8"/>
        <v>0</v>
      </c>
    </row>
    <row r="286" spans="1:16" x14ac:dyDescent="0.25">
      <c r="A286" s="2" t="s">
        <v>568</v>
      </c>
      <c r="B286" s="2" t="s">
        <v>569</v>
      </c>
      <c r="C286" s="2" t="s">
        <v>46</v>
      </c>
      <c r="D286" s="2" t="s">
        <v>61</v>
      </c>
      <c r="E286" s="4">
        <v>46134</v>
      </c>
      <c r="F286" s="4">
        <v>46142</v>
      </c>
      <c r="G286" s="5">
        <v>12275</v>
      </c>
      <c r="H286" s="5">
        <v>0</v>
      </c>
      <c r="I286" s="2" t="s">
        <v>31</v>
      </c>
      <c r="J286" s="2" t="s">
        <v>312</v>
      </c>
      <c r="K286" t="s">
        <v>109</v>
      </c>
      <c r="L286" s="12">
        <f>MIS_Report!$B$2-F286</f>
        <v>168</v>
      </c>
      <c r="M286" t="str" cm="1">
        <f t="array" ref="M286">_xlfn.IFS(L286&lt;=30,"0-30",L286&lt;=60,"31-60",L286&lt;=90,"61-90",TRUE,"90+")</f>
        <v>90+</v>
      </c>
      <c r="N286">
        <f t="shared" si="9"/>
        <v>0</v>
      </c>
      <c r="O286" t="str">
        <f>VLOOKUP(K286,Agents!$A$1:$C$11,2,0)</f>
        <v>Deepak Nair</v>
      </c>
      <c r="P286">
        <f t="shared" si="8"/>
        <v>12275</v>
      </c>
    </row>
    <row r="287" spans="1:16" x14ac:dyDescent="0.25">
      <c r="A287" s="2" t="s">
        <v>570</v>
      </c>
      <c r="B287" s="2" t="s">
        <v>571</v>
      </c>
      <c r="C287" s="2" t="s">
        <v>29</v>
      </c>
      <c r="D287" s="2" t="s">
        <v>30</v>
      </c>
      <c r="E287" s="4">
        <v>46221</v>
      </c>
      <c r="F287" s="4">
        <v>46229</v>
      </c>
      <c r="G287" s="5">
        <v>8975</v>
      </c>
      <c r="H287" s="5">
        <v>7712.1</v>
      </c>
      <c r="I287" s="2" t="s">
        <v>37</v>
      </c>
      <c r="J287" s="2" t="s">
        <v>1541</v>
      </c>
      <c r="K287" t="s">
        <v>65</v>
      </c>
      <c r="L287" s="12">
        <f>MIS_Report!$B$2-F287</f>
        <v>81</v>
      </c>
      <c r="M287" t="str" cm="1">
        <f t="array" ref="M287">_xlfn.IFS(L287&lt;=30,"0-30",L287&lt;=60,"31-60",L287&lt;=90,"61-90",TRUE,"90+")</f>
        <v>61-90</v>
      </c>
      <c r="N287">
        <f t="shared" si="9"/>
        <v>0</v>
      </c>
      <c r="O287" t="str">
        <f>VLOOKUP(K287,Agents!$A$1:$C$11,2,0)</f>
        <v>Deepak Nair</v>
      </c>
      <c r="P287">
        <f t="shared" si="8"/>
        <v>0</v>
      </c>
    </row>
    <row r="288" spans="1:16" x14ac:dyDescent="0.25">
      <c r="A288" s="2" t="s">
        <v>572</v>
      </c>
      <c r="B288" s="2" t="s">
        <v>573</v>
      </c>
      <c r="C288" s="2" t="s">
        <v>46</v>
      </c>
      <c r="D288" s="2" t="s">
        <v>30</v>
      </c>
      <c r="E288" s="4">
        <v>46271</v>
      </c>
      <c r="F288" s="4">
        <v>46286</v>
      </c>
      <c r="G288" s="5">
        <v>325</v>
      </c>
      <c r="H288" s="5"/>
      <c r="I288" s="2" t="s">
        <v>42</v>
      </c>
      <c r="J288" s="2" t="s">
        <v>1541</v>
      </c>
      <c r="K288" t="s">
        <v>109</v>
      </c>
      <c r="L288" s="12">
        <f>MIS_Report!$B$2-F288</f>
        <v>24</v>
      </c>
      <c r="M288" t="str" cm="1">
        <f t="array" ref="M288">_xlfn.IFS(L288&lt;=30,"0-30",L288&lt;=60,"31-60",L288&lt;=90,"61-90",TRUE,"90+")</f>
        <v>0-30</v>
      </c>
      <c r="N288">
        <f t="shared" si="9"/>
        <v>325</v>
      </c>
      <c r="O288" t="str">
        <f>VLOOKUP(K288,Agents!$A$1:$C$11,2,0)</f>
        <v>Deepak Nair</v>
      </c>
      <c r="P288">
        <f t="shared" si="8"/>
        <v>0</v>
      </c>
    </row>
    <row r="289" spans="1:16" x14ac:dyDescent="0.25">
      <c r="A289" s="2" t="s">
        <v>574</v>
      </c>
      <c r="B289" s="2" t="s">
        <v>467</v>
      </c>
      <c r="C289" s="2" t="s">
        <v>36</v>
      </c>
      <c r="D289" s="2" t="s">
        <v>61</v>
      </c>
      <c r="E289" s="4">
        <v>46255</v>
      </c>
      <c r="F289" s="4">
        <v>46259</v>
      </c>
      <c r="G289" s="5">
        <v>2600</v>
      </c>
      <c r="H289" s="5">
        <v>1502.24</v>
      </c>
      <c r="I289" s="2" t="s">
        <v>37</v>
      </c>
      <c r="J289" s="2" t="s">
        <v>1541</v>
      </c>
      <c r="K289" t="s">
        <v>65</v>
      </c>
      <c r="L289" s="12">
        <f>MIS_Report!$B$2-F289</f>
        <v>51</v>
      </c>
      <c r="M289" t="str" cm="1">
        <f t="array" ref="M289">_xlfn.IFS(L289&lt;=30,"0-30",L289&lt;=60,"31-60",L289&lt;=90,"61-90",TRUE,"90+")</f>
        <v>31-60</v>
      </c>
      <c r="N289">
        <f t="shared" si="9"/>
        <v>0</v>
      </c>
      <c r="O289" t="str">
        <f>VLOOKUP(K289,Agents!$A$1:$C$11,2,0)</f>
        <v>Deepak Nair</v>
      </c>
      <c r="P289">
        <f t="shared" si="8"/>
        <v>0</v>
      </c>
    </row>
    <row r="290" spans="1:16" x14ac:dyDescent="0.25">
      <c r="A290" s="2" t="s">
        <v>575</v>
      </c>
      <c r="B290" s="2" t="s">
        <v>576</v>
      </c>
      <c r="C290" s="2" t="s">
        <v>36</v>
      </c>
      <c r="D290" s="2" t="s">
        <v>61</v>
      </c>
      <c r="E290" s="4">
        <v>46043</v>
      </c>
      <c r="F290" s="4">
        <v>46048</v>
      </c>
      <c r="G290" s="5">
        <v>7450</v>
      </c>
      <c r="H290" s="5">
        <v>6876.93</v>
      </c>
      <c r="I290" s="2" t="s">
        <v>37</v>
      </c>
      <c r="J290" s="2" t="s">
        <v>1541</v>
      </c>
      <c r="K290" t="s">
        <v>83</v>
      </c>
      <c r="L290" s="12">
        <f>MIS_Report!$B$2-F290</f>
        <v>262</v>
      </c>
      <c r="M290" t="str" cm="1">
        <f t="array" ref="M290">_xlfn.IFS(L290&lt;=30,"0-30",L290&lt;=60,"31-60",L290&lt;=90,"61-90",TRUE,"90+")</f>
        <v>90+</v>
      </c>
      <c r="N290">
        <f t="shared" si="9"/>
        <v>0</v>
      </c>
      <c r="O290" t="str">
        <f>VLOOKUP(K290,Agents!$A$1:$C$11,2,0)</f>
        <v>Deepak Nair</v>
      </c>
      <c r="P290">
        <f t="shared" si="8"/>
        <v>0</v>
      </c>
    </row>
    <row r="291" spans="1:16" x14ac:dyDescent="0.25">
      <c r="A291" s="2" t="s">
        <v>577</v>
      </c>
      <c r="B291" s="2" t="s">
        <v>578</v>
      </c>
      <c r="C291" s="2" t="s">
        <v>79</v>
      </c>
      <c r="D291" s="2" t="s">
        <v>61</v>
      </c>
      <c r="E291" s="4">
        <v>46059</v>
      </c>
      <c r="F291" s="4">
        <v>46075</v>
      </c>
      <c r="G291" s="5">
        <v>9325</v>
      </c>
      <c r="H291" s="5">
        <v>0</v>
      </c>
      <c r="I291" s="2" t="s">
        <v>31</v>
      </c>
      <c r="J291" s="2" t="s">
        <v>47</v>
      </c>
      <c r="K291" t="s">
        <v>83</v>
      </c>
      <c r="L291" s="12">
        <f>MIS_Report!$B$2-F291</f>
        <v>235</v>
      </c>
      <c r="M291" t="str" cm="1">
        <f t="array" ref="M291">_xlfn.IFS(L291&lt;=30,"0-30",L291&lt;=60,"31-60",L291&lt;=90,"61-90",TRUE,"90+")</f>
        <v>90+</v>
      </c>
      <c r="N291">
        <f t="shared" si="9"/>
        <v>0</v>
      </c>
      <c r="O291" t="str">
        <f>VLOOKUP(K291,Agents!$A$1:$C$11,2,0)</f>
        <v>Deepak Nair</v>
      </c>
      <c r="P291">
        <f t="shared" si="8"/>
        <v>9325</v>
      </c>
    </row>
    <row r="292" spans="1:16" x14ac:dyDescent="0.25">
      <c r="A292" s="2" t="s">
        <v>579</v>
      </c>
      <c r="B292" s="2" t="s">
        <v>580</v>
      </c>
      <c r="C292" s="2" t="s">
        <v>29</v>
      </c>
      <c r="D292" s="2" t="s">
        <v>80</v>
      </c>
      <c r="E292" s="4">
        <v>46267</v>
      </c>
      <c r="F292" s="4">
        <v>46280</v>
      </c>
      <c r="G292" s="5">
        <v>5325</v>
      </c>
      <c r="H292" s="5"/>
      <c r="I292" s="2" t="s">
        <v>42</v>
      </c>
      <c r="J292" s="2" t="s">
        <v>1541</v>
      </c>
      <c r="K292" t="s">
        <v>33</v>
      </c>
      <c r="L292" s="12">
        <f>MIS_Report!$B$2-F292</f>
        <v>30</v>
      </c>
      <c r="M292" t="str" cm="1">
        <f t="array" ref="M292">_xlfn.IFS(L292&lt;=30,"0-30",L292&lt;=60,"31-60",L292&lt;=90,"61-90",TRUE,"90+")</f>
        <v>0-30</v>
      </c>
      <c r="N292">
        <f t="shared" si="9"/>
        <v>5325</v>
      </c>
      <c r="O292" t="str">
        <f>VLOOKUP(K292,Agents!$A$1:$C$11,2,0)</f>
        <v>Manish Arora</v>
      </c>
      <c r="P292">
        <f t="shared" si="8"/>
        <v>0</v>
      </c>
    </row>
    <row r="293" spans="1:16" x14ac:dyDescent="0.25">
      <c r="A293" s="2" t="s">
        <v>581</v>
      </c>
      <c r="B293" s="2" t="s">
        <v>582</v>
      </c>
      <c r="C293" s="2" t="s">
        <v>36</v>
      </c>
      <c r="D293" s="2" t="s">
        <v>80</v>
      </c>
      <c r="E293" s="4">
        <v>46138</v>
      </c>
      <c r="F293" s="4">
        <v>46149</v>
      </c>
      <c r="G293" s="5">
        <v>7900</v>
      </c>
      <c r="H293" s="5"/>
      <c r="I293" s="2" t="s">
        <v>42</v>
      </c>
      <c r="J293" s="2" t="s">
        <v>1541</v>
      </c>
      <c r="K293" t="s">
        <v>62</v>
      </c>
      <c r="L293" s="12">
        <f>MIS_Report!$B$2-F293</f>
        <v>161</v>
      </c>
      <c r="M293" t="str" cm="1">
        <f t="array" ref="M293">_xlfn.IFS(L293&lt;=30,"0-30",L293&lt;=60,"31-60",L293&lt;=90,"61-90",TRUE,"90+")</f>
        <v>90+</v>
      </c>
      <c r="N293">
        <f t="shared" si="9"/>
        <v>7900</v>
      </c>
      <c r="O293" t="str">
        <f>VLOOKUP(K293,Agents!$A$1:$C$11,2,0)</f>
        <v>Sunita Rao</v>
      </c>
      <c r="P293">
        <f t="shared" si="8"/>
        <v>0</v>
      </c>
    </row>
    <row r="294" spans="1:16" x14ac:dyDescent="0.25">
      <c r="A294" s="2" t="s">
        <v>583</v>
      </c>
      <c r="B294" s="2" t="s">
        <v>584</v>
      </c>
      <c r="C294" s="2" t="s">
        <v>46</v>
      </c>
      <c r="D294" s="2" t="s">
        <v>55</v>
      </c>
      <c r="E294" s="4">
        <v>46143</v>
      </c>
      <c r="F294" s="4">
        <v>46147</v>
      </c>
      <c r="G294" s="5">
        <v>875</v>
      </c>
      <c r="H294" s="5"/>
      <c r="I294" s="2" t="s">
        <v>42</v>
      </c>
      <c r="J294" s="2" t="s">
        <v>1541</v>
      </c>
      <c r="K294" t="s">
        <v>109</v>
      </c>
      <c r="L294" s="12">
        <f>MIS_Report!$B$2-F294</f>
        <v>163</v>
      </c>
      <c r="M294" t="str" cm="1">
        <f t="array" ref="M294">_xlfn.IFS(L294&lt;=30,"0-30",L294&lt;=60,"31-60",L294&lt;=90,"61-90",TRUE,"90+")</f>
        <v>90+</v>
      </c>
      <c r="N294">
        <f t="shared" si="9"/>
        <v>875</v>
      </c>
      <c r="O294" t="str">
        <f>VLOOKUP(K294,Agents!$A$1:$C$11,2,0)</f>
        <v>Deepak Nair</v>
      </c>
      <c r="P294">
        <f t="shared" si="8"/>
        <v>0</v>
      </c>
    </row>
    <row r="295" spans="1:16" x14ac:dyDescent="0.25">
      <c r="A295" s="2" t="s">
        <v>585</v>
      </c>
      <c r="B295" s="2" t="s">
        <v>586</v>
      </c>
      <c r="C295" s="2" t="s">
        <v>46</v>
      </c>
      <c r="D295" s="2" t="s">
        <v>41</v>
      </c>
      <c r="E295" s="4">
        <v>46222</v>
      </c>
      <c r="F295" s="4">
        <v>46227</v>
      </c>
      <c r="G295" s="5">
        <v>4375</v>
      </c>
      <c r="H295" s="5">
        <v>0</v>
      </c>
      <c r="I295" s="2" t="s">
        <v>31</v>
      </c>
      <c r="J295" s="2" t="s">
        <v>116</v>
      </c>
      <c r="K295" t="s">
        <v>62</v>
      </c>
      <c r="L295" s="12">
        <f>MIS_Report!$B$2-F295</f>
        <v>83</v>
      </c>
      <c r="M295" t="str" cm="1">
        <f t="array" ref="M295">_xlfn.IFS(L295&lt;=30,"0-30",L295&lt;=60,"31-60",L295&lt;=90,"61-90",TRUE,"90+")</f>
        <v>61-90</v>
      </c>
      <c r="N295">
        <f t="shared" si="9"/>
        <v>0</v>
      </c>
      <c r="O295" t="str">
        <f>VLOOKUP(K295,Agents!$A$1:$C$11,2,0)</f>
        <v>Sunita Rao</v>
      </c>
      <c r="P295">
        <f t="shared" si="8"/>
        <v>4375</v>
      </c>
    </row>
    <row r="296" spans="1:16" x14ac:dyDescent="0.25">
      <c r="A296" s="2" t="s">
        <v>587</v>
      </c>
      <c r="B296" s="2" t="s">
        <v>417</v>
      </c>
      <c r="C296" s="2" t="s">
        <v>29</v>
      </c>
      <c r="D296" s="2" t="s">
        <v>80</v>
      </c>
      <c r="E296" s="4">
        <v>46083</v>
      </c>
      <c r="F296" s="4">
        <v>46087</v>
      </c>
      <c r="G296" s="5">
        <v>11450</v>
      </c>
      <c r="H296" s="5"/>
      <c r="I296" s="2" t="s">
        <v>42</v>
      </c>
      <c r="J296" s="2" t="s">
        <v>1541</v>
      </c>
      <c r="K296" t="s">
        <v>56</v>
      </c>
      <c r="L296" s="12">
        <f>MIS_Report!$B$2-F296</f>
        <v>223</v>
      </c>
      <c r="M296" t="str" cm="1">
        <f t="array" ref="M296">_xlfn.IFS(L296&lt;=30,"0-30",L296&lt;=60,"31-60",L296&lt;=90,"61-90",TRUE,"90+")</f>
        <v>90+</v>
      </c>
      <c r="N296">
        <f t="shared" si="9"/>
        <v>11450</v>
      </c>
      <c r="O296" t="str">
        <f>VLOOKUP(K296,Agents!$A$1:$C$11,2,0)</f>
        <v>Manish Arora</v>
      </c>
      <c r="P296">
        <f t="shared" si="8"/>
        <v>0</v>
      </c>
    </row>
    <row r="297" spans="1:16" x14ac:dyDescent="0.25">
      <c r="A297" s="2" t="s">
        <v>588</v>
      </c>
      <c r="B297" s="2" t="s">
        <v>469</v>
      </c>
      <c r="C297" s="2" t="s">
        <v>79</v>
      </c>
      <c r="D297" s="2" t="s">
        <v>30</v>
      </c>
      <c r="E297" s="4">
        <v>46140</v>
      </c>
      <c r="F297" s="4">
        <v>46158</v>
      </c>
      <c r="G297" s="5">
        <v>12875</v>
      </c>
      <c r="H297" s="5">
        <v>7307.6</v>
      </c>
      <c r="I297" s="2" t="s">
        <v>37</v>
      </c>
      <c r="J297" s="2" t="s">
        <v>1541</v>
      </c>
      <c r="K297" t="s">
        <v>43</v>
      </c>
      <c r="L297" s="12">
        <f>MIS_Report!$B$2-F297</f>
        <v>152</v>
      </c>
      <c r="M297" t="str" cm="1">
        <f t="array" ref="M297">_xlfn.IFS(L297&lt;=30,"0-30",L297&lt;=60,"31-60",L297&lt;=90,"61-90",TRUE,"90+")</f>
        <v>90+</v>
      </c>
      <c r="N297">
        <f t="shared" si="9"/>
        <v>0</v>
      </c>
      <c r="O297" t="str">
        <f>VLOOKUP(K297,Agents!$A$1:$C$11,2,0)</f>
        <v>Manish Arora</v>
      </c>
      <c r="P297">
        <f t="shared" si="8"/>
        <v>0</v>
      </c>
    </row>
    <row r="298" spans="1:16" x14ac:dyDescent="0.25">
      <c r="A298" s="2" t="s">
        <v>589</v>
      </c>
      <c r="B298" s="2" t="s">
        <v>590</v>
      </c>
      <c r="C298" s="2" t="s">
        <v>36</v>
      </c>
      <c r="D298" s="2" t="s">
        <v>68</v>
      </c>
      <c r="E298" s="4">
        <v>46135</v>
      </c>
      <c r="F298" s="4">
        <v>46141</v>
      </c>
      <c r="G298" s="5">
        <v>4200</v>
      </c>
      <c r="H298" s="5">
        <v>2825.74</v>
      </c>
      <c r="I298" s="2" t="s">
        <v>37</v>
      </c>
      <c r="J298" s="2" t="s">
        <v>1541</v>
      </c>
      <c r="K298" t="s">
        <v>48</v>
      </c>
      <c r="L298" s="12">
        <f>MIS_Report!$B$2-F298</f>
        <v>169</v>
      </c>
      <c r="M298" t="str" cm="1">
        <f t="array" ref="M298">_xlfn.IFS(L298&lt;=30,"0-30",L298&lt;=60,"31-60",L298&lt;=90,"61-90",TRUE,"90+")</f>
        <v>90+</v>
      </c>
      <c r="N298">
        <f t="shared" si="9"/>
        <v>0</v>
      </c>
      <c r="O298" t="str">
        <f>VLOOKUP(K298,Agents!$A$1:$C$11,2,0)</f>
        <v>Manish Arora</v>
      </c>
      <c r="P298">
        <f t="shared" si="8"/>
        <v>0</v>
      </c>
    </row>
    <row r="299" spans="1:16" x14ac:dyDescent="0.25">
      <c r="A299" s="2" t="s">
        <v>592</v>
      </c>
      <c r="B299" s="2" t="s">
        <v>218</v>
      </c>
      <c r="C299" s="2" t="s">
        <v>46</v>
      </c>
      <c r="D299" s="2" t="s">
        <v>71</v>
      </c>
      <c r="E299" s="4">
        <v>46179</v>
      </c>
      <c r="F299" s="4">
        <v>46192</v>
      </c>
      <c r="G299" s="5">
        <v>1675</v>
      </c>
      <c r="H299" s="5"/>
      <c r="I299" s="2" t="s">
        <v>42</v>
      </c>
      <c r="J299" s="2" t="s">
        <v>1541</v>
      </c>
      <c r="K299" t="s">
        <v>56</v>
      </c>
      <c r="L299" s="12">
        <f>MIS_Report!$B$2-F299</f>
        <v>118</v>
      </c>
      <c r="M299" t="str" cm="1">
        <f t="array" ref="M299">_xlfn.IFS(L299&lt;=30,"0-30",L299&lt;=60,"31-60",L299&lt;=90,"61-90",TRUE,"90+")</f>
        <v>90+</v>
      </c>
      <c r="N299">
        <f t="shared" si="9"/>
        <v>1675</v>
      </c>
      <c r="O299" t="str">
        <f>VLOOKUP(K299,Agents!$A$1:$C$11,2,0)</f>
        <v>Manish Arora</v>
      </c>
      <c r="P299">
        <f t="shared" si="8"/>
        <v>0</v>
      </c>
    </row>
    <row r="300" spans="1:16" x14ac:dyDescent="0.25">
      <c r="A300" s="2" t="s">
        <v>593</v>
      </c>
      <c r="B300" s="2" t="s">
        <v>594</v>
      </c>
      <c r="C300" s="2" t="s">
        <v>36</v>
      </c>
      <c r="D300" s="2" t="s">
        <v>55</v>
      </c>
      <c r="E300" s="4">
        <v>46187</v>
      </c>
      <c r="F300" s="4">
        <v>46193</v>
      </c>
      <c r="G300" s="5">
        <v>7450</v>
      </c>
      <c r="H300" s="5">
        <v>0</v>
      </c>
      <c r="I300" s="2" t="s">
        <v>31</v>
      </c>
      <c r="J300" s="2" t="s">
        <v>347</v>
      </c>
      <c r="K300" t="s">
        <v>83</v>
      </c>
      <c r="L300" s="12">
        <f>MIS_Report!$B$2-F300</f>
        <v>117</v>
      </c>
      <c r="M300" t="str" cm="1">
        <f t="array" ref="M300">_xlfn.IFS(L300&lt;=30,"0-30",L300&lt;=60,"31-60",L300&lt;=90,"61-90",TRUE,"90+")</f>
        <v>90+</v>
      </c>
      <c r="N300">
        <f t="shared" si="9"/>
        <v>0</v>
      </c>
      <c r="O300" t="str">
        <f>VLOOKUP(K300,Agents!$A$1:$C$11,2,0)</f>
        <v>Deepak Nair</v>
      </c>
      <c r="P300">
        <f t="shared" si="8"/>
        <v>7450</v>
      </c>
    </row>
    <row r="301" spans="1:16" x14ac:dyDescent="0.25">
      <c r="A301" s="2" t="s">
        <v>596</v>
      </c>
      <c r="B301" s="2" t="s">
        <v>206</v>
      </c>
      <c r="C301" s="2" t="s">
        <v>79</v>
      </c>
      <c r="D301" s="2" t="s">
        <v>55</v>
      </c>
      <c r="E301" s="4">
        <v>46138</v>
      </c>
      <c r="F301" s="4">
        <v>46150</v>
      </c>
      <c r="G301" s="5">
        <v>5400</v>
      </c>
      <c r="H301" s="5"/>
      <c r="I301" s="2" t="s">
        <v>42</v>
      </c>
      <c r="J301" s="2" t="s">
        <v>1541</v>
      </c>
      <c r="K301" t="s">
        <v>38</v>
      </c>
      <c r="L301" s="12">
        <f>MIS_Report!$B$2-F301</f>
        <v>160</v>
      </c>
      <c r="M301" t="str" cm="1">
        <f t="array" ref="M301">_xlfn.IFS(L301&lt;=30,"0-30",L301&lt;=60,"31-60",L301&lt;=90,"61-90",TRUE,"90+")</f>
        <v>90+</v>
      </c>
      <c r="N301">
        <f t="shared" si="9"/>
        <v>5400</v>
      </c>
      <c r="O301" t="str">
        <f>VLOOKUP(K301,Agents!$A$1:$C$11,2,0)</f>
        <v>Sunita Rao</v>
      </c>
      <c r="P301">
        <f t="shared" si="8"/>
        <v>0</v>
      </c>
    </row>
    <row r="302" spans="1:16" x14ac:dyDescent="0.25">
      <c r="A302" s="2" t="s">
        <v>597</v>
      </c>
      <c r="B302" s="2" t="s">
        <v>598</v>
      </c>
      <c r="C302" s="2" t="s">
        <v>29</v>
      </c>
      <c r="D302" s="2" t="s">
        <v>41</v>
      </c>
      <c r="E302" s="4">
        <v>46045</v>
      </c>
      <c r="F302" s="4">
        <v>46058</v>
      </c>
      <c r="G302" s="5">
        <v>1625</v>
      </c>
      <c r="H302" s="5"/>
      <c r="I302" s="2" t="s">
        <v>42</v>
      </c>
      <c r="J302" s="2" t="s">
        <v>1541</v>
      </c>
      <c r="K302" t="s">
        <v>43</v>
      </c>
      <c r="L302" s="12">
        <f>MIS_Report!$B$2-F302</f>
        <v>252</v>
      </c>
      <c r="M302" t="str" cm="1">
        <f t="array" ref="M302">_xlfn.IFS(L302&lt;=30,"0-30",L302&lt;=60,"31-60",L302&lt;=90,"61-90",TRUE,"90+")</f>
        <v>90+</v>
      </c>
      <c r="N302">
        <f t="shared" si="9"/>
        <v>1625</v>
      </c>
      <c r="O302" t="str">
        <f>VLOOKUP(K302,Agents!$A$1:$C$11,2,0)</f>
        <v>Manish Arora</v>
      </c>
      <c r="P302">
        <f t="shared" si="8"/>
        <v>0</v>
      </c>
    </row>
    <row r="303" spans="1:16" x14ac:dyDescent="0.25">
      <c r="A303" s="2" t="s">
        <v>599</v>
      </c>
      <c r="B303" s="2" t="s">
        <v>600</v>
      </c>
      <c r="C303" s="2" t="s">
        <v>29</v>
      </c>
      <c r="D303" s="2" t="s">
        <v>80</v>
      </c>
      <c r="E303" s="4">
        <v>46260</v>
      </c>
      <c r="F303" s="4">
        <v>46265</v>
      </c>
      <c r="G303" s="5">
        <v>3400</v>
      </c>
      <c r="H303" s="5"/>
      <c r="I303" s="2" t="s">
        <v>42</v>
      </c>
      <c r="J303" s="2" t="s">
        <v>1541</v>
      </c>
      <c r="K303" t="s">
        <v>83</v>
      </c>
      <c r="L303" s="12">
        <f>MIS_Report!$B$2-F303</f>
        <v>45</v>
      </c>
      <c r="M303" t="str" cm="1">
        <f t="array" ref="M303">_xlfn.IFS(L303&lt;=30,"0-30",L303&lt;=60,"31-60",L303&lt;=90,"61-90",TRUE,"90+")</f>
        <v>31-60</v>
      </c>
      <c r="N303">
        <f t="shared" si="9"/>
        <v>3400</v>
      </c>
      <c r="O303" t="str">
        <f>VLOOKUP(K303,Agents!$A$1:$C$11,2,0)</f>
        <v>Deepak Nair</v>
      </c>
      <c r="P303">
        <f t="shared" si="8"/>
        <v>0</v>
      </c>
    </row>
    <row r="304" spans="1:16" x14ac:dyDescent="0.25">
      <c r="A304" s="2" t="s">
        <v>601</v>
      </c>
      <c r="B304" s="2" t="s">
        <v>102</v>
      </c>
      <c r="C304" s="2" t="s">
        <v>36</v>
      </c>
      <c r="D304" s="2" t="s">
        <v>41</v>
      </c>
      <c r="E304" s="4">
        <v>46268</v>
      </c>
      <c r="F304" s="4">
        <v>46279</v>
      </c>
      <c r="G304" s="5">
        <v>14150</v>
      </c>
      <c r="H304" s="5"/>
      <c r="I304" s="2" t="s">
        <v>42</v>
      </c>
      <c r="J304" s="2" t="s">
        <v>1541</v>
      </c>
      <c r="K304" t="s">
        <v>56</v>
      </c>
      <c r="L304" s="12">
        <f>MIS_Report!$B$2-F304</f>
        <v>31</v>
      </c>
      <c r="M304" t="str" cm="1">
        <f t="array" ref="M304">_xlfn.IFS(L304&lt;=30,"0-30",L304&lt;=60,"31-60",L304&lt;=90,"61-90",TRUE,"90+")</f>
        <v>31-60</v>
      </c>
      <c r="N304">
        <f t="shared" si="9"/>
        <v>14150</v>
      </c>
      <c r="O304" t="str">
        <f>VLOOKUP(K304,Agents!$A$1:$C$11,2,0)</f>
        <v>Manish Arora</v>
      </c>
      <c r="P304">
        <f t="shared" si="8"/>
        <v>0</v>
      </c>
    </row>
    <row r="305" spans="1:16" x14ac:dyDescent="0.25">
      <c r="A305" s="2" t="s">
        <v>602</v>
      </c>
      <c r="B305" s="2" t="s">
        <v>138</v>
      </c>
      <c r="C305" s="2" t="s">
        <v>46</v>
      </c>
      <c r="D305" s="2" t="s">
        <v>61</v>
      </c>
      <c r="E305" s="4">
        <v>46091</v>
      </c>
      <c r="F305" s="4">
        <v>46099</v>
      </c>
      <c r="G305" s="5">
        <v>14400</v>
      </c>
      <c r="H305" s="5"/>
      <c r="I305" s="2" t="s">
        <v>42</v>
      </c>
      <c r="J305" s="2" t="s">
        <v>1541</v>
      </c>
      <c r="K305" t="s">
        <v>56</v>
      </c>
      <c r="L305" s="12">
        <f>MIS_Report!$B$2-F305</f>
        <v>211</v>
      </c>
      <c r="M305" t="str" cm="1">
        <f t="array" ref="M305">_xlfn.IFS(L305&lt;=30,"0-30",L305&lt;=60,"31-60",L305&lt;=90,"61-90",TRUE,"90+")</f>
        <v>90+</v>
      </c>
      <c r="N305">
        <f t="shared" si="9"/>
        <v>14400</v>
      </c>
      <c r="O305" t="str">
        <f>VLOOKUP(K305,Agents!$A$1:$C$11,2,0)</f>
        <v>Manish Arora</v>
      </c>
      <c r="P305">
        <f t="shared" si="8"/>
        <v>0</v>
      </c>
    </row>
    <row r="306" spans="1:16" x14ac:dyDescent="0.25">
      <c r="A306" s="2" t="s">
        <v>603</v>
      </c>
      <c r="B306" s="2" t="s">
        <v>604</v>
      </c>
      <c r="C306" s="2" t="s">
        <v>46</v>
      </c>
      <c r="D306" s="2" t="s">
        <v>94</v>
      </c>
      <c r="E306" s="4">
        <v>46035</v>
      </c>
      <c r="F306" s="4">
        <v>46052</v>
      </c>
      <c r="G306" s="5">
        <v>1850</v>
      </c>
      <c r="H306" s="5">
        <v>1412.81</v>
      </c>
      <c r="I306" s="2" t="s">
        <v>37</v>
      </c>
      <c r="J306" s="2" t="s">
        <v>1541</v>
      </c>
      <c r="K306" t="s">
        <v>56</v>
      </c>
      <c r="L306" s="12">
        <f>MIS_Report!$B$2-F306</f>
        <v>258</v>
      </c>
      <c r="M306" t="str" cm="1">
        <f t="array" ref="M306">_xlfn.IFS(L306&lt;=30,"0-30",L306&lt;=60,"31-60",L306&lt;=90,"61-90",TRUE,"90+")</f>
        <v>90+</v>
      </c>
      <c r="N306">
        <f t="shared" si="9"/>
        <v>0</v>
      </c>
      <c r="O306" t="str">
        <f>VLOOKUP(K306,Agents!$A$1:$C$11,2,0)</f>
        <v>Manish Arora</v>
      </c>
      <c r="P306">
        <f t="shared" si="8"/>
        <v>0</v>
      </c>
    </row>
    <row r="307" spans="1:16" x14ac:dyDescent="0.25">
      <c r="A307" s="2" t="s">
        <v>605</v>
      </c>
      <c r="B307" s="2" t="s">
        <v>496</v>
      </c>
      <c r="C307" s="2" t="s">
        <v>29</v>
      </c>
      <c r="D307" s="2" t="s">
        <v>30</v>
      </c>
      <c r="E307" s="4">
        <v>46056</v>
      </c>
      <c r="F307" s="4">
        <v>46059</v>
      </c>
      <c r="G307" s="5">
        <v>7175</v>
      </c>
      <c r="H307" s="5">
        <v>6750.18</v>
      </c>
      <c r="I307" s="2" t="s">
        <v>37</v>
      </c>
      <c r="J307" s="2" t="s">
        <v>1541</v>
      </c>
      <c r="K307" t="s">
        <v>43</v>
      </c>
      <c r="L307" s="12">
        <f>MIS_Report!$B$2-F307</f>
        <v>251</v>
      </c>
      <c r="M307" t="str" cm="1">
        <f t="array" ref="M307">_xlfn.IFS(L307&lt;=30,"0-30",L307&lt;=60,"31-60",L307&lt;=90,"61-90",TRUE,"90+")</f>
        <v>90+</v>
      </c>
      <c r="N307">
        <f t="shared" si="9"/>
        <v>0</v>
      </c>
      <c r="O307" t="str">
        <f>VLOOKUP(K307,Agents!$A$1:$C$11,2,0)</f>
        <v>Manish Arora</v>
      </c>
      <c r="P307">
        <f t="shared" si="8"/>
        <v>0</v>
      </c>
    </row>
    <row r="308" spans="1:16" x14ac:dyDescent="0.25">
      <c r="A308" s="2" t="s">
        <v>606</v>
      </c>
      <c r="B308" s="2" t="s">
        <v>431</v>
      </c>
      <c r="C308" s="2" t="s">
        <v>29</v>
      </c>
      <c r="D308" s="2" t="s">
        <v>55</v>
      </c>
      <c r="E308" s="4">
        <v>46219</v>
      </c>
      <c r="F308" s="4">
        <v>46229</v>
      </c>
      <c r="G308" s="5">
        <v>10750</v>
      </c>
      <c r="H308" s="5">
        <v>6534.46</v>
      </c>
      <c r="I308" s="2" t="s">
        <v>37</v>
      </c>
      <c r="J308" s="2" t="s">
        <v>1541</v>
      </c>
      <c r="K308" t="s">
        <v>38</v>
      </c>
      <c r="L308" s="12">
        <f>MIS_Report!$B$2-F308</f>
        <v>81</v>
      </c>
      <c r="M308" t="str" cm="1">
        <f t="array" ref="M308">_xlfn.IFS(L308&lt;=30,"0-30",L308&lt;=60,"31-60",L308&lt;=90,"61-90",TRUE,"90+")</f>
        <v>61-90</v>
      </c>
      <c r="N308">
        <f t="shared" si="9"/>
        <v>0</v>
      </c>
      <c r="O308" t="str">
        <f>VLOOKUP(K308,Agents!$A$1:$C$11,2,0)</f>
        <v>Sunita Rao</v>
      </c>
      <c r="P308">
        <f t="shared" si="8"/>
        <v>0</v>
      </c>
    </row>
    <row r="309" spans="1:16" x14ac:dyDescent="0.25">
      <c r="A309" s="2" t="s">
        <v>607</v>
      </c>
      <c r="B309" s="2" t="s">
        <v>549</v>
      </c>
      <c r="C309" s="2" t="s">
        <v>29</v>
      </c>
      <c r="D309" s="2" t="s">
        <v>71</v>
      </c>
      <c r="E309" s="4">
        <v>46045</v>
      </c>
      <c r="F309" s="4">
        <v>46060</v>
      </c>
      <c r="G309" s="5">
        <v>12275</v>
      </c>
      <c r="H309" s="5">
        <v>8105.64</v>
      </c>
      <c r="I309" s="2" t="s">
        <v>37</v>
      </c>
      <c r="J309" s="2" t="s">
        <v>1541</v>
      </c>
      <c r="K309" t="s">
        <v>52</v>
      </c>
      <c r="L309" s="12">
        <f>MIS_Report!$B$2-F309</f>
        <v>250</v>
      </c>
      <c r="M309" t="str" cm="1">
        <f t="array" ref="M309">_xlfn.IFS(L309&lt;=30,"0-30",L309&lt;=60,"31-60",L309&lt;=90,"61-90",TRUE,"90+")</f>
        <v>90+</v>
      </c>
      <c r="N309">
        <f t="shared" si="9"/>
        <v>0</v>
      </c>
      <c r="O309" t="str">
        <f>VLOOKUP(K309,Agents!$A$1:$C$11,2,0)</f>
        <v>Sunita Rao</v>
      </c>
      <c r="P309">
        <f t="shared" si="8"/>
        <v>0</v>
      </c>
    </row>
    <row r="310" spans="1:16" x14ac:dyDescent="0.25">
      <c r="A310" s="2" t="s">
        <v>608</v>
      </c>
      <c r="B310" s="2" t="s">
        <v>609</v>
      </c>
      <c r="C310" s="2" t="s">
        <v>29</v>
      </c>
      <c r="D310" s="2" t="s">
        <v>68</v>
      </c>
      <c r="E310" s="4">
        <v>46071</v>
      </c>
      <c r="F310" s="4">
        <v>46084</v>
      </c>
      <c r="G310" s="5">
        <v>8075</v>
      </c>
      <c r="H310" s="5">
        <v>0</v>
      </c>
      <c r="I310" s="2" t="s">
        <v>31</v>
      </c>
      <c r="J310" s="2" t="s">
        <v>271</v>
      </c>
      <c r="K310" t="s">
        <v>43</v>
      </c>
      <c r="L310" s="12">
        <f>MIS_Report!$B$2-F310</f>
        <v>226</v>
      </c>
      <c r="M310" t="str" cm="1">
        <f t="array" ref="M310">_xlfn.IFS(L310&lt;=30,"0-30",L310&lt;=60,"31-60",L310&lt;=90,"61-90",TRUE,"90+")</f>
        <v>90+</v>
      </c>
      <c r="N310">
        <f t="shared" si="9"/>
        <v>0</v>
      </c>
      <c r="O310" t="str">
        <f>VLOOKUP(K310,Agents!$A$1:$C$11,2,0)</f>
        <v>Manish Arora</v>
      </c>
      <c r="P310">
        <f t="shared" si="8"/>
        <v>8075</v>
      </c>
    </row>
    <row r="311" spans="1:16" x14ac:dyDescent="0.25">
      <c r="A311" s="2" t="s">
        <v>610</v>
      </c>
      <c r="B311" s="2" t="s">
        <v>611</v>
      </c>
      <c r="C311" s="2" t="s">
        <v>79</v>
      </c>
      <c r="D311" s="2" t="s">
        <v>55</v>
      </c>
      <c r="E311" s="4">
        <v>46150</v>
      </c>
      <c r="F311" s="4">
        <v>46154</v>
      </c>
      <c r="G311" s="5">
        <v>2650</v>
      </c>
      <c r="H311" s="5">
        <v>1893.71</v>
      </c>
      <c r="I311" s="2" t="s">
        <v>37</v>
      </c>
      <c r="J311" s="2" t="s">
        <v>1541</v>
      </c>
      <c r="K311" t="s">
        <v>52</v>
      </c>
      <c r="L311" s="12">
        <f>MIS_Report!$B$2-F311</f>
        <v>156</v>
      </c>
      <c r="M311" t="str" cm="1">
        <f t="array" ref="M311">_xlfn.IFS(L311&lt;=30,"0-30",L311&lt;=60,"31-60",L311&lt;=90,"61-90",TRUE,"90+")</f>
        <v>90+</v>
      </c>
      <c r="N311">
        <f t="shared" si="9"/>
        <v>0</v>
      </c>
      <c r="O311" t="str">
        <f>VLOOKUP(K311,Agents!$A$1:$C$11,2,0)</f>
        <v>Sunita Rao</v>
      </c>
      <c r="P311">
        <f t="shared" si="8"/>
        <v>0</v>
      </c>
    </row>
    <row r="312" spans="1:16" x14ac:dyDescent="0.25">
      <c r="A312" s="2" t="s">
        <v>612</v>
      </c>
      <c r="B312" s="2" t="s">
        <v>613</v>
      </c>
      <c r="C312" s="2" t="s">
        <v>36</v>
      </c>
      <c r="D312" s="2" t="s">
        <v>55</v>
      </c>
      <c r="E312" s="4">
        <v>46128</v>
      </c>
      <c r="F312" s="4">
        <v>46131</v>
      </c>
      <c r="G312" s="5">
        <v>10825</v>
      </c>
      <c r="H312" s="5"/>
      <c r="I312" s="2" t="s">
        <v>42</v>
      </c>
      <c r="J312" s="2" t="s">
        <v>1541</v>
      </c>
      <c r="K312" t="s">
        <v>65</v>
      </c>
      <c r="L312" s="12">
        <f>MIS_Report!$B$2-F312</f>
        <v>179</v>
      </c>
      <c r="M312" t="str" cm="1">
        <f t="array" ref="M312">_xlfn.IFS(L312&lt;=30,"0-30",L312&lt;=60,"31-60",L312&lt;=90,"61-90",TRUE,"90+")</f>
        <v>90+</v>
      </c>
      <c r="N312">
        <f t="shared" si="9"/>
        <v>10825</v>
      </c>
      <c r="O312" t="str">
        <f>VLOOKUP(K312,Agents!$A$1:$C$11,2,0)</f>
        <v>Deepak Nair</v>
      </c>
      <c r="P312">
        <f t="shared" si="8"/>
        <v>0</v>
      </c>
    </row>
    <row r="313" spans="1:16" x14ac:dyDescent="0.25">
      <c r="A313" s="2" t="s">
        <v>614</v>
      </c>
      <c r="B313" s="2" t="s">
        <v>615</v>
      </c>
      <c r="C313" s="2" t="s">
        <v>29</v>
      </c>
      <c r="D313" s="2" t="s">
        <v>94</v>
      </c>
      <c r="E313" s="4">
        <v>46240</v>
      </c>
      <c r="F313" s="4">
        <v>46255</v>
      </c>
      <c r="G313" s="5">
        <v>13200</v>
      </c>
      <c r="H313" s="5"/>
      <c r="I313" s="2" t="s">
        <v>42</v>
      </c>
      <c r="J313" s="2" t="s">
        <v>1541</v>
      </c>
      <c r="K313" t="s">
        <v>48</v>
      </c>
      <c r="L313" s="12">
        <f>MIS_Report!$B$2-F313</f>
        <v>55</v>
      </c>
      <c r="M313" t="str" cm="1">
        <f t="array" ref="M313">_xlfn.IFS(L313&lt;=30,"0-30",L313&lt;=60,"31-60",L313&lt;=90,"61-90",TRUE,"90+")</f>
        <v>31-60</v>
      </c>
      <c r="N313">
        <f t="shared" si="9"/>
        <v>13200</v>
      </c>
      <c r="O313" t="str">
        <f>VLOOKUP(K313,Agents!$A$1:$C$11,2,0)</f>
        <v>Manish Arora</v>
      </c>
      <c r="P313">
        <f t="shared" si="8"/>
        <v>0</v>
      </c>
    </row>
    <row r="314" spans="1:16" x14ac:dyDescent="0.25">
      <c r="A314" s="2" t="s">
        <v>616</v>
      </c>
      <c r="B314" s="2" t="s">
        <v>617</v>
      </c>
      <c r="C314" s="2" t="s">
        <v>29</v>
      </c>
      <c r="D314" s="2" t="s">
        <v>55</v>
      </c>
      <c r="E314" s="4">
        <v>46127</v>
      </c>
      <c r="F314" s="4">
        <v>46139</v>
      </c>
      <c r="G314" s="5">
        <v>6150</v>
      </c>
      <c r="H314" s="5">
        <v>0</v>
      </c>
      <c r="I314" s="2" t="s">
        <v>31</v>
      </c>
      <c r="J314" s="2" t="s">
        <v>271</v>
      </c>
      <c r="K314" t="s">
        <v>62</v>
      </c>
      <c r="L314" s="12">
        <f>MIS_Report!$B$2-F314</f>
        <v>171</v>
      </c>
      <c r="M314" t="str" cm="1">
        <f t="array" ref="M314">_xlfn.IFS(L314&lt;=30,"0-30",L314&lt;=60,"31-60",L314&lt;=90,"61-90",TRUE,"90+")</f>
        <v>90+</v>
      </c>
      <c r="N314">
        <f t="shared" si="9"/>
        <v>0</v>
      </c>
      <c r="O314" t="str">
        <f>VLOOKUP(K314,Agents!$A$1:$C$11,2,0)</f>
        <v>Sunita Rao</v>
      </c>
      <c r="P314">
        <f t="shared" si="8"/>
        <v>6150</v>
      </c>
    </row>
    <row r="315" spans="1:16" x14ac:dyDescent="0.25">
      <c r="A315" s="2" t="s">
        <v>618</v>
      </c>
      <c r="B315" s="2" t="s">
        <v>619</v>
      </c>
      <c r="C315" s="2" t="s">
        <v>36</v>
      </c>
      <c r="D315" s="2" t="s">
        <v>80</v>
      </c>
      <c r="E315" s="4">
        <v>46133</v>
      </c>
      <c r="F315" s="4">
        <v>46138</v>
      </c>
      <c r="G315" s="5">
        <v>14100</v>
      </c>
      <c r="H315" s="5">
        <v>11328.98</v>
      </c>
      <c r="I315" s="2" t="s">
        <v>37</v>
      </c>
      <c r="J315" s="2" t="s">
        <v>1541</v>
      </c>
      <c r="K315" t="s">
        <v>52</v>
      </c>
      <c r="L315" s="12">
        <f>MIS_Report!$B$2-F315</f>
        <v>172</v>
      </c>
      <c r="M315" t="str" cm="1">
        <f t="array" ref="M315">_xlfn.IFS(L315&lt;=30,"0-30",L315&lt;=60,"31-60",L315&lt;=90,"61-90",TRUE,"90+")</f>
        <v>90+</v>
      </c>
      <c r="N315">
        <f t="shared" si="9"/>
        <v>0</v>
      </c>
      <c r="O315" t="str">
        <f>VLOOKUP(K315,Agents!$A$1:$C$11,2,0)</f>
        <v>Sunita Rao</v>
      </c>
      <c r="P315">
        <f t="shared" si="8"/>
        <v>0</v>
      </c>
    </row>
    <row r="316" spans="1:16" x14ac:dyDescent="0.25">
      <c r="A316" s="2" t="s">
        <v>620</v>
      </c>
      <c r="B316" s="2" t="s">
        <v>212</v>
      </c>
      <c r="C316" s="2" t="s">
        <v>29</v>
      </c>
      <c r="D316" s="2" t="s">
        <v>61</v>
      </c>
      <c r="E316" s="4">
        <v>46230</v>
      </c>
      <c r="F316" s="4">
        <v>46241</v>
      </c>
      <c r="G316" s="5">
        <v>2600</v>
      </c>
      <c r="H316" s="5"/>
      <c r="I316" s="2" t="s">
        <v>42</v>
      </c>
      <c r="J316" s="2" t="s">
        <v>1541</v>
      </c>
      <c r="K316" t="s">
        <v>43</v>
      </c>
      <c r="L316" s="12">
        <f>MIS_Report!$B$2-F316</f>
        <v>69</v>
      </c>
      <c r="M316" t="str" cm="1">
        <f t="array" ref="M316">_xlfn.IFS(L316&lt;=30,"0-30",L316&lt;=60,"31-60",L316&lt;=90,"61-90",TRUE,"90+")</f>
        <v>61-90</v>
      </c>
      <c r="N316">
        <f t="shared" si="9"/>
        <v>2600</v>
      </c>
      <c r="O316" t="str">
        <f>VLOOKUP(K316,Agents!$A$1:$C$11,2,0)</f>
        <v>Manish Arora</v>
      </c>
      <c r="P316">
        <f t="shared" si="8"/>
        <v>0</v>
      </c>
    </row>
    <row r="317" spans="1:16" x14ac:dyDescent="0.25">
      <c r="A317" s="2" t="s">
        <v>621</v>
      </c>
      <c r="B317" s="2" t="s">
        <v>278</v>
      </c>
      <c r="C317" s="2" t="s">
        <v>79</v>
      </c>
      <c r="D317" s="2" t="s">
        <v>80</v>
      </c>
      <c r="E317" s="4">
        <v>46241</v>
      </c>
      <c r="F317" s="4">
        <v>46245</v>
      </c>
      <c r="G317" s="5">
        <v>13050</v>
      </c>
      <c r="H317" s="5"/>
      <c r="I317" s="2" t="s">
        <v>42</v>
      </c>
      <c r="J317" s="2" t="s">
        <v>1541</v>
      </c>
      <c r="K317" t="s">
        <v>38</v>
      </c>
      <c r="L317" s="12">
        <f>MIS_Report!$B$2-F317</f>
        <v>65</v>
      </c>
      <c r="M317" t="str" cm="1">
        <f t="array" ref="M317">_xlfn.IFS(L317&lt;=30,"0-30",L317&lt;=60,"31-60",L317&lt;=90,"61-90",TRUE,"90+")</f>
        <v>61-90</v>
      </c>
      <c r="N317">
        <f t="shared" si="9"/>
        <v>13050</v>
      </c>
      <c r="O317" t="str">
        <f>VLOOKUP(K317,Agents!$A$1:$C$11,2,0)</f>
        <v>Sunita Rao</v>
      </c>
      <c r="P317">
        <f t="shared" si="8"/>
        <v>0</v>
      </c>
    </row>
    <row r="318" spans="1:16" x14ac:dyDescent="0.25">
      <c r="A318" s="2" t="s">
        <v>622</v>
      </c>
      <c r="B318" s="2" t="s">
        <v>142</v>
      </c>
      <c r="C318" s="2" t="s">
        <v>29</v>
      </c>
      <c r="D318" s="2" t="s">
        <v>30</v>
      </c>
      <c r="E318" s="4">
        <v>46044</v>
      </c>
      <c r="F318" s="4">
        <v>46057</v>
      </c>
      <c r="G318" s="5">
        <v>9625</v>
      </c>
      <c r="H318" s="5">
        <v>8348.2199999999993</v>
      </c>
      <c r="I318" s="2" t="s">
        <v>37</v>
      </c>
      <c r="J318" s="2" t="s">
        <v>1541</v>
      </c>
      <c r="K318" t="s">
        <v>56</v>
      </c>
      <c r="L318" s="12">
        <f>MIS_Report!$B$2-F318</f>
        <v>253</v>
      </c>
      <c r="M318" t="str" cm="1">
        <f t="array" ref="M318">_xlfn.IFS(L318&lt;=30,"0-30",L318&lt;=60,"31-60",L318&lt;=90,"61-90",TRUE,"90+")</f>
        <v>90+</v>
      </c>
      <c r="N318">
        <f t="shared" si="9"/>
        <v>0</v>
      </c>
      <c r="O318" t="str">
        <f>VLOOKUP(K318,Agents!$A$1:$C$11,2,0)</f>
        <v>Manish Arora</v>
      </c>
      <c r="P318">
        <f t="shared" si="8"/>
        <v>0</v>
      </c>
    </row>
    <row r="319" spans="1:16" x14ac:dyDescent="0.25">
      <c r="A319" s="2" t="s">
        <v>623</v>
      </c>
      <c r="B319" s="2" t="s">
        <v>318</v>
      </c>
      <c r="C319" s="2" t="s">
        <v>46</v>
      </c>
      <c r="D319" s="2" t="s">
        <v>30</v>
      </c>
      <c r="E319" s="4">
        <v>46079</v>
      </c>
      <c r="F319" s="4">
        <v>46092</v>
      </c>
      <c r="G319" s="5">
        <v>13325</v>
      </c>
      <c r="H319" s="5"/>
      <c r="I319" s="2" t="s">
        <v>42</v>
      </c>
      <c r="J319" s="2" t="s">
        <v>1541</v>
      </c>
      <c r="K319" t="s">
        <v>65</v>
      </c>
      <c r="L319" s="12">
        <f>MIS_Report!$B$2-F319</f>
        <v>218</v>
      </c>
      <c r="M319" t="str" cm="1">
        <f t="array" ref="M319">_xlfn.IFS(L319&lt;=30,"0-30",L319&lt;=60,"31-60",L319&lt;=90,"61-90",TRUE,"90+")</f>
        <v>90+</v>
      </c>
      <c r="N319">
        <f t="shared" si="9"/>
        <v>13325</v>
      </c>
      <c r="O319" t="str">
        <f>VLOOKUP(K319,Agents!$A$1:$C$11,2,0)</f>
        <v>Deepak Nair</v>
      </c>
      <c r="P319">
        <f t="shared" si="8"/>
        <v>0</v>
      </c>
    </row>
    <row r="320" spans="1:16" x14ac:dyDescent="0.25">
      <c r="A320" s="2" t="s">
        <v>624</v>
      </c>
      <c r="B320" s="2" t="s">
        <v>136</v>
      </c>
      <c r="C320" s="2" t="s">
        <v>79</v>
      </c>
      <c r="D320" s="2" t="s">
        <v>41</v>
      </c>
      <c r="E320" s="4">
        <v>46182</v>
      </c>
      <c r="F320" s="4">
        <v>46190</v>
      </c>
      <c r="G320" s="5">
        <v>12950</v>
      </c>
      <c r="H320" s="5">
        <v>11819.63</v>
      </c>
      <c r="I320" s="2" t="s">
        <v>37</v>
      </c>
      <c r="J320" s="2" t="s">
        <v>1541</v>
      </c>
      <c r="K320" t="s">
        <v>56</v>
      </c>
      <c r="L320" s="12">
        <f>MIS_Report!$B$2-F320</f>
        <v>120</v>
      </c>
      <c r="M320" t="str" cm="1">
        <f t="array" ref="M320">_xlfn.IFS(L320&lt;=30,"0-30",L320&lt;=60,"31-60",L320&lt;=90,"61-90",TRUE,"90+")</f>
        <v>90+</v>
      </c>
      <c r="N320">
        <f t="shared" si="9"/>
        <v>0</v>
      </c>
      <c r="O320" t="str">
        <f>VLOOKUP(K320,Agents!$A$1:$C$11,2,0)</f>
        <v>Manish Arora</v>
      </c>
      <c r="P320">
        <f t="shared" si="8"/>
        <v>0</v>
      </c>
    </row>
    <row r="321" spans="1:16" x14ac:dyDescent="0.25">
      <c r="A321" s="2" t="s">
        <v>625</v>
      </c>
      <c r="B321" s="2" t="s">
        <v>104</v>
      </c>
      <c r="C321" s="2" t="s">
        <v>36</v>
      </c>
      <c r="D321" s="2" t="s">
        <v>94</v>
      </c>
      <c r="E321" s="4">
        <v>46241</v>
      </c>
      <c r="F321" s="4">
        <v>46258</v>
      </c>
      <c r="G321" s="5">
        <v>13850</v>
      </c>
      <c r="H321" s="5"/>
      <c r="I321" s="2" t="s">
        <v>42</v>
      </c>
      <c r="J321" s="2" t="s">
        <v>1541</v>
      </c>
      <c r="K321" t="s">
        <v>52</v>
      </c>
      <c r="L321" s="12">
        <f>MIS_Report!$B$2-F321</f>
        <v>52</v>
      </c>
      <c r="M321" t="str" cm="1">
        <f t="array" ref="M321">_xlfn.IFS(L321&lt;=30,"0-30",L321&lt;=60,"31-60",L321&lt;=90,"61-90",TRUE,"90+")</f>
        <v>31-60</v>
      </c>
      <c r="N321">
        <f t="shared" si="9"/>
        <v>13850</v>
      </c>
      <c r="O321" t="str">
        <f>VLOOKUP(K321,Agents!$A$1:$C$11,2,0)</f>
        <v>Sunita Rao</v>
      </c>
      <c r="P321">
        <f t="shared" si="8"/>
        <v>0</v>
      </c>
    </row>
    <row r="322" spans="1:16" x14ac:dyDescent="0.25">
      <c r="A322" s="2" t="s">
        <v>626</v>
      </c>
      <c r="B322" s="2" t="s">
        <v>206</v>
      </c>
      <c r="C322" s="2" t="s">
        <v>79</v>
      </c>
      <c r="D322" s="2" t="s">
        <v>55</v>
      </c>
      <c r="E322" s="4">
        <v>46240</v>
      </c>
      <c r="F322" s="4">
        <v>46244</v>
      </c>
      <c r="G322" s="5">
        <v>2225</v>
      </c>
      <c r="H322" s="5">
        <v>1392.15</v>
      </c>
      <c r="I322" s="2" t="s">
        <v>37</v>
      </c>
      <c r="J322" s="2" t="s">
        <v>1541</v>
      </c>
      <c r="K322" t="s">
        <v>62</v>
      </c>
      <c r="L322" s="12">
        <f>MIS_Report!$B$2-F322</f>
        <v>66</v>
      </c>
      <c r="M322" t="str" cm="1">
        <f t="array" ref="M322">_xlfn.IFS(L322&lt;=30,"0-30",L322&lt;=60,"31-60",L322&lt;=90,"61-90",TRUE,"90+")</f>
        <v>61-90</v>
      </c>
      <c r="N322">
        <f t="shared" si="9"/>
        <v>0</v>
      </c>
      <c r="O322" t="str">
        <f>VLOOKUP(K322,Agents!$A$1:$C$11,2,0)</f>
        <v>Sunita Rao</v>
      </c>
      <c r="P322">
        <f t="shared" si="8"/>
        <v>0</v>
      </c>
    </row>
    <row r="323" spans="1:16" x14ac:dyDescent="0.25">
      <c r="A323" s="2" t="s">
        <v>627</v>
      </c>
      <c r="B323" s="2" t="s">
        <v>183</v>
      </c>
      <c r="C323" s="2" t="s">
        <v>79</v>
      </c>
      <c r="D323" s="2" t="s">
        <v>80</v>
      </c>
      <c r="E323" s="4">
        <v>46083</v>
      </c>
      <c r="F323" s="4">
        <v>46097</v>
      </c>
      <c r="G323" s="5">
        <v>14050</v>
      </c>
      <c r="H323" s="5">
        <v>10242.68</v>
      </c>
      <c r="I323" s="2" t="s">
        <v>37</v>
      </c>
      <c r="J323" s="2" t="s">
        <v>1541</v>
      </c>
      <c r="K323" t="s">
        <v>109</v>
      </c>
      <c r="L323" s="12">
        <f>MIS_Report!$B$2-F323</f>
        <v>213</v>
      </c>
      <c r="M323" t="str" cm="1">
        <f t="array" ref="M323">_xlfn.IFS(L323&lt;=30,"0-30",L323&lt;=60,"31-60",L323&lt;=90,"61-90",TRUE,"90+")</f>
        <v>90+</v>
      </c>
      <c r="N323">
        <f t="shared" si="9"/>
        <v>0</v>
      </c>
      <c r="O323" t="str">
        <f>VLOOKUP(K323,Agents!$A$1:$C$11,2,0)</f>
        <v>Deepak Nair</v>
      </c>
      <c r="P323">
        <f t="shared" ref="P323:P386" si="10">IF(I323="Denied",G323,0)</f>
        <v>0</v>
      </c>
    </row>
    <row r="324" spans="1:16" x14ac:dyDescent="0.25">
      <c r="A324" s="2" t="s">
        <v>628</v>
      </c>
      <c r="B324" s="2" t="s">
        <v>629</v>
      </c>
      <c r="C324" s="2" t="s">
        <v>79</v>
      </c>
      <c r="D324" s="2" t="s">
        <v>61</v>
      </c>
      <c r="E324" s="4">
        <v>46141</v>
      </c>
      <c r="F324" s="4">
        <v>46150</v>
      </c>
      <c r="G324" s="5">
        <v>4850</v>
      </c>
      <c r="H324" s="5">
        <v>0</v>
      </c>
      <c r="I324" s="2" t="s">
        <v>31</v>
      </c>
      <c r="J324" s="2" t="s">
        <v>47</v>
      </c>
      <c r="K324" t="s">
        <v>65</v>
      </c>
      <c r="L324" s="12">
        <f>MIS_Report!$B$2-F324</f>
        <v>160</v>
      </c>
      <c r="M324" t="str" cm="1">
        <f t="array" ref="M324">_xlfn.IFS(L324&lt;=30,"0-30",L324&lt;=60,"31-60",L324&lt;=90,"61-90",TRUE,"90+")</f>
        <v>90+</v>
      </c>
      <c r="N324">
        <f t="shared" si="9"/>
        <v>0</v>
      </c>
      <c r="O324" t="str">
        <f>VLOOKUP(K324,Agents!$A$1:$C$11,2,0)</f>
        <v>Deepak Nair</v>
      </c>
      <c r="P324">
        <f t="shared" si="10"/>
        <v>4850</v>
      </c>
    </row>
    <row r="325" spans="1:16" x14ac:dyDescent="0.25">
      <c r="A325" s="2" t="s">
        <v>630</v>
      </c>
      <c r="B325" s="2" t="s">
        <v>631</v>
      </c>
      <c r="C325" s="2" t="s">
        <v>46</v>
      </c>
      <c r="D325" s="2" t="s">
        <v>68</v>
      </c>
      <c r="E325" s="4">
        <v>46049</v>
      </c>
      <c r="F325" s="4">
        <v>46052</v>
      </c>
      <c r="G325" s="5">
        <v>7750</v>
      </c>
      <c r="H325" s="5"/>
      <c r="I325" s="2" t="s">
        <v>42</v>
      </c>
      <c r="J325" s="2" t="s">
        <v>1541</v>
      </c>
      <c r="K325" t="s">
        <v>52</v>
      </c>
      <c r="L325" s="12">
        <f>MIS_Report!$B$2-F325</f>
        <v>258</v>
      </c>
      <c r="M325" t="str" cm="1">
        <f t="array" ref="M325">_xlfn.IFS(L325&lt;=30,"0-30",L325&lt;=60,"31-60",L325&lt;=90,"61-90",TRUE,"90+")</f>
        <v>90+</v>
      </c>
      <c r="N325">
        <f t="shared" ref="N325:N388" si="11">IF(I325="Pending",G325-H325,0)</f>
        <v>7750</v>
      </c>
      <c r="O325" t="str">
        <f>VLOOKUP(K325,Agents!$A$1:$C$11,2,0)</f>
        <v>Sunita Rao</v>
      </c>
      <c r="P325">
        <f t="shared" si="10"/>
        <v>0</v>
      </c>
    </row>
    <row r="326" spans="1:16" x14ac:dyDescent="0.25">
      <c r="A326" s="2" t="s">
        <v>632</v>
      </c>
      <c r="B326" s="2" t="s">
        <v>560</v>
      </c>
      <c r="C326" s="2" t="s">
        <v>46</v>
      </c>
      <c r="D326" s="2" t="s">
        <v>61</v>
      </c>
      <c r="E326" s="4">
        <v>46116</v>
      </c>
      <c r="F326" s="4">
        <v>46134</v>
      </c>
      <c r="G326" s="5">
        <v>8325</v>
      </c>
      <c r="H326" s="5">
        <v>0</v>
      </c>
      <c r="I326" s="2" t="s">
        <v>31</v>
      </c>
      <c r="J326" s="2" t="s">
        <v>271</v>
      </c>
      <c r="K326" t="s">
        <v>43</v>
      </c>
      <c r="L326" s="12">
        <f>MIS_Report!$B$2-F326</f>
        <v>176</v>
      </c>
      <c r="M326" t="str" cm="1">
        <f t="array" ref="M326">_xlfn.IFS(L326&lt;=30,"0-30",L326&lt;=60,"31-60",L326&lt;=90,"61-90",TRUE,"90+")</f>
        <v>90+</v>
      </c>
      <c r="N326">
        <f t="shared" si="11"/>
        <v>0</v>
      </c>
      <c r="O326" t="str">
        <f>VLOOKUP(K326,Agents!$A$1:$C$11,2,0)</f>
        <v>Manish Arora</v>
      </c>
      <c r="P326">
        <f t="shared" si="10"/>
        <v>8325</v>
      </c>
    </row>
    <row r="327" spans="1:16" x14ac:dyDescent="0.25">
      <c r="A327" s="2" t="s">
        <v>633</v>
      </c>
      <c r="B327" s="2" t="s">
        <v>634</v>
      </c>
      <c r="C327" s="2" t="s">
        <v>79</v>
      </c>
      <c r="D327" s="2" t="s">
        <v>55</v>
      </c>
      <c r="E327" s="4">
        <v>46179</v>
      </c>
      <c r="F327" s="4">
        <v>46186</v>
      </c>
      <c r="G327" s="5">
        <v>9025</v>
      </c>
      <c r="H327" s="5">
        <v>0</v>
      </c>
      <c r="I327" s="2" t="s">
        <v>31</v>
      </c>
      <c r="J327" s="2" t="s">
        <v>347</v>
      </c>
      <c r="K327" t="s">
        <v>109</v>
      </c>
      <c r="L327" s="12">
        <f>MIS_Report!$B$2-F327</f>
        <v>124</v>
      </c>
      <c r="M327" t="str" cm="1">
        <f t="array" ref="M327">_xlfn.IFS(L327&lt;=30,"0-30",L327&lt;=60,"31-60",L327&lt;=90,"61-90",TRUE,"90+")</f>
        <v>90+</v>
      </c>
      <c r="N327">
        <f t="shared" si="11"/>
        <v>0</v>
      </c>
      <c r="O327" t="str">
        <f>VLOOKUP(K327,Agents!$A$1:$C$11,2,0)</f>
        <v>Deepak Nair</v>
      </c>
      <c r="P327">
        <f t="shared" si="10"/>
        <v>9025</v>
      </c>
    </row>
    <row r="328" spans="1:16" x14ac:dyDescent="0.25">
      <c r="A328" s="2" t="s">
        <v>635</v>
      </c>
      <c r="B328" s="2" t="s">
        <v>636</v>
      </c>
      <c r="C328" s="2" t="s">
        <v>29</v>
      </c>
      <c r="D328" s="2" t="s">
        <v>55</v>
      </c>
      <c r="E328" s="4">
        <v>46192</v>
      </c>
      <c r="F328" s="4">
        <v>46201</v>
      </c>
      <c r="G328" s="5">
        <v>8450</v>
      </c>
      <c r="H328" s="5"/>
      <c r="I328" s="2" t="s">
        <v>42</v>
      </c>
      <c r="J328" s="2" t="s">
        <v>1541</v>
      </c>
      <c r="K328" t="s">
        <v>43</v>
      </c>
      <c r="L328" s="12">
        <f>MIS_Report!$B$2-F328</f>
        <v>109</v>
      </c>
      <c r="M328" t="str" cm="1">
        <f t="array" ref="M328">_xlfn.IFS(L328&lt;=30,"0-30",L328&lt;=60,"31-60",L328&lt;=90,"61-90",TRUE,"90+")</f>
        <v>90+</v>
      </c>
      <c r="N328">
        <f t="shared" si="11"/>
        <v>8450</v>
      </c>
      <c r="O328" t="str">
        <f>VLOOKUP(K328,Agents!$A$1:$C$11,2,0)</f>
        <v>Manish Arora</v>
      </c>
      <c r="P328">
        <f t="shared" si="10"/>
        <v>0</v>
      </c>
    </row>
    <row r="329" spans="1:16" x14ac:dyDescent="0.25">
      <c r="A329" s="2" t="s">
        <v>637</v>
      </c>
      <c r="B329" s="2" t="s">
        <v>638</v>
      </c>
      <c r="C329" s="2" t="s">
        <v>36</v>
      </c>
      <c r="D329" s="2" t="s">
        <v>41</v>
      </c>
      <c r="E329" s="4">
        <v>46271</v>
      </c>
      <c r="F329" s="4">
        <v>46275</v>
      </c>
      <c r="G329" s="5">
        <v>1900</v>
      </c>
      <c r="H329" s="5"/>
      <c r="I329" s="2" t="s">
        <v>42</v>
      </c>
      <c r="J329" s="2" t="s">
        <v>1541</v>
      </c>
      <c r="K329" t="s">
        <v>56</v>
      </c>
      <c r="L329" s="12">
        <f>MIS_Report!$B$2-F329</f>
        <v>35</v>
      </c>
      <c r="M329" t="str" cm="1">
        <f t="array" ref="M329">_xlfn.IFS(L329&lt;=30,"0-30",L329&lt;=60,"31-60",L329&lt;=90,"61-90",TRUE,"90+")</f>
        <v>31-60</v>
      </c>
      <c r="N329">
        <f t="shared" si="11"/>
        <v>1900</v>
      </c>
      <c r="O329" t="str">
        <f>VLOOKUP(K329,Agents!$A$1:$C$11,2,0)</f>
        <v>Manish Arora</v>
      </c>
      <c r="P329">
        <f t="shared" si="10"/>
        <v>0</v>
      </c>
    </row>
    <row r="330" spans="1:16" x14ac:dyDescent="0.25">
      <c r="A330" s="2" t="s">
        <v>639</v>
      </c>
      <c r="B330" s="2" t="s">
        <v>40</v>
      </c>
      <c r="C330" s="2" t="s">
        <v>36</v>
      </c>
      <c r="D330" s="2" t="s">
        <v>55</v>
      </c>
      <c r="E330" s="4">
        <v>46185</v>
      </c>
      <c r="F330" s="4">
        <v>46203</v>
      </c>
      <c r="G330" s="5">
        <v>13950</v>
      </c>
      <c r="H330" s="5"/>
      <c r="I330" s="2" t="s">
        <v>42</v>
      </c>
      <c r="J330" s="2" t="s">
        <v>1541</v>
      </c>
      <c r="K330" t="s">
        <v>109</v>
      </c>
      <c r="L330" s="12">
        <f>MIS_Report!$B$2-F330</f>
        <v>107</v>
      </c>
      <c r="M330" t="str" cm="1">
        <f t="array" ref="M330">_xlfn.IFS(L330&lt;=30,"0-30",L330&lt;=60,"31-60",L330&lt;=90,"61-90",TRUE,"90+")</f>
        <v>90+</v>
      </c>
      <c r="N330">
        <f t="shared" si="11"/>
        <v>13950</v>
      </c>
      <c r="O330" t="str">
        <f>VLOOKUP(K330,Agents!$A$1:$C$11,2,0)</f>
        <v>Deepak Nair</v>
      </c>
      <c r="P330">
        <f t="shared" si="10"/>
        <v>0</v>
      </c>
    </row>
    <row r="331" spans="1:16" x14ac:dyDescent="0.25">
      <c r="A331" s="2" t="s">
        <v>640</v>
      </c>
      <c r="B331" s="2" t="s">
        <v>295</v>
      </c>
      <c r="C331" s="2" t="s">
        <v>29</v>
      </c>
      <c r="D331" s="2" t="s">
        <v>80</v>
      </c>
      <c r="E331" s="4">
        <v>46093</v>
      </c>
      <c r="F331" s="4">
        <v>46113</v>
      </c>
      <c r="G331" s="5">
        <v>7275</v>
      </c>
      <c r="H331" s="5">
        <v>6222.99</v>
      </c>
      <c r="I331" s="2" t="s">
        <v>37</v>
      </c>
      <c r="J331" s="2" t="s">
        <v>1541</v>
      </c>
      <c r="K331" t="s">
        <v>43</v>
      </c>
      <c r="L331" s="12">
        <f>MIS_Report!$B$2-F331</f>
        <v>197</v>
      </c>
      <c r="M331" t="str" cm="1">
        <f t="array" ref="M331">_xlfn.IFS(L331&lt;=30,"0-30",L331&lt;=60,"31-60",L331&lt;=90,"61-90",TRUE,"90+")</f>
        <v>90+</v>
      </c>
      <c r="N331">
        <f t="shared" si="11"/>
        <v>0</v>
      </c>
      <c r="O331" t="str">
        <f>VLOOKUP(K331,Agents!$A$1:$C$11,2,0)</f>
        <v>Manish Arora</v>
      </c>
      <c r="P331">
        <f t="shared" si="10"/>
        <v>0</v>
      </c>
    </row>
    <row r="332" spans="1:16" x14ac:dyDescent="0.25">
      <c r="A332" s="2" t="s">
        <v>642</v>
      </c>
      <c r="B332" s="2" t="s">
        <v>643</v>
      </c>
      <c r="C332" s="2" t="s">
        <v>36</v>
      </c>
      <c r="D332" s="2" t="s">
        <v>41</v>
      </c>
      <c r="E332" s="4">
        <v>46019</v>
      </c>
      <c r="F332" s="4">
        <v>46033</v>
      </c>
      <c r="G332" s="5">
        <v>6675</v>
      </c>
      <c r="H332" s="5">
        <v>4548.84</v>
      </c>
      <c r="I332" s="2" t="s">
        <v>37</v>
      </c>
      <c r="J332" s="2" t="s">
        <v>1541</v>
      </c>
      <c r="K332" t="s">
        <v>62</v>
      </c>
      <c r="L332" s="12">
        <f>MIS_Report!$B$2-F332</f>
        <v>277</v>
      </c>
      <c r="M332" t="str" cm="1">
        <f t="array" ref="M332">_xlfn.IFS(L332&lt;=30,"0-30",L332&lt;=60,"31-60",L332&lt;=90,"61-90",TRUE,"90+")</f>
        <v>90+</v>
      </c>
      <c r="N332">
        <f t="shared" si="11"/>
        <v>0</v>
      </c>
      <c r="O332" t="str">
        <f>VLOOKUP(K332,Agents!$A$1:$C$11,2,0)</f>
        <v>Sunita Rao</v>
      </c>
      <c r="P332">
        <f t="shared" si="10"/>
        <v>0</v>
      </c>
    </row>
    <row r="333" spans="1:16" x14ac:dyDescent="0.25">
      <c r="A333" s="2" t="s">
        <v>644</v>
      </c>
      <c r="B333" s="2" t="s">
        <v>645</v>
      </c>
      <c r="C333" s="2" t="s">
        <v>79</v>
      </c>
      <c r="D333" s="2" t="s">
        <v>61</v>
      </c>
      <c r="E333" s="4">
        <v>46228</v>
      </c>
      <c r="F333" s="4">
        <v>46236</v>
      </c>
      <c r="G333" s="5">
        <v>7175</v>
      </c>
      <c r="H333" s="5">
        <v>4256.97</v>
      </c>
      <c r="I333" s="2" t="s">
        <v>37</v>
      </c>
      <c r="J333" s="2" t="s">
        <v>1541</v>
      </c>
      <c r="K333" t="s">
        <v>109</v>
      </c>
      <c r="L333" s="12">
        <f>MIS_Report!$B$2-F333</f>
        <v>74</v>
      </c>
      <c r="M333" t="str" cm="1">
        <f t="array" ref="M333">_xlfn.IFS(L333&lt;=30,"0-30",L333&lt;=60,"31-60",L333&lt;=90,"61-90",TRUE,"90+")</f>
        <v>61-90</v>
      </c>
      <c r="N333">
        <f t="shared" si="11"/>
        <v>0</v>
      </c>
      <c r="O333" t="str">
        <f>VLOOKUP(K333,Agents!$A$1:$C$11,2,0)</f>
        <v>Deepak Nair</v>
      </c>
      <c r="P333">
        <f t="shared" si="10"/>
        <v>0</v>
      </c>
    </row>
    <row r="334" spans="1:16" x14ac:dyDescent="0.25">
      <c r="A334" s="2" t="s">
        <v>646</v>
      </c>
      <c r="B334" s="2" t="s">
        <v>647</v>
      </c>
      <c r="C334" s="2" t="s">
        <v>29</v>
      </c>
      <c r="D334" s="2" t="s">
        <v>30</v>
      </c>
      <c r="E334" s="4">
        <v>46231</v>
      </c>
      <c r="F334" s="4">
        <v>46250</v>
      </c>
      <c r="G334" s="5">
        <v>6550</v>
      </c>
      <c r="H334" s="5">
        <v>5088.4399999999996</v>
      </c>
      <c r="I334" s="2" t="s">
        <v>37</v>
      </c>
      <c r="J334" s="2" t="s">
        <v>1541</v>
      </c>
      <c r="K334" t="s">
        <v>83</v>
      </c>
      <c r="L334" s="12">
        <f>MIS_Report!$B$2-F334</f>
        <v>60</v>
      </c>
      <c r="M334" t="str" cm="1">
        <f t="array" ref="M334">_xlfn.IFS(L334&lt;=30,"0-30",L334&lt;=60,"31-60",L334&lt;=90,"61-90",TRUE,"90+")</f>
        <v>31-60</v>
      </c>
      <c r="N334">
        <f t="shared" si="11"/>
        <v>0</v>
      </c>
      <c r="O334" t="str">
        <f>VLOOKUP(K334,Agents!$A$1:$C$11,2,0)</f>
        <v>Deepak Nair</v>
      </c>
      <c r="P334">
        <f t="shared" si="10"/>
        <v>0</v>
      </c>
    </row>
    <row r="335" spans="1:16" x14ac:dyDescent="0.25">
      <c r="A335" s="2" t="s">
        <v>648</v>
      </c>
      <c r="B335" s="2" t="s">
        <v>649</v>
      </c>
      <c r="C335" s="2" t="s">
        <v>29</v>
      </c>
      <c r="D335" s="2" t="s">
        <v>61</v>
      </c>
      <c r="E335" s="4">
        <v>46125</v>
      </c>
      <c r="F335" s="4">
        <v>46137</v>
      </c>
      <c r="G335" s="5">
        <v>850</v>
      </c>
      <c r="H335" s="5">
        <v>715.33</v>
      </c>
      <c r="I335" s="2" t="s">
        <v>37</v>
      </c>
      <c r="J335" s="2" t="s">
        <v>1541</v>
      </c>
      <c r="K335" t="s">
        <v>43</v>
      </c>
      <c r="L335" s="12">
        <f>MIS_Report!$B$2-F335</f>
        <v>173</v>
      </c>
      <c r="M335" t="str" cm="1">
        <f t="array" ref="M335">_xlfn.IFS(L335&lt;=30,"0-30",L335&lt;=60,"31-60",L335&lt;=90,"61-90",TRUE,"90+")</f>
        <v>90+</v>
      </c>
      <c r="N335">
        <f t="shared" si="11"/>
        <v>0</v>
      </c>
      <c r="O335" t="str">
        <f>VLOOKUP(K335,Agents!$A$1:$C$11,2,0)</f>
        <v>Manish Arora</v>
      </c>
      <c r="P335">
        <f t="shared" si="10"/>
        <v>0</v>
      </c>
    </row>
    <row r="336" spans="1:16" x14ac:dyDescent="0.25">
      <c r="A336" s="2" t="s">
        <v>650</v>
      </c>
      <c r="B336" s="2" t="s">
        <v>651</v>
      </c>
      <c r="C336" s="2" t="s">
        <v>79</v>
      </c>
      <c r="D336" s="2" t="s">
        <v>94</v>
      </c>
      <c r="E336" s="4">
        <v>46191</v>
      </c>
      <c r="F336" s="4">
        <v>46211</v>
      </c>
      <c r="G336" s="5">
        <v>12125</v>
      </c>
      <c r="H336" s="5">
        <v>9149.31</v>
      </c>
      <c r="I336" s="2" t="s">
        <v>37</v>
      </c>
      <c r="J336" s="2" t="s">
        <v>1541</v>
      </c>
      <c r="K336" t="s">
        <v>43</v>
      </c>
      <c r="L336" s="12">
        <f>MIS_Report!$B$2-F336</f>
        <v>99</v>
      </c>
      <c r="M336" t="str" cm="1">
        <f t="array" ref="M336">_xlfn.IFS(L336&lt;=30,"0-30",L336&lt;=60,"31-60",L336&lt;=90,"61-90",TRUE,"90+")</f>
        <v>90+</v>
      </c>
      <c r="N336">
        <f t="shared" si="11"/>
        <v>0</v>
      </c>
      <c r="O336" t="str">
        <f>VLOOKUP(K336,Agents!$A$1:$C$11,2,0)</f>
        <v>Manish Arora</v>
      </c>
      <c r="P336">
        <f t="shared" si="10"/>
        <v>0</v>
      </c>
    </row>
    <row r="337" spans="1:16" x14ac:dyDescent="0.25">
      <c r="A337" s="2" t="s">
        <v>652</v>
      </c>
      <c r="B337" s="2" t="s">
        <v>270</v>
      </c>
      <c r="C337" s="2" t="s">
        <v>46</v>
      </c>
      <c r="D337" s="2" t="s">
        <v>41</v>
      </c>
      <c r="E337" s="4">
        <v>46055</v>
      </c>
      <c r="F337" s="4">
        <v>46061</v>
      </c>
      <c r="G337" s="5">
        <v>6600</v>
      </c>
      <c r="H337" s="5">
        <v>4897.03</v>
      </c>
      <c r="I337" s="2" t="s">
        <v>37</v>
      </c>
      <c r="J337" s="2" t="s">
        <v>1541</v>
      </c>
      <c r="K337" t="s">
        <v>62</v>
      </c>
      <c r="L337" s="12">
        <f>MIS_Report!$B$2-F337</f>
        <v>249</v>
      </c>
      <c r="M337" t="str" cm="1">
        <f t="array" ref="M337">_xlfn.IFS(L337&lt;=30,"0-30",L337&lt;=60,"31-60",L337&lt;=90,"61-90",TRUE,"90+")</f>
        <v>90+</v>
      </c>
      <c r="N337">
        <f t="shared" si="11"/>
        <v>0</v>
      </c>
      <c r="O337" t="str">
        <f>VLOOKUP(K337,Agents!$A$1:$C$11,2,0)</f>
        <v>Sunita Rao</v>
      </c>
      <c r="P337">
        <f t="shared" si="10"/>
        <v>0</v>
      </c>
    </row>
    <row r="338" spans="1:16" x14ac:dyDescent="0.25">
      <c r="A338" s="2" t="s">
        <v>653</v>
      </c>
      <c r="B338" s="2" t="s">
        <v>654</v>
      </c>
      <c r="C338" s="2" t="s">
        <v>36</v>
      </c>
      <c r="D338" s="2" t="s">
        <v>80</v>
      </c>
      <c r="E338" s="4">
        <v>46273</v>
      </c>
      <c r="F338" s="4">
        <v>46287</v>
      </c>
      <c r="G338" s="5">
        <v>2225</v>
      </c>
      <c r="H338" s="5"/>
      <c r="I338" s="2" t="s">
        <v>42</v>
      </c>
      <c r="J338" s="2" t="s">
        <v>1541</v>
      </c>
      <c r="K338" t="s">
        <v>38</v>
      </c>
      <c r="L338" s="12">
        <f>MIS_Report!$B$2-F338</f>
        <v>23</v>
      </c>
      <c r="M338" t="str" cm="1">
        <f t="array" ref="M338">_xlfn.IFS(L338&lt;=30,"0-30",L338&lt;=60,"31-60",L338&lt;=90,"61-90",TRUE,"90+")</f>
        <v>0-30</v>
      </c>
      <c r="N338">
        <f t="shared" si="11"/>
        <v>2225</v>
      </c>
      <c r="O338" t="str">
        <f>VLOOKUP(K338,Agents!$A$1:$C$11,2,0)</f>
        <v>Sunita Rao</v>
      </c>
      <c r="P338">
        <f t="shared" si="10"/>
        <v>0</v>
      </c>
    </row>
    <row r="339" spans="1:16" x14ac:dyDescent="0.25">
      <c r="A339" s="2" t="s">
        <v>655</v>
      </c>
      <c r="B339" s="2" t="s">
        <v>471</v>
      </c>
      <c r="C339" s="2" t="s">
        <v>29</v>
      </c>
      <c r="D339" s="2" t="s">
        <v>30</v>
      </c>
      <c r="E339" s="4">
        <v>46062</v>
      </c>
      <c r="F339" s="4">
        <v>46079</v>
      </c>
      <c r="G339" s="5">
        <v>14675</v>
      </c>
      <c r="H339" s="5"/>
      <c r="I339" s="2" t="s">
        <v>42</v>
      </c>
      <c r="J339" s="2" t="s">
        <v>1541</v>
      </c>
      <c r="K339" t="s">
        <v>83</v>
      </c>
      <c r="L339" s="12">
        <f>MIS_Report!$B$2-F339</f>
        <v>231</v>
      </c>
      <c r="M339" t="str" cm="1">
        <f t="array" ref="M339">_xlfn.IFS(L339&lt;=30,"0-30",L339&lt;=60,"31-60",L339&lt;=90,"61-90",TRUE,"90+")</f>
        <v>90+</v>
      </c>
      <c r="N339">
        <f t="shared" si="11"/>
        <v>14675</v>
      </c>
      <c r="O339" t="str">
        <f>VLOOKUP(K339,Agents!$A$1:$C$11,2,0)</f>
        <v>Deepak Nair</v>
      </c>
      <c r="P339">
        <f t="shared" si="10"/>
        <v>0</v>
      </c>
    </row>
    <row r="340" spans="1:16" x14ac:dyDescent="0.25">
      <c r="A340" s="2" t="s">
        <v>656</v>
      </c>
      <c r="B340" s="2" t="s">
        <v>345</v>
      </c>
      <c r="C340" s="2" t="s">
        <v>29</v>
      </c>
      <c r="D340" s="2" t="s">
        <v>68</v>
      </c>
      <c r="E340" s="4">
        <v>46043</v>
      </c>
      <c r="F340" s="4">
        <v>46051</v>
      </c>
      <c r="G340" s="5">
        <v>2050</v>
      </c>
      <c r="H340" s="5">
        <v>0</v>
      </c>
      <c r="I340" s="2" t="s">
        <v>31</v>
      </c>
      <c r="J340" s="2" t="s">
        <v>271</v>
      </c>
      <c r="K340" t="s">
        <v>52</v>
      </c>
      <c r="L340" s="12">
        <f>MIS_Report!$B$2-F340</f>
        <v>259</v>
      </c>
      <c r="M340" t="str" cm="1">
        <f t="array" ref="M340">_xlfn.IFS(L340&lt;=30,"0-30",L340&lt;=60,"31-60",L340&lt;=90,"61-90",TRUE,"90+")</f>
        <v>90+</v>
      </c>
      <c r="N340">
        <f t="shared" si="11"/>
        <v>0</v>
      </c>
      <c r="O340" t="str">
        <f>VLOOKUP(K340,Agents!$A$1:$C$11,2,0)</f>
        <v>Sunita Rao</v>
      </c>
      <c r="P340">
        <f t="shared" si="10"/>
        <v>2050</v>
      </c>
    </row>
    <row r="341" spans="1:16" x14ac:dyDescent="0.25">
      <c r="A341" s="2" t="s">
        <v>657</v>
      </c>
      <c r="B341" s="2" t="s">
        <v>303</v>
      </c>
      <c r="C341" s="2" t="s">
        <v>46</v>
      </c>
      <c r="D341" s="2" t="s">
        <v>61</v>
      </c>
      <c r="E341" s="4">
        <v>46029</v>
      </c>
      <c r="F341" s="4">
        <v>46032</v>
      </c>
      <c r="G341" s="5">
        <v>5925</v>
      </c>
      <c r="H341" s="5">
        <v>0</v>
      </c>
      <c r="I341" s="2" t="s">
        <v>31</v>
      </c>
      <c r="J341" s="2" t="s">
        <v>47</v>
      </c>
      <c r="K341" t="s">
        <v>83</v>
      </c>
      <c r="L341" s="12">
        <f>MIS_Report!$B$2-F341</f>
        <v>278</v>
      </c>
      <c r="M341" t="str" cm="1">
        <f t="array" ref="M341">_xlfn.IFS(L341&lt;=30,"0-30",L341&lt;=60,"31-60",L341&lt;=90,"61-90",TRUE,"90+")</f>
        <v>90+</v>
      </c>
      <c r="N341">
        <f t="shared" si="11"/>
        <v>0</v>
      </c>
      <c r="O341" t="str">
        <f>VLOOKUP(K341,Agents!$A$1:$C$11,2,0)</f>
        <v>Deepak Nair</v>
      </c>
      <c r="P341">
        <f t="shared" si="10"/>
        <v>5925</v>
      </c>
    </row>
    <row r="342" spans="1:16" x14ac:dyDescent="0.25">
      <c r="A342" s="2" t="s">
        <v>658</v>
      </c>
      <c r="B342" s="2" t="s">
        <v>659</v>
      </c>
      <c r="C342" s="2" t="s">
        <v>79</v>
      </c>
      <c r="D342" s="2" t="s">
        <v>80</v>
      </c>
      <c r="E342" s="4">
        <v>46284</v>
      </c>
      <c r="F342" s="4">
        <v>46290</v>
      </c>
      <c r="G342" s="5">
        <v>5000</v>
      </c>
      <c r="H342" s="5"/>
      <c r="I342" s="2" t="s">
        <v>42</v>
      </c>
      <c r="J342" s="2" t="s">
        <v>1541</v>
      </c>
      <c r="K342" t="s">
        <v>56</v>
      </c>
      <c r="L342" s="12">
        <f>MIS_Report!$B$2-F342</f>
        <v>20</v>
      </c>
      <c r="M342" t="str" cm="1">
        <f t="array" ref="M342">_xlfn.IFS(L342&lt;=30,"0-30",L342&lt;=60,"31-60",L342&lt;=90,"61-90",TRUE,"90+")</f>
        <v>0-30</v>
      </c>
      <c r="N342">
        <f t="shared" si="11"/>
        <v>5000</v>
      </c>
      <c r="O342" t="str">
        <f>VLOOKUP(K342,Agents!$A$1:$C$11,2,0)</f>
        <v>Manish Arora</v>
      </c>
      <c r="P342">
        <f t="shared" si="10"/>
        <v>0</v>
      </c>
    </row>
    <row r="343" spans="1:16" x14ac:dyDescent="0.25">
      <c r="A343" s="2" t="s">
        <v>660</v>
      </c>
      <c r="B343" s="2" t="s">
        <v>661</v>
      </c>
      <c r="C343" s="2" t="s">
        <v>29</v>
      </c>
      <c r="D343" s="2" t="s">
        <v>68</v>
      </c>
      <c r="E343" s="4">
        <v>46195</v>
      </c>
      <c r="F343" s="4">
        <v>46199</v>
      </c>
      <c r="G343" s="5">
        <v>3875</v>
      </c>
      <c r="H343" s="5">
        <v>3422</v>
      </c>
      <c r="I343" s="2" t="s">
        <v>37</v>
      </c>
      <c r="J343" s="2" t="s">
        <v>1541</v>
      </c>
      <c r="K343" t="s">
        <v>52</v>
      </c>
      <c r="L343" s="12">
        <f>MIS_Report!$B$2-F343</f>
        <v>111</v>
      </c>
      <c r="M343" t="str" cm="1">
        <f t="array" ref="M343">_xlfn.IFS(L343&lt;=30,"0-30",L343&lt;=60,"31-60",L343&lt;=90,"61-90",TRUE,"90+")</f>
        <v>90+</v>
      </c>
      <c r="N343">
        <f t="shared" si="11"/>
        <v>0</v>
      </c>
      <c r="O343" t="str">
        <f>VLOOKUP(K343,Agents!$A$1:$C$11,2,0)</f>
        <v>Sunita Rao</v>
      </c>
      <c r="P343">
        <f t="shared" si="10"/>
        <v>0</v>
      </c>
    </row>
    <row r="344" spans="1:16" x14ac:dyDescent="0.25">
      <c r="A344" s="2" t="s">
        <v>662</v>
      </c>
      <c r="B344" s="2" t="s">
        <v>663</v>
      </c>
      <c r="C344" s="2" t="s">
        <v>46</v>
      </c>
      <c r="D344" s="2" t="s">
        <v>55</v>
      </c>
      <c r="E344" s="4">
        <v>46147</v>
      </c>
      <c r="F344" s="4">
        <v>46155</v>
      </c>
      <c r="G344" s="5">
        <v>8475</v>
      </c>
      <c r="H344" s="5">
        <v>8228.35</v>
      </c>
      <c r="I344" s="2" t="s">
        <v>37</v>
      </c>
      <c r="J344" s="2" t="s">
        <v>1541</v>
      </c>
      <c r="K344" t="s">
        <v>62</v>
      </c>
      <c r="L344" s="12">
        <f>MIS_Report!$B$2-F344</f>
        <v>155</v>
      </c>
      <c r="M344" t="str" cm="1">
        <f t="array" ref="M344">_xlfn.IFS(L344&lt;=30,"0-30",L344&lt;=60,"31-60",L344&lt;=90,"61-90",TRUE,"90+")</f>
        <v>90+</v>
      </c>
      <c r="N344">
        <f t="shared" si="11"/>
        <v>0</v>
      </c>
      <c r="O344" t="str">
        <f>VLOOKUP(K344,Agents!$A$1:$C$11,2,0)</f>
        <v>Sunita Rao</v>
      </c>
      <c r="P344">
        <f t="shared" si="10"/>
        <v>0</v>
      </c>
    </row>
    <row r="345" spans="1:16" x14ac:dyDescent="0.25">
      <c r="A345" s="2" t="s">
        <v>664</v>
      </c>
      <c r="B345" s="2" t="s">
        <v>120</v>
      </c>
      <c r="C345" s="2" t="s">
        <v>46</v>
      </c>
      <c r="D345" s="2" t="s">
        <v>94</v>
      </c>
      <c r="E345" s="4">
        <v>46213</v>
      </c>
      <c r="F345" s="4">
        <v>46221</v>
      </c>
      <c r="G345" s="5">
        <v>10925</v>
      </c>
      <c r="H345" s="5">
        <v>0</v>
      </c>
      <c r="I345" s="2" t="s">
        <v>31</v>
      </c>
      <c r="J345" s="2" t="s">
        <v>32</v>
      </c>
      <c r="K345" t="s">
        <v>48</v>
      </c>
      <c r="L345" s="12">
        <f>MIS_Report!$B$2-F345</f>
        <v>89</v>
      </c>
      <c r="M345" t="str" cm="1">
        <f t="array" ref="M345">_xlfn.IFS(L345&lt;=30,"0-30",L345&lt;=60,"31-60",L345&lt;=90,"61-90",TRUE,"90+")</f>
        <v>61-90</v>
      </c>
      <c r="N345">
        <f t="shared" si="11"/>
        <v>0</v>
      </c>
      <c r="O345" t="str">
        <f>VLOOKUP(K345,Agents!$A$1:$C$11,2,0)</f>
        <v>Manish Arora</v>
      </c>
      <c r="P345">
        <f t="shared" si="10"/>
        <v>10925</v>
      </c>
    </row>
    <row r="346" spans="1:16" x14ac:dyDescent="0.25">
      <c r="A346" s="2" t="s">
        <v>665</v>
      </c>
      <c r="B346" s="2" t="s">
        <v>666</v>
      </c>
      <c r="C346" s="2" t="s">
        <v>36</v>
      </c>
      <c r="D346" s="2" t="s">
        <v>71</v>
      </c>
      <c r="E346" s="4">
        <v>46045</v>
      </c>
      <c r="F346" s="4">
        <v>46056</v>
      </c>
      <c r="G346" s="5">
        <v>5050</v>
      </c>
      <c r="H346" s="5">
        <v>4904.1000000000004</v>
      </c>
      <c r="I346" s="2" t="s">
        <v>37</v>
      </c>
      <c r="J346" s="2" t="s">
        <v>1541</v>
      </c>
      <c r="K346" t="s">
        <v>38</v>
      </c>
      <c r="L346" s="12">
        <f>MIS_Report!$B$2-F346</f>
        <v>254</v>
      </c>
      <c r="M346" t="str" cm="1">
        <f t="array" ref="M346">_xlfn.IFS(L346&lt;=30,"0-30",L346&lt;=60,"31-60",L346&lt;=90,"61-90",TRUE,"90+")</f>
        <v>90+</v>
      </c>
      <c r="N346">
        <f t="shared" si="11"/>
        <v>0</v>
      </c>
      <c r="O346" t="str">
        <f>VLOOKUP(K346,Agents!$A$1:$C$11,2,0)</f>
        <v>Sunita Rao</v>
      </c>
      <c r="P346">
        <f t="shared" si="10"/>
        <v>0</v>
      </c>
    </row>
    <row r="347" spans="1:16" x14ac:dyDescent="0.25">
      <c r="A347" s="2" t="s">
        <v>667</v>
      </c>
      <c r="B347" s="2" t="s">
        <v>162</v>
      </c>
      <c r="C347" s="2" t="s">
        <v>46</v>
      </c>
      <c r="D347" s="2" t="s">
        <v>41</v>
      </c>
      <c r="E347" s="4">
        <v>46168</v>
      </c>
      <c r="F347" s="4">
        <v>46186</v>
      </c>
      <c r="G347" s="5">
        <v>475</v>
      </c>
      <c r="H347" s="5">
        <v>343.34</v>
      </c>
      <c r="I347" s="2" t="s">
        <v>37</v>
      </c>
      <c r="J347" s="2" t="s">
        <v>1541</v>
      </c>
      <c r="K347" t="s">
        <v>56</v>
      </c>
      <c r="L347" s="12">
        <f>MIS_Report!$B$2-F347</f>
        <v>124</v>
      </c>
      <c r="M347" t="str" cm="1">
        <f t="array" ref="M347">_xlfn.IFS(L347&lt;=30,"0-30",L347&lt;=60,"31-60",L347&lt;=90,"61-90",TRUE,"90+")</f>
        <v>90+</v>
      </c>
      <c r="N347">
        <f t="shared" si="11"/>
        <v>0</v>
      </c>
      <c r="O347" t="str">
        <f>VLOOKUP(K347,Agents!$A$1:$C$11,2,0)</f>
        <v>Manish Arora</v>
      </c>
      <c r="P347">
        <f t="shared" si="10"/>
        <v>0</v>
      </c>
    </row>
    <row r="348" spans="1:16" x14ac:dyDescent="0.25">
      <c r="A348" s="2" t="s">
        <v>668</v>
      </c>
      <c r="B348" s="2" t="s">
        <v>210</v>
      </c>
      <c r="C348" s="2" t="s">
        <v>79</v>
      </c>
      <c r="D348" s="2" t="s">
        <v>41</v>
      </c>
      <c r="E348" s="4">
        <v>46193</v>
      </c>
      <c r="F348" s="4">
        <v>46207</v>
      </c>
      <c r="G348" s="5">
        <v>14550</v>
      </c>
      <c r="H348" s="5">
        <v>11881.87</v>
      </c>
      <c r="I348" s="2" t="s">
        <v>37</v>
      </c>
      <c r="J348" s="2" t="s">
        <v>1541</v>
      </c>
      <c r="K348" t="s">
        <v>56</v>
      </c>
      <c r="L348" s="12">
        <f>MIS_Report!$B$2-F348</f>
        <v>103</v>
      </c>
      <c r="M348" t="str" cm="1">
        <f t="array" ref="M348">_xlfn.IFS(L348&lt;=30,"0-30",L348&lt;=60,"31-60",L348&lt;=90,"61-90",TRUE,"90+")</f>
        <v>90+</v>
      </c>
      <c r="N348">
        <f t="shared" si="11"/>
        <v>0</v>
      </c>
      <c r="O348" t="str">
        <f>VLOOKUP(K348,Agents!$A$1:$C$11,2,0)</f>
        <v>Manish Arora</v>
      </c>
      <c r="P348">
        <f t="shared" si="10"/>
        <v>0</v>
      </c>
    </row>
    <row r="349" spans="1:16" x14ac:dyDescent="0.25">
      <c r="A349" s="2" t="s">
        <v>669</v>
      </c>
      <c r="B349" s="2" t="s">
        <v>670</v>
      </c>
      <c r="C349" s="2" t="s">
        <v>36</v>
      </c>
      <c r="D349" s="2" t="s">
        <v>41</v>
      </c>
      <c r="E349" s="4">
        <v>46268</v>
      </c>
      <c r="F349" s="4">
        <v>46278</v>
      </c>
      <c r="G349" s="5">
        <v>11775</v>
      </c>
      <c r="H349" s="5">
        <v>6890.19</v>
      </c>
      <c r="I349" s="2" t="s">
        <v>37</v>
      </c>
      <c r="J349" s="2" t="s">
        <v>1541</v>
      </c>
      <c r="K349" t="s">
        <v>38</v>
      </c>
      <c r="L349" s="12">
        <f>MIS_Report!$B$2-F349</f>
        <v>32</v>
      </c>
      <c r="M349" t="str" cm="1">
        <f t="array" ref="M349">_xlfn.IFS(L349&lt;=30,"0-30",L349&lt;=60,"31-60",L349&lt;=90,"61-90",TRUE,"90+")</f>
        <v>31-60</v>
      </c>
      <c r="N349">
        <f t="shared" si="11"/>
        <v>0</v>
      </c>
      <c r="O349" t="str">
        <f>VLOOKUP(K349,Agents!$A$1:$C$11,2,0)</f>
        <v>Sunita Rao</v>
      </c>
      <c r="P349">
        <f t="shared" si="10"/>
        <v>0</v>
      </c>
    </row>
    <row r="350" spans="1:16" x14ac:dyDescent="0.25">
      <c r="A350" s="2" t="s">
        <v>671</v>
      </c>
      <c r="B350" s="2" t="s">
        <v>672</v>
      </c>
      <c r="C350" s="2" t="s">
        <v>79</v>
      </c>
      <c r="D350" s="2" t="s">
        <v>80</v>
      </c>
      <c r="E350" s="4">
        <v>46252</v>
      </c>
      <c r="F350" s="4">
        <v>46262</v>
      </c>
      <c r="G350" s="5">
        <v>11450</v>
      </c>
      <c r="H350" s="5"/>
      <c r="I350" s="2" t="s">
        <v>42</v>
      </c>
      <c r="J350" s="2" t="s">
        <v>1541</v>
      </c>
      <c r="K350" t="s">
        <v>56</v>
      </c>
      <c r="L350" s="12">
        <f>MIS_Report!$B$2-F350</f>
        <v>48</v>
      </c>
      <c r="M350" t="str" cm="1">
        <f t="array" ref="M350">_xlfn.IFS(L350&lt;=30,"0-30",L350&lt;=60,"31-60",L350&lt;=90,"61-90",TRUE,"90+")</f>
        <v>31-60</v>
      </c>
      <c r="N350">
        <f t="shared" si="11"/>
        <v>11450</v>
      </c>
      <c r="O350" t="str">
        <f>VLOOKUP(K350,Agents!$A$1:$C$11,2,0)</f>
        <v>Manish Arora</v>
      </c>
      <c r="P350">
        <f t="shared" si="10"/>
        <v>0</v>
      </c>
    </row>
    <row r="351" spans="1:16" x14ac:dyDescent="0.25">
      <c r="A351" s="2" t="s">
        <v>673</v>
      </c>
      <c r="B351" s="2" t="s">
        <v>674</v>
      </c>
      <c r="C351" s="2" t="s">
        <v>29</v>
      </c>
      <c r="D351" s="2" t="s">
        <v>41</v>
      </c>
      <c r="E351" s="4">
        <v>46197</v>
      </c>
      <c r="F351" s="4">
        <v>46202</v>
      </c>
      <c r="G351" s="5">
        <v>4075</v>
      </c>
      <c r="H351" s="5">
        <v>3884.73</v>
      </c>
      <c r="I351" s="2" t="s">
        <v>37</v>
      </c>
      <c r="J351" s="2" t="s">
        <v>1541</v>
      </c>
      <c r="K351" t="s">
        <v>56</v>
      </c>
      <c r="L351" s="12">
        <f>MIS_Report!$B$2-F351</f>
        <v>108</v>
      </c>
      <c r="M351" t="str" cm="1">
        <f t="array" ref="M351">_xlfn.IFS(L351&lt;=30,"0-30",L351&lt;=60,"31-60",L351&lt;=90,"61-90",TRUE,"90+")</f>
        <v>90+</v>
      </c>
      <c r="N351">
        <f t="shared" si="11"/>
        <v>0</v>
      </c>
      <c r="O351" t="str">
        <f>VLOOKUP(K351,Agents!$A$1:$C$11,2,0)</f>
        <v>Manish Arora</v>
      </c>
      <c r="P351">
        <f t="shared" si="10"/>
        <v>0</v>
      </c>
    </row>
    <row r="352" spans="1:16" x14ac:dyDescent="0.25">
      <c r="A352" s="2" t="s">
        <v>675</v>
      </c>
      <c r="B352" s="2" t="s">
        <v>254</v>
      </c>
      <c r="C352" s="2" t="s">
        <v>36</v>
      </c>
      <c r="D352" s="2" t="s">
        <v>55</v>
      </c>
      <c r="E352" s="4">
        <v>46081</v>
      </c>
      <c r="F352" s="4">
        <v>46094</v>
      </c>
      <c r="G352" s="5">
        <v>1250</v>
      </c>
      <c r="H352" s="5">
        <v>788.72</v>
      </c>
      <c r="I352" s="2" t="s">
        <v>37</v>
      </c>
      <c r="J352" s="2" t="s">
        <v>1541</v>
      </c>
      <c r="K352" t="s">
        <v>48</v>
      </c>
      <c r="L352" s="12">
        <f>MIS_Report!$B$2-F352</f>
        <v>216</v>
      </c>
      <c r="M352" t="str" cm="1">
        <f t="array" ref="M352">_xlfn.IFS(L352&lt;=30,"0-30",L352&lt;=60,"31-60",L352&lt;=90,"61-90",TRUE,"90+")</f>
        <v>90+</v>
      </c>
      <c r="N352">
        <f t="shared" si="11"/>
        <v>0</v>
      </c>
      <c r="O352" t="str">
        <f>VLOOKUP(K352,Agents!$A$1:$C$11,2,0)</f>
        <v>Manish Arora</v>
      </c>
      <c r="P352">
        <f t="shared" si="10"/>
        <v>0</v>
      </c>
    </row>
    <row r="353" spans="1:16" x14ac:dyDescent="0.25">
      <c r="A353" s="2" t="s">
        <v>676</v>
      </c>
      <c r="B353" s="2" t="s">
        <v>677</v>
      </c>
      <c r="C353" s="2" t="s">
        <v>29</v>
      </c>
      <c r="D353" s="2" t="s">
        <v>30</v>
      </c>
      <c r="E353" s="4">
        <v>46282</v>
      </c>
      <c r="F353" s="4">
        <v>46290</v>
      </c>
      <c r="G353" s="5">
        <v>2100</v>
      </c>
      <c r="H353" s="5">
        <v>1509.85</v>
      </c>
      <c r="I353" s="2" t="s">
        <v>37</v>
      </c>
      <c r="J353" s="2" t="s">
        <v>1541</v>
      </c>
      <c r="K353" t="s">
        <v>83</v>
      </c>
      <c r="L353" s="12">
        <f>MIS_Report!$B$2-F353</f>
        <v>20</v>
      </c>
      <c r="M353" t="str" cm="1">
        <f t="array" ref="M353">_xlfn.IFS(L353&lt;=30,"0-30",L353&lt;=60,"31-60",L353&lt;=90,"61-90",TRUE,"90+")</f>
        <v>0-30</v>
      </c>
      <c r="N353">
        <f t="shared" si="11"/>
        <v>0</v>
      </c>
      <c r="O353" t="str">
        <f>VLOOKUP(K353,Agents!$A$1:$C$11,2,0)</f>
        <v>Deepak Nair</v>
      </c>
      <c r="P353">
        <f t="shared" si="10"/>
        <v>0</v>
      </c>
    </row>
    <row r="354" spans="1:16" x14ac:dyDescent="0.25">
      <c r="A354" s="2" t="s">
        <v>678</v>
      </c>
      <c r="B354" s="2" t="s">
        <v>679</v>
      </c>
      <c r="C354" s="2" t="s">
        <v>46</v>
      </c>
      <c r="D354" s="2" t="s">
        <v>94</v>
      </c>
      <c r="E354" s="4">
        <v>46057</v>
      </c>
      <c r="F354" s="4">
        <v>46072</v>
      </c>
      <c r="G354" s="5">
        <v>425</v>
      </c>
      <c r="H354" s="5">
        <v>351.38</v>
      </c>
      <c r="I354" s="2" t="s">
        <v>37</v>
      </c>
      <c r="J354" s="2" t="s">
        <v>1541</v>
      </c>
      <c r="K354" t="s">
        <v>38</v>
      </c>
      <c r="L354" s="12">
        <f>MIS_Report!$B$2-F354</f>
        <v>238</v>
      </c>
      <c r="M354" t="str" cm="1">
        <f t="array" ref="M354">_xlfn.IFS(L354&lt;=30,"0-30",L354&lt;=60,"31-60",L354&lt;=90,"61-90",TRUE,"90+")</f>
        <v>90+</v>
      </c>
      <c r="N354">
        <f t="shared" si="11"/>
        <v>0</v>
      </c>
      <c r="O354" t="str">
        <f>VLOOKUP(K354,Agents!$A$1:$C$11,2,0)</f>
        <v>Sunita Rao</v>
      </c>
      <c r="P354">
        <f t="shared" si="10"/>
        <v>0</v>
      </c>
    </row>
    <row r="355" spans="1:16" x14ac:dyDescent="0.25">
      <c r="A355" s="2" t="s">
        <v>680</v>
      </c>
      <c r="B355" s="2" t="s">
        <v>681</v>
      </c>
      <c r="C355" s="2" t="s">
        <v>46</v>
      </c>
      <c r="D355" s="2" t="s">
        <v>94</v>
      </c>
      <c r="E355" s="4">
        <v>46211</v>
      </c>
      <c r="F355" s="4">
        <v>46223</v>
      </c>
      <c r="G355" s="5">
        <v>14150</v>
      </c>
      <c r="H355" s="5">
        <v>8804.1299999999992</v>
      </c>
      <c r="I355" s="2" t="s">
        <v>37</v>
      </c>
      <c r="J355" s="2" t="s">
        <v>1541</v>
      </c>
      <c r="K355" t="s">
        <v>48</v>
      </c>
      <c r="L355" s="12">
        <f>MIS_Report!$B$2-F355</f>
        <v>87</v>
      </c>
      <c r="M355" t="str" cm="1">
        <f t="array" ref="M355">_xlfn.IFS(L355&lt;=30,"0-30",L355&lt;=60,"31-60",L355&lt;=90,"61-90",TRUE,"90+")</f>
        <v>61-90</v>
      </c>
      <c r="N355">
        <f t="shared" si="11"/>
        <v>0</v>
      </c>
      <c r="O355" t="str">
        <f>VLOOKUP(K355,Agents!$A$1:$C$11,2,0)</f>
        <v>Manish Arora</v>
      </c>
      <c r="P355">
        <f t="shared" si="10"/>
        <v>0</v>
      </c>
    </row>
    <row r="356" spans="1:16" x14ac:dyDescent="0.25">
      <c r="A356" s="2" t="s">
        <v>682</v>
      </c>
      <c r="B356" s="2" t="s">
        <v>683</v>
      </c>
      <c r="C356" s="2" t="s">
        <v>79</v>
      </c>
      <c r="D356" s="2" t="s">
        <v>30</v>
      </c>
      <c r="E356" s="4">
        <v>46032</v>
      </c>
      <c r="F356" s="4">
        <v>46043</v>
      </c>
      <c r="G356" s="5">
        <v>7575</v>
      </c>
      <c r="H356" s="5">
        <v>7564.41</v>
      </c>
      <c r="I356" s="2" t="s">
        <v>37</v>
      </c>
      <c r="J356" s="2" t="s">
        <v>1541</v>
      </c>
      <c r="K356" t="s">
        <v>52</v>
      </c>
      <c r="L356" s="12">
        <f>MIS_Report!$B$2-F356</f>
        <v>267</v>
      </c>
      <c r="M356" t="str" cm="1">
        <f t="array" ref="M356">_xlfn.IFS(L356&lt;=30,"0-30",L356&lt;=60,"31-60",L356&lt;=90,"61-90",TRUE,"90+")</f>
        <v>90+</v>
      </c>
      <c r="N356">
        <f t="shared" si="11"/>
        <v>0</v>
      </c>
      <c r="O356" t="str">
        <f>VLOOKUP(K356,Agents!$A$1:$C$11,2,0)</f>
        <v>Sunita Rao</v>
      </c>
      <c r="P356">
        <f t="shared" si="10"/>
        <v>0</v>
      </c>
    </row>
    <row r="357" spans="1:16" x14ac:dyDescent="0.25">
      <c r="A357" s="2" t="s">
        <v>684</v>
      </c>
      <c r="B357" s="2" t="s">
        <v>549</v>
      </c>
      <c r="C357" s="2" t="s">
        <v>29</v>
      </c>
      <c r="D357" s="2" t="s">
        <v>80</v>
      </c>
      <c r="E357" s="4">
        <v>46145</v>
      </c>
      <c r="F357" s="4">
        <v>46151</v>
      </c>
      <c r="G357" s="5">
        <v>14550</v>
      </c>
      <c r="H357" s="5"/>
      <c r="I357" s="2" t="s">
        <v>42</v>
      </c>
      <c r="J357" s="2" t="s">
        <v>1541</v>
      </c>
      <c r="K357" t="s">
        <v>52</v>
      </c>
      <c r="L357" s="12">
        <f>MIS_Report!$B$2-F357</f>
        <v>159</v>
      </c>
      <c r="M357" t="str" cm="1">
        <f t="array" ref="M357">_xlfn.IFS(L357&lt;=30,"0-30",L357&lt;=60,"31-60",L357&lt;=90,"61-90",TRUE,"90+")</f>
        <v>90+</v>
      </c>
      <c r="N357">
        <f t="shared" si="11"/>
        <v>14550</v>
      </c>
      <c r="O357" t="str">
        <f>VLOOKUP(K357,Agents!$A$1:$C$11,2,0)</f>
        <v>Sunita Rao</v>
      </c>
      <c r="P357">
        <f t="shared" si="10"/>
        <v>0</v>
      </c>
    </row>
    <row r="358" spans="1:16" x14ac:dyDescent="0.25">
      <c r="A358" s="2" t="s">
        <v>685</v>
      </c>
      <c r="B358" s="2" t="s">
        <v>292</v>
      </c>
      <c r="C358" s="2" t="s">
        <v>29</v>
      </c>
      <c r="D358" s="2" t="s">
        <v>30</v>
      </c>
      <c r="E358" s="4">
        <v>46155</v>
      </c>
      <c r="F358" s="4">
        <v>46165</v>
      </c>
      <c r="G358" s="5">
        <v>12650</v>
      </c>
      <c r="H358" s="5">
        <v>0</v>
      </c>
      <c r="I358" s="2" t="s">
        <v>31</v>
      </c>
      <c r="J358" s="2" t="s">
        <v>347</v>
      </c>
      <c r="K358" t="s">
        <v>33</v>
      </c>
      <c r="L358" s="12">
        <f>MIS_Report!$B$2-F358</f>
        <v>145</v>
      </c>
      <c r="M358" t="str" cm="1">
        <f t="array" ref="M358">_xlfn.IFS(L358&lt;=30,"0-30",L358&lt;=60,"31-60",L358&lt;=90,"61-90",TRUE,"90+")</f>
        <v>90+</v>
      </c>
      <c r="N358">
        <f t="shared" si="11"/>
        <v>0</v>
      </c>
      <c r="O358" t="str">
        <f>VLOOKUP(K358,Agents!$A$1:$C$11,2,0)</f>
        <v>Manish Arora</v>
      </c>
      <c r="P358">
        <f t="shared" si="10"/>
        <v>12650</v>
      </c>
    </row>
    <row r="359" spans="1:16" x14ac:dyDescent="0.25">
      <c r="A359" s="2" t="s">
        <v>686</v>
      </c>
      <c r="B359" s="2" t="s">
        <v>358</v>
      </c>
      <c r="C359" s="2" t="s">
        <v>29</v>
      </c>
      <c r="D359" s="2" t="s">
        <v>68</v>
      </c>
      <c r="E359" s="4">
        <v>46038</v>
      </c>
      <c r="F359" s="4">
        <v>46054</v>
      </c>
      <c r="G359" s="5">
        <v>7450</v>
      </c>
      <c r="H359" s="5">
        <v>0</v>
      </c>
      <c r="I359" s="2" t="s">
        <v>31</v>
      </c>
      <c r="J359" s="2" t="s">
        <v>312</v>
      </c>
      <c r="K359" t="s">
        <v>56</v>
      </c>
      <c r="L359" s="12">
        <f>MIS_Report!$B$2-F359</f>
        <v>256</v>
      </c>
      <c r="M359" t="str" cm="1">
        <f t="array" ref="M359">_xlfn.IFS(L359&lt;=30,"0-30",L359&lt;=60,"31-60",L359&lt;=90,"61-90",TRUE,"90+")</f>
        <v>90+</v>
      </c>
      <c r="N359">
        <f t="shared" si="11"/>
        <v>0</v>
      </c>
      <c r="O359" t="str">
        <f>VLOOKUP(K359,Agents!$A$1:$C$11,2,0)</f>
        <v>Manish Arora</v>
      </c>
      <c r="P359">
        <f t="shared" si="10"/>
        <v>7450</v>
      </c>
    </row>
    <row r="360" spans="1:16" x14ac:dyDescent="0.25">
      <c r="A360" s="2" t="s">
        <v>687</v>
      </c>
      <c r="B360" s="2" t="s">
        <v>688</v>
      </c>
      <c r="C360" s="2" t="s">
        <v>79</v>
      </c>
      <c r="D360" s="2" t="s">
        <v>55</v>
      </c>
      <c r="E360" s="4">
        <v>46149</v>
      </c>
      <c r="F360" s="4">
        <v>46157</v>
      </c>
      <c r="G360" s="5">
        <v>9650</v>
      </c>
      <c r="H360" s="5">
        <v>7662.31</v>
      </c>
      <c r="I360" s="2" t="s">
        <v>37</v>
      </c>
      <c r="J360" s="2" t="s">
        <v>1541</v>
      </c>
      <c r="K360" t="s">
        <v>109</v>
      </c>
      <c r="L360" s="12">
        <f>MIS_Report!$B$2-F360</f>
        <v>153</v>
      </c>
      <c r="M360" t="str" cm="1">
        <f t="array" ref="M360">_xlfn.IFS(L360&lt;=30,"0-30",L360&lt;=60,"31-60",L360&lt;=90,"61-90",TRUE,"90+")</f>
        <v>90+</v>
      </c>
      <c r="N360">
        <f t="shared" si="11"/>
        <v>0</v>
      </c>
      <c r="O360" t="str">
        <f>VLOOKUP(K360,Agents!$A$1:$C$11,2,0)</f>
        <v>Deepak Nair</v>
      </c>
      <c r="P360">
        <f t="shared" si="10"/>
        <v>0</v>
      </c>
    </row>
    <row r="361" spans="1:16" x14ac:dyDescent="0.25">
      <c r="A361" s="2" t="s">
        <v>689</v>
      </c>
      <c r="B361" s="2" t="s">
        <v>318</v>
      </c>
      <c r="C361" s="2" t="s">
        <v>29</v>
      </c>
      <c r="D361" s="2" t="s">
        <v>71</v>
      </c>
      <c r="E361" s="4">
        <v>46193</v>
      </c>
      <c r="F361" s="4">
        <v>46196</v>
      </c>
      <c r="G361" s="5">
        <v>3225</v>
      </c>
      <c r="H361" s="5">
        <v>2250.08</v>
      </c>
      <c r="I361" s="2" t="s">
        <v>37</v>
      </c>
      <c r="J361" s="2" t="s">
        <v>1541</v>
      </c>
      <c r="K361" t="s">
        <v>56</v>
      </c>
      <c r="L361" s="12">
        <f>MIS_Report!$B$2-F361</f>
        <v>114</v>
      </c>
      <c r="M361" t="str" cm="1">
        <f t="array" ref="M361">_xlfn.IFS(L361&lt;=30,"0-30",L361&lt;=60,"31-60",L361&lt;=90,"61-90",TRUE,"90+")</f>
        <v>90+</v>
      </c>
      <c r="N361">
        <f t="shared" si="11"/>
        <v>0</v>
      </c>
      <c r="O361" t="str">
        <f>VLOOKUP(K361,Agents!$A$1:$C$11,2,0)</f>
        <v>Manish Arora</v>
      </c>
      <c r="P361">
        <f t="shared" si="10"/>
        <v>0</v>
      </c>
    </row>
    <row r="362" spans="1:16" x14ac:dyDescent="0.25">
      <c r="A362" s="2" t="s">
        <v>690</v>
      </c>
      <c r="B362" s="2" t="s">
        <v>274</v>
      </c>
      <c r="C362" s="2" t="s">
        <v>29</v>
      </c>
      <c r="D362" s="2" t="s">
        <v>80</v>
      </c>
      <c r="E362" s="4">
        <v>46040</v>
      </c>
      <c r="F362" s="4">
        <v>46056</v>
      </c>
      <c r="G362" s="5">
        <v>6250</v>
      </c>
      <c r="H362" s="5"/>
      <c r="I362" s="2" t="s">
        <v>42</v>
      </c>
      <c r="J362" s="2" t="s">
        <v>1541</v>
      </c>
      <c r="K362" t="s">
        <v>38</v>
      </c>
      <c r="L362" s="12">
        <f>MIS_Report!$B$2-F362</f>
        <v>254</v>
      </c>
      <c r="M362" t="str" cm="1">
        <f t="array" ref="M362">_xlfn.IFS(L362&lt;=30,"0-30",L362&lt;=60,"31-60",L362&lt;=90,"61-90",TRUE,"90+")</f>
        <v>90+</v>
      </c>
      <c r="N362">
        <f t="shared" si="11"/>
        <v>6250</v>
      </c>
      <c r="O362" t="str">
        <f>VLOOKUP(K362,Agents!$A$1:$C$11,2,0)</f>
        <v>Sunita Rao</v>
      </c>
      <c r="P362">
        <f t="shared" si="10"/>
        <v>0</v>
      </c>
    </row>
    <row r="363" spans="1:16" x14ac:dyDescent="0.25">
      <c r="A363" s="2" t="s">
        <v>691</v>
      </c>
      <c r="B363" s="2" t="s">
        <v>692</v>
      </c>
      <c r="C363" s="2" t="s">
        <v>79</v>
      </c>
      <c r="D363" s="2" t="s">
        <v>94</v>
      </c>
      <c r="E363" s="4">
        <v>46147</v>
      </c>
      <c r="F363" s="4">
        <v>46160</v>
      </c>
      <c r="G363" s="5">
        <v>14675</v>
      </c>
      <c r="H363" s="5">
        <v>12968.95</v>
      </c>
      <c r="I363" s="2" t="s">
        <v>37</v>
      </c>
      <c r="J363" s="2" t="s">
        <v>1541</v>
      </c>
      <c r="K363" t="s">
        <v>43</v>
      </c>
      <c r="L363" s="12">
        <f>MIS_Report!$B$2-F363</f>
        <v>150</v>
      </c>
      <c r="M363" t="str" cm="1">
        <f t="array" ref="M363">_xlfn.IFS(L363&lt;=30,"0-30",L363&lt;=60,"31-60",L363&lt;=90,"61-90",TRUE,"90+")</f>
        <v>90+</v>
      </c>
      <c r="N363">
        <f t="shared" si="11"/>
        <v>0</v>
      </c>
      <c r="O363" t="str">
        <f>VLOOKUP(K363,Agents!$A$1:$C$11,2,0)</f>
        <v>Manish Arora</v>
      </c>
      <c r="P363">
        <f t="shared" si="10"/>
        <v>0</v>
      </c>
    </row>
    <row r="364" spans="1:16" x14ac:dyDescent="0.25">
      <c r="A364" s="2" t="s">
        <v>693</v>
      </c>
      <c r="B364" s="2" t="s">
        <v>679</v>
      </c>
      <c r="C364" s="2" t="s">
        <v>46</v>
      </c>
      <c r="D364" s="2" t="s">
        <v>71</v>
      </c>
      <c r="E364" s="4">
        <v>46079</v>
      </c>
      <c r="F364" s="4">
        <v>46087</v>
      </c>
      <c r="G364" s="5">
        <v>1200</v>
      </c>
      <c r="H364" s="5">
        <v>0</v>
      </c>
      <c r="I364" s="2" t="s">
        <v>31</v>
      </c>
      <c r="J364" s="2" t="s">
        <v>47</v>
      </c>
      <c r="K364" t="s">
        <v>56</v>
      </c>
      <c r="L364" s="12">
        <f>MIS_Report!$B$2-F364</f>
        <v>223</v>
      </c>
      <c r="M364" t="str" cm="1">
        <f t="array" ref="M364">_xlfn.IFS(L364&lt;=30,"0-30",L364&lt;=60,"31-60",L364&lt;=90,"61-90",TRUE,"90+")</f>
        <v>90+</v>
      </c>
      <c r="N364">
        <f t="shared" si="11"/>
        <v>0</v>
      </c>
      <c r="O364" t="str">
        <f>VLOOKUP(K364,Agents!$A$1:$C$11,2,0)</f>
        <v>Manish Arora</v>
      </c>
      <c r="P364">
        <f t="shared" si="10"/>
        <v>1200</v>
      </c>
    </row>
    <row r="365" spans="1:16" x14ac:dyDescent="0.25">
      <c r="A365" s="2" t="s">
        <v>694</v>
      </c>
      <c r="B365" s="2" t="s">
        <v>695</v>
      </c>
      <c r="C365" s="2" t="s">
        <v>29</v>
      </c>
      <c r="D365" s="2" t="s">
        <v>80</v>
      </c>
      <c r="E365" s="4">
        <v>46206</v>
      </c>
      <c r="F365" s="4">
        <v>46212</v>
      </c>
      <c r="G365" s="5">
        <v>1200</v>
      </c>
      <c r="H365" s="5">
        <v>798.33</v>
      </c>
      <c r="I365" s="2" t="s">
        <v>37</v>
      </c>
      <c r="J365" s="2" t="s">
        <v>1541</v>
      </c>
      <c r="K365" t="s">
        <v>52</v>
      </c>
      <c r="L365" s="12">
        <f>MIS_Report!$B$2-F365</f>
        <v>98</v>
      </c>
      <c r="M365" t="str" cm="1">
        <f t="array" ref="M365">_xlfn.IFS(L365&lt;=30,"0-30",L365&lt;=60,"31-60",L365&lt;=90,"61-90",TRUE,"90+")</f>
        <v>90+</v>
      </c>
      <c r="N365">
        <f t="shared" si="11"/>
        <v>0</v>
      </c>
      <c r="O365" t="str">
        <f>VLOOKUP(K365,Agents!$A$1:$C$11,2,0)</f>
        <v>Sunita Rao</v>
      </c>
      <c r="P365">
        <f t="shared" si="10"/>
        <v>0</v>
      </c>
    </row>
    <row r="366" spans="1:16" x14ac:dyDescent="0.25">
      <c r="A366" s="2" t="s">
        <v>696</v>
      </c>
      <c r="B366" s="2" t="s">
        <v>697</v>
      </c>
      <c r="C366" s="2" t="s">
        <v>36</v>
      </c>
      <c r="D366" s="2" t="s">
        <v>41</v>
      </c>
      <c r="E366" s="4">
        <v>46076</v>
      </c>
      <c r="F366" s="4">
        <v>46080</v>
      </c>
      <c r="G366" s="5">
        <v>950</v>
      </c>
      <c r="H366" s="5">
        <v>773.13</v>
      </c>
      <c r="I366" s="2" t="s">
        <v>37</v>
      </c>
      <c r="J366" s="2" t="s">
        <v>1541</v>
      </c>
      <c r="K366" t="s">
        <v>52</v>
      </c>
      <c r="L366" s="12">
        <f>MIS_Report!$B$2-F366</f>
        <v>230</v>
      </c>
      <c r="M366" t="str" cm="1">
        <f t="array" ref="M366">_xlfn.IFS(L366&lt;=30,"0-30",L366&lt;=60,"31-60",L366&lt;=90,"61-90",TRUE,"90+")</f>
        <v>90+</v>
      </c>
      <c r="N366">
        <f t="shared" si="11"/>
        <v>0</v>
      </c>
      <c r="O366" t="str">
        <f>VLOOKUP(K366,Agents!$A$1:$C$11,2,0)</f>
        <v>Sunita Rao</v>
      </c>
      <c r="P366">
        <f t="shared" si="10"/>
        <v>0</v>
      </c>
    </row>
    <row r="367" spans="1:16" x14ac:dyDescent="0.25">
      <c r="A367" s="2" t="s">
        <v>698</v>
      </c>
      <c r="B367" s="2" t="s">
        <v>699</v>
      </c>
      <c r="C367" s="2" t="s">
        <v>46</v>
      </c>
      <c r="D367" s="2" t="s">
        <v>94</v>
      </c>
      <c r="E367" s="4">
        <v>46083</v>
      </c>
      <c r="F367" s="4">
        <v>46088</v>
      </c>
      <c r="G367" s="5">
        <v>9100</v>
      </c>
      <c r="H367" s="5"/>
      <c r="I367" s="2" t="s">
        <v>42</v>
      </c>
      <c r="J367" s="2" t="s">
        <v>1541</v>
      </c>
      <c r="K367" t="s">
        <v>83</v>
      </c>
      <c r="L367" s="12">
        <f>MIS_Report!$B$2-F367</f>
        <v>222</v>
      </c>
      <c r="M367" t="str" cm="1">
        <f t="array" ref="M367">_xlfn.IFS(L367&lt;=30,"0-30",L367&lt;=60,"31-60",L367&lt;=90,"61-90",TRUE,"90+")</f>
        <v>90+</v>
      </c>
      <c r="N367">
        <f t="shared" si="11"/>
        <v>9100</v>
      </c>
      <c r="O367" t="str">
        <f>VLOOKUP(K367,Agents!$A$1:$C$11,2,0)</f>
        <v>Deepak Nair</v>
      </c>
      <c r="P367">
        <f t="shared" si="10"/>
        <v>0</v>
      </c>
    </row>
    <row r="368" spans="1:16" x14ac:dyDescent="0.25">
      <c r="A368" s="2" t="s">
        <v>700</v>
      </c>
      <c r="B368" s="2" t="s">
        <v>454</v>
      </c>
      <c r="C368" s="2" t="s">
        <v>29</v>
      </c>
      <c r="D368" s="2" t="s">
        <v>80</v>
      </c>
      <c r="E368" s="4">
        <v>46142</v>
      </c>
      <c r="F368" s="4">
        <v>46146</v>
      </c>
      <c r="G368" s="5">
        <v>14100</v>
      </c>
      <c r="H368" s="5"/>
      <c r="I368" s="2" t="s">
        <v>42</v>
      </c>
      <c r="J368" s="2" t="s">
        <v>1541</v>
      </c>
      <c r="K368" t="s">
        <v>38</v>
      </c>
      <c r="L368" s="12">
        <f>MIS_Report!$B$2-F368</f>
        <v>164</v>
      </c>
      <c r="M368" t="str" cm="1">
        <f t="array" ref="M368">_xlfn.IFS(L368&lt;=30,"0-30",L368&lt;=60,"31-60",L368&lt;=90,"61-90",TRUE,"90+")</f>
        <v>90+</v>
      </c>
      <c r="N368">
        <f t="shared" si="11"/>
        <v>14100</v>
      </c>
      <c r="O368" t="str">
        <f>VLOOKUP(K368,Agents!$A$1:$C$11,2,0)</f>
        <v>Sunita Rao</v>
      </c>
      <c r="P368">
        <f t="shared" si="10"/>
        <v>0</v>
      </c>
    </row>
    <row r="369" spans="1:16" x14ac:dyDescent="0.25">
      <c r="A369" s="2" t="s">
        <v>701</v>
      </c>
      <c r="B369" s="2" t="s">
        <v>129</v>
      </c>
      <c r="C369" s="2" t="s">
        <v>79</v>
      </c>
      <c r="D369" s="2" t="s">
        <v>30</v>
      </c>
      <c r="E369" s="4">
        <v>46253</v>
      </c>
      <c r="F369" s="4">
        <v>46262</v>
      </c>
      <c r="G369" s="5">
        <v>575</v>
      </c>
      <c r="H369" s="5">
        <v>0</v>
      </c>
      <c r="I369" s="2" t="s">
        <v>31</v>
      </c>
      <c r="J369" s="2" t="s">
        <v>47</v>
      </c>
      <c r="K369" t="s">
        <v>56</v>
      </c>
      <c r="L369" s="12">
        <f>MIS_Report!$B$2-F369</f>
        <v>48</v>
      </c>
      <c r="M369" t="str" cm="1">
        <f t="array" ref="M369">_xlfn.IFS(L369&lt;=30,"0-30",L369&lt;=60,"31-60",L369&lt;=90,"61-90",TRUE,"90+")</f>
        <v>31-60</v>
      </c>
      <c r="N369">
        <f t="shared" si="11"/>
        <v>0</v>
      </c>
      <c r="O369" t="str">
        <f>VLOOKUP(K369,Agents!$A$1:$C$11,2,0)</f>
        <v>Manish Arora</v>
      </c>
      <c r="P369">
        <f t="shared" si="10"/>
        <v>575</v>
      </c>
    </row>
    <row r="370" spans="1:16" x14ac:dyDescent="0.25">
      <c r="A370" s="2" t="s">
        <v>702</v>
      </c>
      <c r="B370" s="2" t="s">
        <v>703</v>
      </c>
      <c r="C370" s="2" t="s">
        <v>36</v>
      </c>
      <c r="D370" s="2" t="s">
        <v>71</v>
      </c>
      <c r="E370" s="4">
        <v>46291</v>
      </c>
      <c r="F370" s="4">
        <v>46298</v>
      </c>
      <c r="G370" s="5">
        <v>9500</v>
      </c>
      <c r="H370" s="5"/>
      <c r="I370" s="2" t="s">
        <v>42</v>
      </c>
      <c r="J370" s="2" t="s">
        <v>1541</v>
      </c>
      <c r="K370" t="s">
        <v>62</v>
      </c>
      <c r="L370" s="12">
        <f>MIS_Report!$B$2-F370</f>
        <v>12</v>
      </c>
      <c r="M370" t="str" cm="1">
        <f t="array" ref="M370">_xlfn.IFS(L370&lt;=30,"0-30",L370&lt;=60,"31-60",L370&lt;=90,"61-90",TRUE,"90+")</f>
        <v>0-30</v>
      </c>
      <c r="N370">
        <f t="shared" si="11"/>
        <v>9500</v>
      </c>
      <c r="O370" t="str">
        <f>VLOOKUP(K370,Agents!$A$1:$C$11,2,0)</f>
        <v>Sunita Rao</v>
      </c>
      <c r="P370">
        <f t="shared" si="10"/>
        <v>0</v>
      </c>
    </row>
    <row r="371" spans="1:16" x14ac:dyDescent="0.25">
      <c r="A371" s="2" t="s">
        <v>704</v>
      </c>
      <c r="B371" s="2" t="s">
        <v>705</v>
      </c>
      <c r="C371" s="2" t="s">
        <v>29</v>
      </c>
      <c r="D371" s="2" t="s">
        <v>94</v>
      </c>
      <c r="E371" s="4">
        <v>46043</v>
      </c>
      <c r="F371" s="4">
        <v>46060</v>
      </c>
      <c r="G371" s="5">
        <v>13225</v>
      </c>
      <c r="H371" s="5">
        <v>12991.87</v>
      </c>
      <c r="I371" s="2" t="s">
        <v>37</v>
      </c>
      <c r="J371" s="2" t="s">
        <v>1541</v>
      </c>
      <c r="K371" t="s">
        <v>65</v>
      </c>
      <c r="L371" s="12">
        <f>MIS_Report!$B$2-F371</f>
        <v>250</v>
      </c>
      <c r="M371" t="str" cm="1">
        <f t="array" ref="M371">_xlfn.IFS(L371&lt;=30,"0-30",L371&lt;=60,"31-60",L371&lt;=90,"61-90",TRUE,"90+")</f>
        <v>90+</v>
      </c>
      <c r="N371">
        <f t="shared" si="11"/>
        <v>0</v>
      </c>
      <c r="O371" t="str">
        <f>VLOOKUP(K371,Agents!$A$1:$C$11,2,0)</f>
        <v>Deepak Nair</v>
      </c>
      <c r="P371">
        <f t="shared" si="10"/>
        <v>0</v>
      </c>
    </row>
    <row r="372" spans="1:16" x14ac:dyDescent="0.25">
      <c r="A372" s="2" t="s">
        <v>706</v>
      </c>
      <c r="B372" s="2" t="s">
        <v>707</v>
      </c>
      <c r="C372" s="2" t="s">
        <v>79</v>
      </c>
      <c r="D372" s="2" t="s">
        <v>55</v>
      </c>
      <c r="E372" s="4">
        <v>46200</v>
      </c>
      <c r="F372" s="4">
        <v>46205</v>
      </c>
      <c r="G372" s="5">
        <v>3300</v>
      </c>
      <c r="H372" s="5">
        <v>1932.96</v>
      </c>
      <c r="I372" s="2" t="s">
        <v>37</v>
      </c>
      <c r="J372" s="2" t="s">
        <v>1541</v>
      </c>
      <c r="K372" t="s">
        <v>109</v>
      </c>
      <c r="L372" s="12">
        <f>MIS_Report!$B$2-F372</f>
        <v>105</v>
      </c>
      <c r="M372" t="str" cm="1">
        <f t="array" ref="M372">_xlfn.IFS(L372&lt;=30,"0-30",L372&lt;=60,"31-60",L372&lt;=90,"61-90",TRUE,"90+")</f>
        <v>90+</v>
      </c>
      <c r="N372">
        <f t="shared" si="11"/>
        <v>0</v>
      </c>
      <c r="O372" t="str">
        <f>VLOOKUP(K372,Agents!$A$1:$C$11,2,0)</f>
        <v>Deepak Nair</v>
      </c>
      <c r="P372">
        <f t="shared" si="10"/>
        <v>0</v>
      </c>
    </row>
    <row r="373" spans="1:16" x14ac:dyDescent="0.25">
      <c r="A373" s="2" t="s">
        <v>708</v>
      </c>
      <c r="B373" s="2" t="s">
        <v>266</v>
      </c>
      <c r="C373" s="2" t="s">
        <v>46</v>
      </c>
      <c r="D373" s="2" t="s">
        <v>61</v>
      </c>
      <c r="E373" s="4">
        <v>46233</v>
      </c>
      <c r="F373" s="4">
        <v>46239</v>
      </c>
      <c r="G373" s="5">
        <v>6175</v>
      </c>
      <c r="H373" s="5"/>
      <c r="I373" s="2" t="s">
        <v>42</v>
      </c>
      <c r="J373" s="2" t="s">
        <v>1541</v>
      </c>
      <c r="K373" t="s">
        <v>38</v>
      </c>
      <c r="L373" s="12">
        <f>MIS_Report!$B$2-F373</f>
        <v>71</v>
      </c>
      <c r="M373" t="str" cm="1">
        <f t="array" ref="M373">_xlfn.IFS(L373&lt;=30,"0-30",L373&lt;=60,"31-60",L373&lt;=90,"61-90",TRUE,"90+")</f>
        <v>61-90</v>
      </c>
      <c r="N373">
        <f t="shared" si="11"/>
        <v>6175</v>
      </c>
      <c r="O373" t="str">
        <f>VLOOKUP(K373,Agents!$A$1:$C$11,2,0)</f>
        <v>Sunita Rao</v>
      </c>
      <c r="P373">
        <f t="shared" si="10"/>
        <v>0</v>
      </c>
    </row>
    <row r="374" spans="1:16" x14ac:dyDescent="0.25">
      <c r="A374" s="2" t="s">
        <v>709</v>
      </c>
      <c r="B374" s="2" t="s">
        <v>78</v>
      </c>
      <c r="C374" s="2" t="s">
        <v>79</v>
      </c>
      <c r="D374" s="2" t="s">
        <v>41</v>
      </c>
      <c r="E374" s="4">
        <v>46129</v>
      </c>
      <c r="F374" s="4">
        <v>46132</v>
      </c>
      <c r="G374" s="5">
        <v>375</v>
      </c>
      <c r="H374" s="5"/>
      <c r="I374" s="2" t="s">
        <v>42</v>
      </c>
      <c r="J374" s="2" t="s">
        <v>1541</v>
      </c>
      <c r="K374" t="s">
        <v>33</v>
      </c>
      <c r="L374" s="12">
        <f>MIS_Report!$B$2-F374</f>
        <v>178</v>
      </c>
      <c r="M374" t="str" cm="1">
        <f t="array" ref="M374">_xlfn.IFS(L374&lt;=30,"0-30",L374&lt;=60,"31-60",L374&lt;=90,"61-90",TRUE,"90+")</f>
        <v>90+</v>
      </c>
      <c r="N374">
        <f t="shared" si="11"/>
        <v>375</v>
      </c>
      <c r="O374" t="str">
        <f>VLOOKUP(K374,Agents!$A$1:$C$11,2,0)</f>
        <v>Manish Arora</v>
      </c>
      <c r="P374">
        <f t="shared" si="10"/>
        <v>0</v>
      </c>
    </row>
    <row r="375" spans="1:16" x14ac:dyDescent="0.25">
      <c r="A375" s="2" t="s">
        <v>710</v>
      </c>
      <c r="B375" s="2" t="s">
        <v>222</v>
      </c>
      <c r="C375" s="2" t="s">
        <v>36</v>
      </c>
      <c r="D375" s="2" t="s">
        <v>61</v>
      </c>
      <c r="E375" s="4">
        <v>46076</v>
      </c>
      <c r="F375" s="4">
        <v>46081</v>
      </c>
      <c r="G375" s="5">
        <v>14800</v>
      </c>
      <c r="H375" s="5">
        <v>11109.69</v>
      </c>
      <c r="I375" s="2" t="s">
        <v>37</v>
      </c>
      <c r="J375" s="2" t="s">
        <v>1541</v>
      </c>
      <c r="K375" t="s">
        <v>56</v>
      </c>
      <c r="L375" s="12">
        <f>MIS_Report!$B$2-F375</f>
        <v>229</v>
      </c>
      <c r="M375" t="str" cm="1">
        <f t="array" ref="M375">_xlfn.IFS(L375&lt;=30,"0-30",L375&lt;=60,"31-60",L375&lt;=90,"61-90",TRUE,"90+")</f>
        <v>90+</v>
      </c>
      <c r="N375">
        <f t="shared" si="11"/>
        <v>0</v>
      </c>
      <c r="O375" t="str">
        <f>VLOOKUP(K375,Agents!$A$1:$C$11,2,0)</f>
        <v>Manish Arora</v>
      </c>
      <c r="P375">
        <f t="shared" si="10"/>
        <v>0</v>
      </c>
    </row>
    <row r="376" spans="1:16" x14ac:dyDescent="0.25">
      <c r="A376" s="2" t="s">
        <v>711</v>
      </c>
      <c r="B376" s="2" t="s">
        <v>712</v>
      </c>
      <c r="C376" s="2" t="s">
        <v>46</v>
      </c>
      <c r="D376" s="2" t="s">
        <v>55</v>
      </c>
      <c r="E376" s="4">
        <v>46187</v>
      </c>
      <c r="F376" s="4">
        <v>46194</v>
      </c>
      <c r="G376" s="5">
        <v>11150</v>
      </c>
      <c r="H376" s="5">
        <v>6319.04</v>
      </c>
      <c r="I376" s="2" t="s">
        <v>37</v>
      </c>
      <c r="J376" s="2" t="s">
        <v>1541</v>
      </c>
      <c r="K376" t="s">
        <v>43</v>
      </c>
      <c r="L376" s="12">
        <f>MIS_Report!$B$2-F376</f>
        <v>116</v>
      </c>
      <c r="M376" t="str" cm="1">
        <f t="array" ref="M376">_xlfn.IFS(L376&lt;=30,"0-30",L376&lt;=60,"31-60",L376&lt;=90,"61-90",TRUE,"90+")</f>
        <v>90+</v>
      </c>
      <c r="N376">
        <f t="shared" si="11"/>
        <v>0</v>
      </c>
      <c r="O376" t="str">
        <f>VLOOKUP(K376,Agents!$A$1:$C$11,2,0)</f>
        <v>Manish Arora</v>
      </c>
      <c r="P376">
        <f t="shared" si="10"/>
        <v>0</v>
      </c>
    </row>
    <row r="377" spans="1:16" x14ac:dyDescent="0.25">
      <c r="A377" s="2" t="s">
        <v>713</v>
      </c>
      <c r="B377" s="2" t="s">
        <v>714</v>
      </c>
      <c r="C377" s="2" t="s">
        <v>36</v>
      </c>
      <c r="D377" s="2" t="s">
        <v>55</v>
      </c>
      <c r="E377" s="4">
        <v>46038</v>
      </c>
      <c r="F377" s="4">
        <v>46046</v>
      </c>
      <c r="G377" s="5">
        <v>12325</v>
      </c>
      <c r="H377" s="5">
        <v>9096.5400000000009</v>
      </c>
      <c r="I377" s="2" t="s">
        <v>37</v>
      </c>
      <c r="J377" s="2" t="s">
        <v>1541</v>
      </c>
      <c r="K377" t="s">
        <v>33</v>
      </c>
      <c r="L377" s="12">
        <f>MIS_Report!$B$2-F377</f>
        <v>264</v>
      </c>
      <c r="M377" t="str" cm="1">
        <f t="array" ref="M377">_xlfn.IFS(L377&lt;=30,"0-30",L377&lt;=60,"31-60",L377&lt;=90,"61-90",TRUE,"90+")</f>
        <v>90+</v>
      </c>
      <c r="N377">
        <f t="shared" si="11"/>
        <v>0</v>
      </c>
      <c r="O377" t="str">
        <f>VLOOKUP(K377,Agents!$A$1:$C$11,2,0)</f>
        <v>Manish Arora</v>
      </c>
      <c r="P377">
        <f t="shared" si="10"/>
        <v>0</v>
      </c>
    </row>
    <row r="378" spans="1:16" x14ac:dyDescent="0.25">
      <c r="A378" s="2" t="s">
        <v>715</v>
      </c>
      <c r="B378" s="2" t="s">
        <v>91</v>
      </c>
      <c r="C378" s="2" t="s">
        <v>36</v>
      </c>
      <c r="D378" s="2" t="s">
        <v>80</v>
      </c>
      <c r="E378" s="4">
        <v>46249</v>
      </c>
      <c r="F378" s="4">
        <v>46257</v>
      </c>
      <c r="G378" s="5">
        <v>8500</v>
      </c>
      <c r="H378" s="5">
        <v>8234.17</v>
      </c>
      <c r="I378" s="2" t="s">
        <v>37</v>
      </c>
      <c r="J378" s="2" t="s">
        <v>1541</v>
      </c>
      <c r="K378" t="s">
        <v>43</v>
      </c>
      <c r="L378" s="12">
        <f>MIS_Report!$B$2-F378</f>
        <v>53</v>
      </c>
      <c r="M378" t="str" cm="1">
        <f t="array" ref="M378">_xlfn.IFS(L378&lt;=30,"0-30",L378&lt;=60,"31-60",L378&lt;=90,"61-90",TRUE,"90+")</f>
        <v>31-60</v>
      </c>
      <c r="N378">
        <f t="shared" si="11"/>
        <v>0</v>
      </c>
      <c r="O378" t="str">
        <f>VLOOKUP(K378,Agents!$A$1:$C$11,2,0)</f>
        <v>Manish Arora</v>
      </c>
      <c r="P378">
        <f t="shared" si="10"/>
        <v>0</v>
      </c>
    </row>
    <row r="379" spans="1:16" x14ac:dyDescent="0.25">
      <c r="A379" s="2" t="s">
        <v>716</v>
      </c>
      <c r="B379" s="2" t="s">
        <v>670</v>
      </c>
      <c r="C379" s="2" t="s">
        <v>46</v>
      </c>
      <c r="D379" s="2" t="s">
        <v>61</v>
      </c>
      <c r="E379" s="4">
        <v>46074</v>
      </c>
      <c r="F379" s="4">
        <v>46094</v>
      </c>
      <c r="G379" s="5">
        <v>13475</v>
      </c>
      <c r="H379" s="5"/>
      <c r="I379" s="2" t="s">
        <v>42</v>
      </c>
      <c r="J379" s="2" t="s">
        <v>1541</v>
      </c>
      <c r="K379" t="s">
        <v>83</v>
      </c>
      <c r="L379" s="12">
        <f>MIS_Report!$B$2-F379</f>
        <v>216</v>
      </c>
      <c r="M379" t="str" cm="1">
        <f t="array" ref="M379">_xlfn.IFS(L379&lt;=30,"0-30",L379&lt;=60,"31-60",L379&lt;=90,"61-90",TRUE,"90+")</f>
        <v>90+</v>
      </c>
      <c r="N379">
        <f t="shared" si="11"/>
        <v>13475</v>
      </c>
      <c r="O379" t="str">
        <f>VLOOKUP(K379,Agents!$A$1:$C$11,2,0)</f>
        <v>Deepak Nair</v>
      </c>
      <c r="P379">
        <f t="shared" si="10"/>
        <v>0</v>
      </c>
    </row>
    <row r="380" spans="1:16" x14ac:dyDescent="0.25">
      <c r="A380" s="2" t="s">
        <v>717</v>
      </c>
      <c r="B380" s="2" t="s">
        <v>688</v>
      </c>
      <c r="C380" s="2" t="s">
        <v>79</v>
      </c>
      <c r="D380" s="2" t="s">
        <v>61</v>
      </c>
      <c r="E380" s="4">
        <v>46274</v>
      </c>
      <c r="F380" s="4">
        <v>46287</v>
      </c>
      <c r="G380" s="5">
        <v>4600</v>
      </c>
      <c r="H380" s="5"/>
      <c r="I380" s="2" t="s">
        <v>42</v>
      </c>
      <c r="J380" s="2" t="s">
        <v>1541</v>
      </c>
      <c r="K380" t="s">
        <v>38</v>
      </c>
      <c r="L380" s="12">
        <f>MIS_Report!$B$2-F380</f>
        <v>23</v>
      </c>
      <c r="M380" t="str" cm="1">
        <f t="array" ref="M380">_xlfn.IFS(L380&lt;=30,"0-30",L380&lt;=60,"31-60",L380&lt;=90,"61-90",TRUE,"90+")</f>
        <v>0-30</v>
      </c>
      <c r="N380">
        <f t="shared" si="11"/>
        <v>4600</v>
      </c>
      <c r="O380" t="str">
        <f>VLOOKUP(K380,Agents!$A$1:$C$11,2,0)</f>
        <v>Sunita Rao</v>
      </c>
      <c r="P380">
        <f t="shared" si="10"/>
        <v>0</v>
      </c>
    </row>
    <row r="381" spans="1:16" x14ac:dyDescent="0.25">
      <c r="A381" s="2" t="s">
        <v>718</v>
      </c>
      <c r="B381" s="2" t="s">
        <v>411</v>
      </c>
      <c r="C381" s="2" t="s">
        <v>29</v>
      </c>
      <c r="D381" s="2" t="s">
        <v>30</v>
      </c>
      <c r="E381" s="4">
        <v>46120</v>
      </c>
      <c r="F381" s="4">
        <v>46137</v>
      </c>
      <c r="G381" s="5">
        <v>1900</v>
      </c>
      <c r="H381" s="5">
        <v>1189.97</v>
      </c>
      <c r="I381" s="2" t="s">
        <v>37</v>
      </c>
      <c r="J381" s="2" t="s">
        <v>1541</v>
      </c>
      <c r="K381" t="s">
        <v>65</v>
      </c>
      <c r="L381" s="12">
        <f>MIS_Report!$B$2-F381</f>
        <v>173</v>
      </c>
      <c r="M381" t="str" cm="1">
        <f t="array" ref="M381">_xlfn.IFS(L381&lt;=30,"0-30",L381&lt;=60,"31-60",L381&lt;=90,"61-90",TRUE,"90+")</f>
        <v>90+</v>
      </c>
      <c r="N381">
        <f t="shared" si="11"/>
        <v>0</v>
      </c>
      <c r="O381" t="str">
        <f>VLOOKUP(K381,Agents!$A$1:$C$11,2,0)</f>
        <v>Deepak Nair</v>
      </c>
      <c r="P381">
        <f t="shared" si="10"/>
        <v>0</v>
      </c>
    </row>
    <row r="382" spans="1:16" x14ac:dyDescent="0.25">
      <c r="A382" s="2" t="s">
        <v>719</v>
      </c>
      <c r="B382" s="2" t="s">
        <v>720</v>
      </c>
      <c r="C382" s="2" t="s">
        <v>79</v>
      </c>
      <c r="D382" s="2" t="s">
        <v>41</v>
      </c>
      <c r="E382" s="4">
        <v>46200</v>
      </c>
      <c r="F382" s="4">
        <v>46209</v>
      </c>
      <c r="G382" s="5">
        <v>9725</v>
      </c>
      <c r="H382" s="5">
        <v>8003.21</v>
      </c>
      <c r="I382" s="2" t="s">
        <v>37</v>
      </c>
      <c r="J382" s="2" t="s">
        <v>1541</v>
      </c>
      <c r="K382" t="s">
        <v>83</v>
      </c>
      <c r="L382" s="12">
        <f>MIS_Report!$B$2-F382</f>
        <v>101</v>
      </c>
      <c r="M382" t="str" cm="1">
        <f t="array" ref="M382">_xlfn.IFS(L382&lt;=30,"0-30",L382&lt;=60,"31-60",L382&lt;=90,"61-90",TRUE,"90+")</f>
        <v>90+</v>
      </c>
      <c r="N382">
        <f t="shared" si="11"/>
        <v>0</v>
      </c>
      <c r="O382" t="str">
        <f>VLOOKUP(K382,Agents!$A$1:$C$11,2,0)</f>
        <v>Deepak Nair</v>
      </c>
      <c r="P382">
        <f t="shared" si="10"/>
        <v>0</v>
      </c>
    </row>
    <row r="383" spans="1:16" x14ac:dyDescent="0.25">
      <c r="A383" s="2" t="s">
        <v>721</v>
      </c>
      <c r="B383" s="2" t="s">
        <v>722</v>
      </c>
      <c r="C383" s="2" t="s">
        <v>46</v>
      </c>
      <c r="D383" s="2" t="s">
        <v>41</v>
      </c>
      <c r="E383" s="4">
        <v>46272</v>
      </c>
      <c r="F383" s="4">
        <v>46288</v>
      </c>
      <c r="G383" s="5">
        <v>10700</v>
      </c>
      <c r="H383" s="5">
        <v>0</v>
      </c>
      <c r="I383" s="2" t="s">
        <v>31</v>
      </c>
      <c r="J383" s="2" t="s">
        <v>116</v>
      </c>
      <c r="K383" t="s">
        <v>62</v>
      </c>
      <c r="L383" s="12">
        <f>MIS_Report!$B$2-F383</f>
        <v>22</v>
      </c>
      <c r="M383" t="str" cm="1">
        <f t="array" ref="M383">_xlfn.IFS(L383&lt;=30,"0-30",L383&lt;=60,"31-60",L383&lt;=90,"61-90",TRUE,"90+")</f>
        <v>0-30</v>
      </c>
      <c r="N383">
        <f t="shared" si="11"/>
        <v>0</v>
      </c>
      <c r="O383" t="str">
        <f>VLOOKUP(K383,Agents!$A$1:$C$11,2,0)</f>
        <v>Sunita Rao</v>
      </c>
      <c r="P383">
        <f t="shared" si="10"/>
        <v>10700</v>
      </c>
    </row>
    <row r="384" spans="1:16" x14ac:dyDescent="0.25">
      <c r="A384" s="2" t="s">
        <v>723</v>
      </c>
      <c r="B384" s="2" t="s">
        <v>724</v>
      </c>
      <c r="C384" s="2" t="s">
        <v>46</v>
      </c>
      <c r="D384" s="2" t="s">
        <v>55</v>
      </c>
      <c r="E384" s="4">
        <v>46186</v>
      </c>
      <c r="F384" s="4">
        <v>46203</v>
      </c>
      <c r="G384" s="5">
        <v>9300</v>
      </c>
      <c r="H384" s="5">
        <v>7995.8</v>
      </c>
      <c r="I384" s="2" t="s">
        <v>37</v>
      </c>
      <c r="J384" s="2" t="s">
        <v>1541</v>
      </c>
      <c r="K384" t="s">
        <v>56</v>
      </c>
      <c r="L384" s="12">
        <f>MIS_Report!$B$2-F384</f>
        <v>107</v>
      </c>
      <c r="M384" t="str" cm="1">
        <f t="array" ref="M384">_xlfn.IFS(L384&lt;=30,"0-30",L384&lt;=60,"31-60",L384&lt;=90,"61-90",TRUE,"90+")</f>
        <v>90+</v>
      </c>
      <c r="N384">
        <f t="shared" si="11"/>
        <v>0</v>
      </c>
      <c r="O384" t="str">
        <f>VLOOKUP(K384,Agents!$A$1:$C$11,2,0)</f>
        <v>Manish Arora</v>
      </c>
      <c r="P384">
        <f t="shared" si="10"/>
        <v>0</v>
      </c>
    </row>
    <row r="385" spans="1:16" x14ac:dyDescent="0.25">
      <c r="A385" s="2" t="s">
        <v>725</v>
      </c>
      <c r="B385" s="2" t="s">
        <v>726</v>
      </c>
      <c r="C385" s="2" t="s">
        <v>46</v>
      </c>
      <c r="D385" s="2" t="s">
        <v>30</v>
      </c>
      <c r="E385" s="4">
        <v>46136</v>
      </c>
      <c r="F385" s="4">
        <v>46151</v>
      </c>
      <c r="G385" s="5">
        <v>8350</v>
      </c>
      <c r="H385" s="5">
        <v>0</v>
      </c>
      <c r="I385" s="2" t="s">
        <v>31</v>
      </c>
      <c r="J385" s="2" t="s">
        <v>347</v>
      </c>
      <c r="K385" t="s">
        <v>48</v>
      </c>
      <c r="L385" s="12">
        <f>MIS_Report!$B$2-F385</f>
        <v>159</v>
      </c>
      <c r="M385" t="str" cm="1">
        <f t="array" ref="M385">_xlfn.IFS(L385&lt;=30,"0-30",L385&lt;=60,"31-60",L385&lt;=90,"61-90",TRUE,"90+")</f>
        <v>90+</v>
      </c>
      <c r="N385">
        <f t="shared" si="11"/>
        <v>0</v>
      </c>
      <c r="O385" t="str">
        <f>VLOOKUP(K385,Agents!$A$1:$C$11,2,0)</f>
        <v>Manish Arora</v>
      </c>
      <c r="P385">
        <f t="shared" si="10"/>
        <v>8350</v>
      </c>
    </row>
    <row r="386" spans="1:16" x14ac:dyDescent="0.25">
      <c r="A386" s="2" t="s">
        <v>727</v>
      </c>
      <c r="B386" s="2" t="s">
        <v>728</v>
      </c>
      <c r="C386" s="2" t="s">
        <v>36</v>
      </c>
      <c r="D386" s="2" t="s">
        <v>1538</v>
      </c>
      <c r="E386" s="4">
        <v>46076</v>
      </c>
      <c r="F386" s="4">
        <v>46095</v>
      </c>
      <c r="G386" s="5">
        <v>2425</v>
      </c>
      <c r="H386" s="5">
        <v>1868.06</v>
      </c>
      <c r="I386" s="2" t="s">
        <v>37</v>
      </c>
      <c r="J386" s="2" t="s">
        <v>1541</v>
      </c>
      <c r="K386" t="s">
        <v>65</v>
      </c>
      <c r="L386" s="12">
        <f>MIS_Report!$B$2-F386</f>
        <v>215</v>
      </c>
      <c r="M386" t="str" cm="1">
        <f t="array" ref="M386">_xlfn.IFS(L386&lt;=30,"0-30",L386&lt;=60,"31-60",L386&lt;=90,"61-90",TRUE,"90+")</f>
        <v>90+</v>
      </c>
      <c r="N386">
        <f t="shared" si="11"/>
        <v>0</v>
      </c>
      <c r="O386" t="str">
        <f>VLOOKUP(K386,Agents!$A$1:$C$11,2,0)</f>
        <v>Deepak Nair</v>
      </c>
      <c r="P386">
        <f t="shared" si="10"/>
        <v>0</v>
      </c>
    </row>
    <row r="387" spans="1:16" x14ac:dyDescent="0.25">
      <c r="A387" s="2" t="s">
        <v>729</v>
      </c>
      <c r="B387" s="2" t="s">
        <v>226</v>
      </c>
      <c r="C387" s="2" t="s">
        <v>29</v>
      </c>
      <c r="D387" s="2" t="s">
        <v>41</v>
      </c>
      <c r="E387" s="4">
        <v>46114</v>
      </c>
      <c r="F387" s="4">
        <v>46126</v>
      </c>
      <c r="G387" s="5">
        <v>11150</v>
      </c>
      <c r="H387" s="5"/>
      <c r="I387" s="2" t="s">
        <v>42</v>
      </c>
      <c r="J387" s="2" t="s">
        <v>1541</v>
      </c>
      <c r="K387" t="s">
        <v>109</v>
      </c>
      <c r="L387" s="12">
        <f>MIS_Report!$B$2-F387</f>
        <v>184</v>
      </c>
      <c r="M387" t="str" cm="1">
        <f t="array" ref="M387">_xlfn.IFS(L387&lt;=30,"0-30",L387&lt;=60,"31-60",L387&lt;=90,"61-90",TRUE,"90+")</f>
        <v>90+</v>
      </c>
      <c r="N387">
        <f t="shared" si="11"/>
        <v>11150</v>
      </c>
      <c r="O387" t="str">
        <f>VLOOKUP(K387,Agents!$A$1:$C$11,2,0)</f>
        <v>Deepak Nair</v>
      </c>
      <c r="P387">
        <f t="shared" ref="P387:P450" si="12">IF(I387="Denied",G387,0)</f>
        <v>0</v>
      </c>
    </row>
    <row r="388" spans="1:16" x14ac:dyDescent="0.25">
      <c r="A388" s="2" t="s">
        <v>730</v>
      </c>
      <c r="B388" s="2" t="s">
        <v>491</v>
      </c>
      <c r="C388" s="2" t="s">
        <v>36</v>
      </c>
      <c r="D388" s="2" t="s">
        <v>61</v>
      </c>
      <c r="E388" s="4">
        <v>46171</v>
      </c>
      <c r="F388" s="4">
        <v>46189</v>
      </c>
      <c r="G388" s="5">
        <v>5200</v>
      </c>
      <c r="H388" s="5">
        <v>3053.63</v>
      </c>
      <c r="I388" s="2" t="s">
        <v>37</v>
      </c>
      <c r="J388" s="2" t="s">
        <v>1541</v>
      </c>
      <c r="K388" t="s">
        <v>65</v>
      </c>
      <c r="L388" s="12">
        <f>MIS_Report!$B$2-F388</f>
        <v>121</v>
      </c>
      <c r="M388" t="str" cm="1">
        <f t="array" ref="M388">_xlfn.IFS(L388&lt;=30,"0-30",L388&lt;=60,"31-60",L388&lt;=90,"61-90",TRUE,"90+")</f>
        <v>90+</v>
      </c>
      <c r="N388">
        <f t="shared" si="11"/>
        <v>0</v>
      </c>
      <c r="O388" t="str">
        <f>VLOOKUP(K388,Agents!$A$1:$C$11,2,0)</f>
        <v>Deepak Nair</v>
      </c>
      <c r="P388">
        <f t="shared" si="12"/>
        <v>0</v>
      </c>
    </row>
    <row r="389" spans="1:16" x14ac:dyDescent="0.25">
      <c r="A389" s="2" t="s">
        <v>731</v>
      </c>
      <c r="B389" s="2" t="s">
        <v>349</v>
      </c>
      <c r="C389" s="2" t="s">
        <v>79</v>
      </c>
      <c r="D389" s="2" t="s">
        <v>61</v>
      </c>
      <c r="E389" s="4">
        <v>46259</v>
      </c>
      <c r="F389" s="4">
        <v>46272</v>
      </c>
      <c r="G389" s="5">
        <v>8450</v>
      </c>
      <c r="H389" s="5">
        <v>5992.01</v>
      </c>
      <c r="I389" s="2" t="s">
        <v>37</v>
      </c>
      <c r="J389" s="2" t="s">
        <v>1541</v>
      </c>
      <c r="K389" t="s">
        <v>109</v>
      </c>
      <c r="L389" s="12">
        <f>MIS_Report!$B$2-F389</f>
        <v>38</v>
      </c>
      <c r="M389" t="str" cm="1">
        <f t="array" ref="M389">_xlfn.IFS(L389&lt;=30,"0-30",L389&lt;=60,"31-60",L389&lt;=90,"61-90",TRUE,"90+")</f>
        <v>31-60</v>
      </c>
      <c r="N389">
        <f t="shared" ref="N389:N452" si="13">IF(I389="Pending",G389-H389,0)</f>
        <v>0</v>
      </c>
      <c r="O389" t="str">
        <f>VLOOKUP(K389,Agents!$A$1:$C$11,2,0)</f>
        <v>Deepak Nair</v>
      </c>
      <c r="P389">
        <f t="shared" si="12"/>
        <v>0</v>
      </c>
    </row>
    <row r="390" spans="1:16" x14ac:dyDescent="0.25">
      <c r="A390" s="2" t="s">
        <v>732</v>
      </c>
      <c r="B390" s="2" t="s">
        <v>733</v>
      </c>
      <c r="C390" s="2" t="s">
        <v>79</v>
      </c>
      <c r="D390" s="2" t="s">
        <v>30</v>
      </c>
      <c r="E390" s="4">
        <v>46079</v>
      </c>
      <c r="F390" s="4">
        <v>46086</v>
      </c>
      <c r="G390" s="5">
        <v>9025</v>
      </c>
      <c r="H390" s="5"/>
      <c r="I390" s="2" t="s">
        <v>42</v>
      </c>
      <c r="J390" s="2" t="s">
        <v>1541</v>
      </c>
      <c r="K390" t="s">
        <v>48</v>
      </c>
      <c r="L390" s="12">
        <f>MIS_Report!$B$2-F390</f>
        <v>224</v>
      </c>
      <c r="M390" t="str" cm="1">
        <f t="array" ref="M390">_xlfn.IFS(L390&lt;=30,"0-30",L390&lt;=60,"31-60",L390&lt;=90,"61-90",TRUE,"90+")</f>
        <v>90+</v>
      </c>
      <c r="N390">
        <f t="shared" si="13"/>
        <v>9025</v>
      </c>
      <c r="O390" t="str">
        <f>VLOOKUP(K390,Agents!$A$1:$C$11,2,0)</f>
        <v>Manish Arora</v>
      </c>
      <c r="P390">
        <f t="shared" si="12"/>
        <v>0</v>
      </c>
    </row>
    <row r="391" spans="1:16" x14ac:dyDescent="0.25">
      <c r="A391" s="2" t="s">
        <v>734</v>
      </c>
      <c r="B391" s="2" t="s">
        <v>172</v>
      </c>
      <c r="C391" s="2" t="s">
        <v>46</v>
      </c>
      <c r="D391" s="2" t="s">
        <v>71</v>
      </c>
      <c r="E391" s="4">
        <v>46275</v>
      </c>
      <c r="F391" s="4">
        <v>46280</v>
      </c>
      <c r="G391" s="5">
        <v>4875</v>
      </c>
      <c r="H391" s="5"/>
      <c r="I391" s="2" t="s">
        <v>42</v>
      </c>
      <c r="J391" s="2" t="s">
        <v>1541</v>
      </c>
      <c r="K391" t="s">
        <v>109</v>
      </c>
      <c r="L391" s="12">
        <f>MIS_Report!$B$2-F391</f>
        <v>30</v>
      </c>
      <c r="M391" t="str" cm="1">
        <f t="array" ref="M391">_xlfn.IFS(L391&lt;=30,"0-30",L391&lt;=60,"31-60",L391&lt;=90,"61-90",TRUE,"90+")</f>
        <v>0-30</v>
      </c>
      <c r="N391">
        <f t="shared" si="13"/>
        <v>4875</v>
      </c>
      <c r="O391" t="str">
        <f>VLOOKUP(K391,Agents!$A$1:$C$11,2,0)</f>
        <v>Deepak Nair</v>
      </c>
      <c r="P391">
        <f t="shared" si="12"/>
        <v>0</v>
      </c>
    </row>
    <row r="392" spans="1:16" x14ac:dyDescent="0.25">
      <c r="A392" s="2" t="s">
        <v>735</v>
      </c>
      <c r="B392" s="2" t="s">
        <v>60</v>
      </c>
      <c r="C392" s="2" t="s">
        <v>46</v>
      </c>
      <c r="D392" s="2" t="s">
        <v>1538</v>
      </c>
      <c r="E392" s="4">
        <v>46162</v>
      </c>
      <c r="F392" s="4">
        <v>46174</v>
      </c>
      <c r="G392" s="5">
        <v>2300</v>
      </c>
      <c r="H392" s="5">
        <v>1754.54</v>
      </c>
      <c r="I392" s="2" t="s">
        <v>37</v>
      </c>
      <c r="J392" s="2" t="s">
        <v>1541</v>
      </c>
      <c r="K392" t="s">
        <v>33</v>
      </c>
      <c r="L392" s="12">
        <f>MIS_Report!$B$2-F392</f>
        <v>136</v>
      </c>
      <c r="M392" t="str" cm="1">
        <f t="array" ref="M392">_xlfn.IFS(L392&lt;=30,"0-30",L392&lt;=60,"31-60",L392&lt;=90,"61-90",TRUE,"90+")</f>
        <v>90+</v>
      </c>
      <c r="N392">
        <f t="shared" si="13"/>
        <v>0</v>
      </c>
      <c r="O392" t="str">
        <f>VLOOKUP(K392,Agents!$A$1:$C$11,2,0)</f>
        <v>Manish Arora</v>
      </c>
      <c r="P392">
        <f t="shared" si="12"/>
        <v>0</v>
      </c>
    </row>
    <row r="393" spans="1:16" x14ac:dyDescent="0.25">
      <c r="A393" s="2" t="s">
        <v>736</v>
      </c>
      <c r="B393" s="2" t="s">
        <v>672</v>
      </c>
      <c r="C393" s="2" t="s">
        <v>29</v>
      </c>
      <c r="D393" s="2" t="s">
        <v>41</v>
      </c>
      <c r="E393" s="4">
        <v>46269</v>
      </c>
      <c r="F393" s="4">
        <v>46288</v>
      </c>
      <c r="G393" s="5">
        <v>10875</v>
      </c>
      <c r="H393" s="5"/>
      <c r="I393" s="2" t="s">
        <v>42</v>
      </c>
      <c r="J393" s="2" t="s">
        <v>1541</v>
      </c>
      <c r="K393" t="s">
        <v>33</v>
      </c>
      <c r="L393" s="12">
        <f>MIS_Report!$B$2-F393</f>
        <v>22</v>
      </c>
      <c r="M393" t="str" cm="1">
        <f t="array" ref="M393">_xlfn.IFS(L393&lt;=30,"0-30",L393&lt;=60,"31-60",L393&lt;=90,"61-90",TRUE,"90+")</f>
        <v>0-30</v>
      </c>
      <c r="N393">
        <f t="shared" si="13"/>
        <v>10875</v>
      </c>
      <c r="O393" t="str">
        <f>VLOOKUP(K393,Agents!$A$1:$C$11,2,0)</f>
        <v>Manish Arora</v>
      </c>
      <c r="P393">
        <f t="shared" si="12"/>
        <v>0</v>
      </c>
    </row>
    <row r="394" spans="1:16" x14ac:dyDescent="0.25">
      <c r="A394" s="2" t="s">
        <v>737</v>
      </c>
      <c r="B394" s="2" t="s">
        <v>337</v>
      </c>
      <c r="C394" s="2" t="s">
        <v>46</v>
      </c>
      <c r="D394" s="2" t="s">
        <v>30</v>
      </c>
      <c r="E394" s="4">
        <v>46039</v>
      </c>
      <c r="F394" s="4">
        <v>46047</v>
      </c>
      <c r="G394" s="5">
        <v>8200</v>
      </c>
      <c r="H394" s="5">
        <v>5133.3500000000004</v>
      </c>
      <c r="I394" s="2" t="s">
        <v>37</v>
      </c>
      <c r="J394" s="2" t="s">
        <v>1541</v>
      </c>
      <c r="K394" t="s">
        <v>109</v>
      </c>
      <c r="L394" s="12">
        <f>MIS_Report!$B$2-F394</f>
        <v>263</v>
      </c>
      <c r="M394" t="str" cm="1">
        <f t="array" ref="M394">_xlfn.IFS(L394&lt;=30,"0-30",L394&lt;=60,"31-60",L394&lt;=90,"61-90",TRUE,"90+")</f>
        <v>90+</v>
      </c>
      <c r="N394">
        <f t="shared" si="13"/>
        <v>0</v>
      </c>
      <c r="O394" t="str">
        <f>VLOOKUP(K394,Agents!$A$1:$C$11,2,0)</f>
        <v>Deepak Nair</v>
      </c>
      <c r="P394">
        <f t="shared" si="12"/>
        <v>0</v>
      </c>
    </row>
    <row r="395" spans="1:16" x14ac:dyDescent="0.25">
      <c r="A395" s="2" t="s">
        <v>738</v>
      </c>
      <c r="B395" s="2" t="s">
        <v>739</v>
      </c>
      <c r="C395" s="2" t="s">
        <v>29</v>
      </c>
      <c r="D395" s="2" t="s">
        <v>30</v>
      </c>
      <c r="E395" s="4">
        <v>46186</v>
      </c>
      <c r="F395" s="4">
        <v>46192</v>
      </c>
      <c r="G395" s="5">
        <v>8850</v>
      </c>
      <c r="H395" s="5"/>
      <c r="I395" s="2" t="s">
        <v>42</v>
      </c>
      <c r="J395" s="2" t="s">
        <v>1541</v>
      </c>
      <c r="K395" t="s">
        <v>48</v>
      </c>
      <c r="L395" s="12">
        <f>MIS_Report!$B$2-F395</f>
        <v>118</v>
      </c>
      <c r="M395" t="str" cm="1">
        <f t="array" ref="M395">_xlfn.IFS(L395&lt;=30,"0-30",L395&lt;=60,"31-60",L395&lt;=90,"61-90",TRUE,"90+")</f>
        <v>90+</v>
      </c>
      <c r="N395">
        <f t="shared" si="13"/>
        <v>8850</v>
      </c>
      <c r="O395" t="str">
        <f>VLOOKUP(K395,Agents!$A$1:$C$11,2,0)</f>
        <v>Manish Arora</v>
      </c>
      <c r="P395">
        <f t="shared" si="12"/>
        <v>0</v>
      </c>
    </row>
    <row r="396" spans="1:16" x14ac:dyDescent="0.25">
      <c r="A396" s="2" t="s">
        <v>740</v>
      </c>
      <c r="B396" s="2" t="s">
        <v>264</v>
      </c>
      <c r="C396" s="2" t="s">
        <v>79</v>
      </c>
      <c r="D396" s="2" t="s">
        <v>55</v>
      </c>
      <c r="E396" s="4">
        <v>46126</v>
      </c>
      <c r="F396" s="4">
        <v>46131</v>
      </c>
      <c r="G396" s="5">
        <v>9200</v>
      </c>
      <c r="H396" s="5">
        <v>7506.16</v>
      </c>
      <c r="I396" s="2" t="s">
        <v>37</v>
      </c>
      <c r="J396" s="2" t="s">
        <v>1541</v>
      </c>
      <c r="K396" t="s">
        <v>83</v>
      </c>
      <c r="L396" s="12">
        <f>MIS_Report!$B$2-F396</f>
        <v>179</v>
      </c>
      <c r="M396" t="str" cm="1">
        <f t="array" ref="M396">_xlfn.IFS(L396&lt;=30,"0-30",L396&lt;=60,"31-60",L396&lt;=90,"61-90",TRUE,"90+")</f>
        <v>90+</v>
      </c>
      <c r="N396">
        <f t="shared" si="13"/>
        <v>0</v>
      </c>
      <c r="O396" t="str">
        <f>VLOOKUP(K396,Agents!$A$1:$C$11,2,0)</f>
        <v>Deepak Nair</v>
      </c>
      <c r="P396">
        <f t="shared" si="12"/>
        <v>0</v>
      </c>
    </row>
    <row r="397" spans="1:16" x14ac:dyDescent="0.25">
      <c r="A397" s="2" t="s">
        <v>741</v>
      </c>
      <c r="B397" s="2" t="s">
        <v>489</v>
      </c>
      <c r="C397" s="2" t="s">
        <v>79</v>
      </c>
      <c r="D397" s="2" t="s">
        <v>30</v>
      </c>
      <c r="E397" s="4">
        <v>46111</v>
      </c>
      <c r="F397" s="4">
        <v>46127</v>
      </c>
      <c r="G397" s="5">
        <v>12125</v>
      </c>
      <c r="H397" s="5">
        <v>9210.34</v>
      </c>
      <c r="I397" s="2" t="s">
        <v>37</v>
      </c>
      <c r="J397" s="2" t="s">
        <v>1541</v>
      </c>
      <c r="K397" t="s">
        <v>109</v>
      </c>
      <c r="L397" s="12">
        <f>MIS_Report!$B$2-F397</f>
        <v>183</v>
      </c>
      <c r="M397" t="str" cm="1">
        <f t="array" ref="M397">_xlfn.IFS(L397&lt;=30,"0-30",L397&lt;=60,"31-60",L397&lt;=90,"61-90",TRUE,"90+")</f>
        <v>90+</v>
      </c>
      <c r="N397">
        <f t="shared" si="13"/>
        <v>0</v>
      </c>
      <c r="O397" t="str">
        <f>VLOOKUP(K397,Agents!$A$1:$C$11,2,0)</f>
        <v>Deepak Nair</v>
      </c>
      <c r="P397">
        <f t="shared" si="12"/>
        <v>0</v>
      </c>
    </row>
    <row r="398" spans="1:16" x14ac:dyDescent="0.25">
      <c r="A398" s="2" t="s">
        <v>742</v>
      </c>
      <c r="B398" s="2" t="s">
        <v>743</v>
      </c>
      <c r="C398" s="2" t="s">
        <v>79</v>
      </c>
      <c r="D398" s="2" t="s">
        <v>55</v>
      </c>
      <c r="E398" s="4">
        <v>46275</v>
      </c>
      <c r="F398" s="4">
        <v>46295</v>
      </c>
      <c r="G398" s="5">
        <v>12825</v>
      </c>
      <c r="H398" s="5">
        <v>0</v>
      </c>
      <c r="I398" s="2" t="s">
        <v>31</v>
      </c>
      <c r="J398" s="2" t="s">
        <v>116</v>
      </c>
      <c r="K398" t="s">
        <v>65</v>
      </c>
      <c r="L398" s="12">
        <f>MIS_Report!$B$2-F398</f>
        <v>15</v>
      </c>
      <c r="M398" t="str" cm="1">
        <f t="array" ref="M398">_xlfn.IFS(L398&lt;=30,"0-30",L398&lt;=60,"31-60",L398&lt;=90,"61-90",TRUE,"90+")</f>
        <v>0-30</v>
      </c>
      <c r="N398">
        <f t="shared" si="13"/>
        <v>0</v>
      </c>
      <c r="O398" t="str">
        <f>VLOOKUP(K398,Agents!$A$1:$C$11,2,0)</f>
        <v>Deepak Nair</v>
      </c>
      <c r="P398">
        <f t="shared" si="12"/>
        <v>12825</v>
      </c>
    </row>
    <row r="399" spans="1:16" x14ac:dyDescent="0.25">
      <c r="A399" s="2" t="s">
        <v>744</v>
      </c>
      <c r="B399" s="2" t="s">
        <v>726</v>
      </c>
      <c r="C399" s="2" t="s">
        <v>36</v>
      </c>
      <c r="D399" s="2" t="s">
        <v>94</v>
      </c>
      <c r="E399" s="4">
        <v>46096</v>
      </c>
      <c r="F399" s="4">
        <v>46114</v>
      </c>
      <c r="G399" s="5">
        <v>5625</v>
      </c>
      <c r="H399" s="5">
        <v>4176</v>
      </c>
      <c r="I399" s="2" t="s">
        <v>37</v>
      </c>
      <c r="J399" s="2" t="s">
        <v>1541</v>
      </c>
      <c r="K399" t="s">
        <v>65</v>
      </c>
      <c r="L399" s="12">
        <f>MIS_Report!$B$2-F399</f>
        <v>196</v>
      </c>
      <c r="M399" t="str" cm="1">
        <f t="array" ref="M399">_xlfn.IFS(L399&lt;=30,"0-30",L399&lt;=60,"31-60",L399&lt;=90,"61-90",TRUE,"90+")</f>
        <v>90+</v>
      </c>
      <c r="N399">
        <f t="shared" si="13"/>
        <v>0</v>
      </c>
      <c r="O399" t="str">
        <f>VLOOKUP(K399,Agents!$A$1:$C$11,2,0)</f>
        <v>Deepak Nair</v>
      </c>
      <c r="P399">
        <f t="shared" si="12"/>
        <v>0</v>
      </c>
    </row>
    <row r="400" spans="1:16" x14ac:dyDescent="0.25">
      <c r="A400" s="2" t="s">
        <v>745</v>
      </c>
      <c r="B400" s="2" t="s">
        <v>474</v>
      </c>
      <c r="C400" s="2" t="s">
        <v>46</v>
      </c>
      <c r="D400" s="2" t="s">
        <v>55</v>
      </c>
      <c r="E400" s="4">
        <v>46074</v>
      </c>
      <c r="F400" s="4">
        <v>46088</v>
      </c>
      <c r="G400" s="5">
        <v>2600</v>
      </c>
      <c r="H400" s="5">
        <v>2272.4</v>
      </c>
      <c r="I400" s="2" t="s">
        <v>37</v>
      </c>
      <c r="J400" s="2" t="s">
        <v>1541</v>
      </c>
      <c r="K400" t="s">
        <v>65</v>
      </c>
      <c r="L400" s="12">
        <f>MIS_Report!$B$2-F400</f>
        <v>222</v>
      </c>
      <c r="M400" t="str" cm="1">
        <f t="array" ref="M400">_xlfn.IFS(L400&lt;=30,"0-30",L400&lt;=60,"31-60",L400&lt;=90,"61-90",TRUE,"90+")</f>
        <v>90+</v>
      </c>
      <c r="N400">
        <f t="shared" si="13"/>
        <v>0</v>
      </c>
      <c r="O400" t="str">
        <f>VLOOKUP(K400,Agents!$A$1:$C$11,2,0)</f>
        <v>Deepak Nair</v>
      </c>
      <c r="P400">
        <f t="shared" si="12"/>
        <v>0</v>
      </c>
    </row>
    <row r="401" spans="1:16" x14ac:dyDescent="0.25">
      <c r="A401" s="2" t="s">
        <v>746</v>
      </c>
      <c r="B401" s="2" t="s">
        <v>747</v>
      </c>
      <c r="C401" s="2" t="s">
        <v>46</v>
      </c>
      <c r="D401" s="2" t="s">
        <v>71</v>
      </c>
      <c r="E401" s="4">
        <v>46019</v>
      </c>
      <c r="F401" s="4">
        <v>46036</v>
      </c>
      <c r="G401" s="5">
        <v>9775</v>
      </c>
      <c r="H401" s="5">
        <v>9560.84</v>
      </c>
      <c r="I401" s="2" t="s">
        <v>37</v>
      </c>
      <c r="J401" s="2" t="s">
        <v>1541</v>
      </c>
      <c r="K401" t="s">
        <v>33</v>
      </c>
      <c r="L401" s="12">
        <f>MIS_Report!$B$2-F401</f>
        <v>274</v>
      </c>
      <c r="M401" t="str" cm="1">
        <f t="array" ref="M401">_xlfn.IFS(L401&lt;=30,"0-30",L401&lt;=60,"31-60",L401&lt;=90,"61-90",TRUE,"90+")</f>
        <v>90+</v>
      </c>
      <c r="N401">
        <f t="shared" si="13"/>
        <v>0</v>
      </c>
      <c r="O401" t="str">
        <f>VLOOKUP(K401,Agents!$A$1:$C$11,2,0)</f>
        <v>Manish Arora</v>
      </c>
      <c r="P401">
        <f t="shared" si="12"/>
        <v>0</v>
      </c>
    </row>
    <row r="402" spans="1:16" x14ac:dyDescent="0.25">
      <c r="A402" s="2" t="s">
        <v>748</v>
      </c>
      <c r="B402" s="2" t="s">
        <v>749</v>
      </c>
      <c r="C402" s="2" t="s">
        <v>29</v>
      </c>
      <c r="D402" s="2" t="s">
        <v>68</v>
      </c>
      <c r="E402" s="4">
        <v>46097</v>
      </c>
      <c r="F402" s="4">
        <v>46101</v>
      </c>
      <c r="G402" s="5">
        <v>13750</v>
      </c>
      <c r="H402" s="5">
        <v>7763.62</v>
      </c>
      <c r="I402" s="2" t="s">
        <v>37</v>
      </c>
      <c r="J402" s="2" t="s">
        <v>1541</v>
      </c>
      <c r="K402" t="s">
        <v>43</v>
      </c>
      <c r="L402" s="12">
        <f>MIS_Report!$B$2-F402</f>
        <v>209</v>
      </c>
      <c r="M402" t="str" cm="1">
        <f t="array" ref="M402">_xlfn.IFS(L402&lt;=30,"0-30",L402&lt;=60,"31-60",L402&lt;=90,"61-90",TRUE,"90+")</f>
        <v>90+</v>
      </c>
      <c r="N402">
        <f t="shared" si="13"/>
        <v>0</v>
      </c>
      <c r="O402" t="str">
        <f>VLOOKUP(K402,Agents!$A$1:$C$11,2,0)</f>
        <v>Manish Arora</v>
      </c>
      <c r="P402">
        <f t="shared" si="12"/>
        <v>0</v>
      </c>
    </row>
    <row r="403" spans="1:16" x14ac:dyDescent="0.25">
      <c r="A403" s="2" t="s">
        <v>750</v>
      </c>
      <c r="B403" s="2" t="s">
        <v>751</v>
      </c>
      <c r="C403" s="2" t="s">
        <v>36</v>
      </c>
      <c r="D403" s="2" t="s">
        <v>30</v>
      </c>
      <c r="E403" s="4">
        <v>46199</v>
      </c>
      <c r="F403" s="4">
        <v>46202</v>
      </c>
      <c r="G403" s="5">
        <v>2375</v>
      </c>
      <c r="H403" s="5">
        <v>1638.77</v>
      </c>
      <c r="I403" s="2" t="s">
        <v>37</v>
      </c>
      <c r="J403" s="2" t="s">
        <v>1541</v>
      </c>
      <c r="K403" t="s">
        <v>109</v>
      </c>
      <c r="L403" s="12">
        <f>MIS_Report!$B$2-F403</f>
        <v>108</v>
      </c>
      <c r="M403" t="str" cm="1">
        <f t="array" ref="M403">_xlfn.IFS(L403&lt;=30,"0-30",L403&lt;=60,"31-60",L403&lt;=90,"61-90",TRUE,"90+")</f>
        <v>90+</v>
      </c>
      <c r="N403">
        <f t="shared" si="13"/>
        <v>0</v>
      </c>
      <c r="O403" t="str">
        <f>VLOOKUP(K403,Agents!$A$1:$C$11,2,0)</f>
        <v>Deepak Nair</v>
      </c>
      <c r="P403">
        <f t="shared" si="12"/>
        <v>0</v>
      </c>
    </row>
    <row r="404" spans="1:16" x14ac:dyDescent="0.25">
      <c r="A404" s="2" t="s">
        <v>752</v>
      </c>
      <c r="B404" s="2" t="s">
        <v>753</v>
      </c>
      <c r="C404" s="2" t="s">
        <v>79</v>
      </c>
      <c r="D404" s="2" t="s">
        <v>41</v>
      </c>
      <c r="E404" s="4">
        <v>46205</v>
      </c>
      <c r="F404" s="4">
        <v>46218</v>
      </c>
      <c r="G404" s="5">
        <v>4800</v>
      </c>
      <c r="H404" s="5">
        <v>3599.2</v>
      </c>
      <c r="I404" s="2" t="s">
        <v>37</v>
      </c>
      <c r="J404" s="2" t="s">
        <v>1541</v>
      </c>
      <c r="K404" t="s">
        <v>48</v>
      </c>
      <c r="L404" s="12">
        <f>MIS_Report!$B$2-F404</f>
        <v>92</v>
      </c>
      <c r="M404" t="str" cm="1">
        <f t="array" ref="M404">_xlfn.IFS(L404&lt;=30,"0-30",L404&lt;=60,"31-60",L404&lt;=90,"61-90",TRUE,"90+")</f>
        <v>90+</v>
      </c>
      <c r="N404">
        <f t="shared" si="13"/>
        <v>0</v>
      </c>
      <c r="O404" t="str">
        <f>VLOOKUP(K404,Agents!$A$1:$C$11,2,0)</f>
        <v>Manish Arora</v>
      </c>
      <c r="P404">
        <f t="shared" si="12"/>
        <v>0</v>
      </c>
    </row>
    <row r="405" spans="1:16" x14ac:dyDescent="0.25">
      <c r="A405" s="2" t="s">
        <v>754</v>
      </c>
      <c r="B405" s="2" t="s">
        <v>755</v>
      </c>
      <c r="C405" s="2" t="s">
        <v>36</v>
      </c>
      <c r="D405" s="2" t="s">
        <v>55</v>
      </c>
      <c r="E405" s="4">
        <v>46116</v>
      </c>
      <c r="F405" s="4">
        <v>46125</v>
      </c>
      <c r="G405" s="5">
        <v>9975</v>
      </c>
      <c r="H405" s="5">
        <v>8793.73</v>
      </c>
      <c r="I405" s="2" t="s">
        <v>37</v>
      </c>
      <c r="J405" s="2" t="s">
        <v>1541</v>
      </c>
      <c r="K405" t="s">
        <v>52</v>
      </c>
      <c r="L405" s="12">
        <f>MIS_Report!$B$2-F405</f>
        <v>185</v>
      </c>
      <c r="M405" t="str" cm="1">
        <f t="array" ref="M405">_xlfn.IFS(L405&lt;=30,"0-30",L405&lt;=60,"31-60",L405&lt;=90,"61-90",TRUE,"90+")</f>
        <v>90+</v>
      </c>
      <c r="N405">
        <f t="shared" si="13"/>
        <v>0</v>
      </c>
      <c r="O405" t="str">
        <f>VLOOKUP(K405,Agents!$A$1:$C$11,2,0)</f>
        <v>Sunita Rao</v>
      </c>
      <c r="P405">
        <f t="shared" si="12"/>
        <v>0</v>
      </c>
    </row>
    <row r="406" spans="1:16" x14ac:dyDescent="0.25">
      <c r="A406" s="2" t="s">
        <v>756</v>
      </c>
      <c r="B406" s="2" t="s">
        <v>757</v>
      </c>
      <c r="C406" s="2" t="s">
        <v>46</v>
      </c>
      <c r="D406" s="2" t="s">
        <v>30</v>
      </c>
      <c r="E406" s="4">
        <v>46050</v>
      </c>
      <c r="F406" s="4">
        <v>46068</v>
      </c>
      <c r="G406" s="5">
        <v>2850</v>
      </c>
      <c r="H406" s="5">
        <v>2606.9499999999998</v>
      </c>
      <c r="I406" s="2" t="s">
        <v>37</v>
      </c>
      <c r="J406" s="2" t="s">
        <v>1541</v>
      </c>
      <c r="K406" t="s">
        <v>83</v>
      </c>
      <c r="L406" s="12">
        <f>MIS_Report!$B$2-F406</f>
        <v>242</v>
      </c>
      <c r="M406" t="str" cm="1">
        <f t="array" ref="M406">_xlfn.IFS(L406&lt;=30,"0-30",L406&lt;=60,"31-60",L406&lt;=90,"61-90",TRUE,"90+")</f>
        <v>90+</v>
      </c>
      <c r="N406">
        <f t="shared" si="13"/>
        <v>0</v>
      </c>
      <c r="O406" t="str">
        <f>VLOOKUP(K406,Agents!$A$1:$C$11,2,0)</f>
        <v>Deepak Nair</v>
      </c>
      <c r="P406">
        <f t="shared" si="12"/>
        <v>0</v>
      </c>
    </row>
    <row r="407" spans="1:16" x14ac:dyDescent="0.25">
      <c r="A407" s="2" t="s">
        <v>758</v>
      </c>
      <c r="B407" s="2" t="s">
        <v>759</v>
      </c>
      <c r="C407" s="2" t="s">
        <v>29</v>
      </c>
      <c r="D407" s="2" t="s">
        <v>41</v>
      </c>
      <c r="E407" s="4">
        <v>46063</v>
      </c>
      <c r="F407" s="4">
        <v>46071</v>
      </c>
      <c r="G407" s="5">
        <v>8700</v>
      </c>
      <c r="H407" s="5">
        <v>5259.61</v>
      </c>
      <c r="I407" s="2" t="s">
        <v>37</v>
      </c>
      <c r="J407" s="2" t="s">
        <v>1541</v>
      </c>
      <c r="K407" t="s">
        <v>109</v>
      </c>
      <c r="L407" s="12">
        <f>MIS_Report!$B$2-F407</f>
        <v>239</v>
      </c>
      <c r="M407" t="str" cm="1">
        <f t="array" ref="M407">_xlfn.IFS(L407&lt;=30,"0-30",L407&lt;=60,"31-60",L407&lt;=90,"61-90",TRUE,"90+")</f>
        <v>90+</v>
      </c>
      <c r="N407">
        <f t="shared" si="13"/>
        <v>0</v>
      </c>
      <c r="O407" t="str">
        <f>VLOOKUP(K407,Agents!$A$1:$C$11,2,0)</f>
        <v>Deepak Nair</v>
      </c>
      <c r="P407">
        <f t="shared" si="12"/>
        <v>0</v>
      </c>
    </row>
    <row r="408" spans="1:16" x14ac:dyDescent="0.25">
      <c r="A408" s="2" t="s">
        <v>760</v>
      </c>
      <c r="B408" s="2" t="s">
        <v>761</v>
      </c>
      <c r="C408" s="2" t="s">
        <v>36</v>
      </c>
      <c r="D408" s="2" t="s">
        <v>41</v>
      </c>
      <c r="E408" s="4">
        <v>46177</v>
      </c>
      <c r="F408" s="4">
        <v>46186</v>
      </c>
      <c r="G408" s="5">
        <v>2525</v>
      </c>
      <c r="H408" s="5"/>
      <c r="I408" s="2" t="s">
        <v>42</v>
      </c>
      <c r="J408" s="2" t="s">
        <v>1541</v>
      </c>
      <c r="K408" t="s">
        <v>62</v>
      </c>
      <c r="L408" s="12">
        <f>MIS_Report!$B$2-F408</f>
        <v>124</v>
      </c>
      <c r="M408" t="str" cm="1">
        <f t="array" ref="M408">_xlfn.IFS(L408&lt;=30,"0-30",L408&lt;=60,"31-60",L408&lt;=90,"61-90",TRUE,"90+")</f>
        <v>90+</v>
      </c>
      <c r="N408">
        <f t="shared" si="13"/>
        <v>2525</v>
      </c>
      <c r="O408" t="str">
        <f>VLOOKUP(K408,Agents!$A$1:$C$11,2,0)</f>
        <v>Sunita Rao</v>
      </c>
      <c r="P408">
        <f t="shared" si="12"/>
        <v>0</v>
      </c>
    </row>
    <row r="409" spans="1:16" x14ac:dyDescent="0.25">
      <c r="A409" s="2" t="s">
        <v>762</v>
      </c>
      <c r="B409" s="2" t="s">
        <v>763</v>
      </c>
      <c r="C409" s="2" t="s">
        <v>29</v>
      </c>
      <c r="D409" s="2" t="s">
        <v>1538</v>
      </c>
      <c r="E409" s="4">
        <v>46156</v>
      </c>
      <c r="F409" s="4">
        <v>46172</v>
      </c>
      <c r="G409" s="5">
        <v>10500</v>
      </c>
      <c r="H409" s="5"/>
      <c r="I409" s="2" t="s">
        <v>42</v>
      </c>
      <c r="J409" s="2" t="s">
        <v>1541</v>
      </c>
      <c r="K409" t="s">
        <v>43</v>
      </c>
      <c r="L409" s="12">
        <f>MIS_Report!$B$2-F409</f>
        <v>138</v>
      </c>
      <c r="M409" t="str" cm="1">
        <f t="array" ref="M409">_xlfn.IFS(L409&lt;=30,"0-30",L409&lt;=60,"31-60",L409&lt;=90,"61-90",TRUE,"90+")</f>
        <v>90+</v>
      </c>
      <c r="N409">
        <f t="shared" si="13"/>
        <v>10500</v>
      </c>
      <c r="O409" t="str">
        <f>VLOOKUP(K409,Agents!$A$1:$C$11,2,0)</f>
        <v>Manish Arora</v>
      </c>
      <c r="P409">
        <f t="shared" si="12"/>
        <v>0</v>
      </c>
    </row>
    <row r="410" spans="1:16" x14ac:dyDescent="0.25">
      <c r="A410" s="2" t="s">
        <v>764</v>
      </c>
      <c r="B410" s="2" t="s">
        <v>152</v>
      </c>
      <c r="C410" s="2" t="s">
        <v>46</v>
      </c>
      <c r="D410" s="2" t="s">
        <v>30</v>
      </c>
      <c r="E410" s="4">
        <v>46216</v>
      </c>
      <c r="F410" s="4">
        <v>46229</v>
      </c>
      <c r="G410" s="5">
        <v>11500</v>
      </c>
      <c r="H410" s="5">
        <v>6588.19</v>
      </c>
      <c r="I410" s="2" t="s">
        <v>37</v>
      </c>
      <c r="J410" s="2" t="s">
        <v>1541</v>
      </c>
      <c r="K410" t="s">
        <v>38</v>
      </c>
      <c r="L410" s="12">
        <f>MIS_Report!$B$2-F410</f>
        <v>81</v>
      </c>
      <c r="M410" t="str" cm="1">
        <f t="array" ref="M410">_xlfn.IFS(L410&lt;=30,"0-30",L410&lt;=60,"31-60",L410&lt;=90,"61-90",TRUE,"90+")</f>
        <v>61-90</v>
      </c>
      <c r="N410">
        <f t="shared" si="13"/>
        <v>0</v>
      </c>
      <c r="O410" t="str">
        <f>VLOOKUP(K410,Agents!$A$1:$C$11,2,0)</f>
        <v>Sunita Rao</v>
      </c>
      <c r="P410">
        <f t="shared" si="12"/>
        <v>0</v>
      </c>
    </row>
    <row r="411" spans="1:16" x14ac:dyDescent="0.25">
      <c r="A411" s="2" t="s">
        <v>765</v>
      </c>
      <c r="B411" s="2" t="s">
        <v>766</v>
      </c>
      <c r="C411" s="2" t="s">
        <v>29</v>
      </c>
      <c r="D411" s="2" t="s">
        <v>41</v>
      </c>
      <c r="E411" s="4">
        <v>46286</v>
      </c>
      <c r="F411" s="4">
        <v>46298</v>
      </c>
      <c r="G411" s="5">
        <v>9725</v>
      </c>
      <c r="H411" s="5">
        <v>6817.89</v>
      </c>
      <c r="I411" s="2" t="s">
        <v>37</v>
      </c>
      <c r="J411" s="2" t="s">
        <v>1541</v>
      </c>
      <c r="K411" t="s">
        <v>109</v>
      </c>
      <c r="L411" s="12">
        <f>MIS_Report!$B$2-F411</f>
        <v>12</v>
      </c>
      <c r="M411" t="str" cm="1">
        <f t="array" ref="M411">_xlfn.IFS(L411&lt;=30,"0-30",L411&lt;=60,"31-60",L411&lt;=90,"61-90",TRUE,"90+")</f>
        <v>0-30</v>
      </c>
      <c r="N411">
        <f t="shared" si="13"/>
        <v>0</v>
      </c>
      <c r="O411" t="str">
        <f>VLOOKUP(K411,Agents!$A$1:$C$11,2,0)</f>
        <v>Deepak Nair</v>
      </c>
      <c r="P411">
        <f t="shared" si="12"/>
        <v>0</v>
      </c>
    </row>
    <row r="412" spans="1:16" x14ac:dyDescent="0.25">
      <c r="A412" s="2" t="s">
        <v>767</v>
      </c>
      <c r="B412" s="2" t="s">
        <v>28</v>
      </c>
      <c r="C412" s="2" t="s">
        <v>29</v>
      </c>
      <c r="D412" s="2" t="s">
        <v>30</v>
      </c>
      <c r="E412" s="4">
        <v>46046</v>
      </c>
      <c r="F412" s="4">
        <v>46049</v>
      </c>
      <c r="G412" s="5">
        <v>7875</v>
      </c>
      <c r="H412" s="5">
        <v>5173.34</v>
      </c>
      <c r="I412" s="2" t="s">
        <v>37</v>
      </c>
      <c r="J412" s="2" t="s">
        <v>1541</v>
      </c>
      <c r="K412" t="s">
        <v>56</v>
      </c>
      <c r="L412" s="12">
        <f>MIS_Report!$B$2-F412</f>
        <v>261</v>
      </c>
      <c r="M412" t="str" cm="1">
        <f t="array" ref="M412">_xlfn.IFS(L412&lt;=30,"0-30",L412&lt;=60,"31-60",L412&lt;=90,"61-90",TRUE,"90+")</f>
        <v>90+</v>
      </c>
      <c r="N412">
        <f t="shared" si="13"/>
        <v>0</v>
      </c>
      <c r="O412" t="str">
        <f>VLOOKUP(K412,Agents!$A$1:$C$11,2,0)</f>
        <v>Manish Arora</v>
      </c>
      <c r="P412">
        <f t="shared" si="12"/>
        <v>0</v>
      </c>
    </row>
    <row r="413" spans="1:16" x14ac:dyDescent="0.25">
      <c r="A413" s="2" t="s">
        <v>768</v>
      </c>
      <c r="B413" s="2" t="s">
        <v>573</v>
      </c>
      <c r="C413" s="2" t="s">
        <v>29</v>
      </c>
      <c r="D413" s="2" t="s">
        <v>41</v>
      </c>
      <c r="E413" s="4">
        <v>46204</v>
      </c>
      <c r="F413" s="4">
        <v>46207</v>
      </c>
      <c r="G413" s="5">
        <v>11650</v>
      </c>
      <c r="H413" s="5">
        <v>8604.9599999999991</v>
      </c>
      <c r="I413" s="2" t="s">
        <v>37</v>
      </c>
      <c r="J413" s="2" t="s">
        <v>1541</v>
      </c>
      <c r="K413" t="s">
        <v>38</v>
      </c>
      <c r="L413" s="12">
        <f>MIS_Report!$B$2-F413</f>
        <v>103</v>
      </c>
      <c r="M413" t="str" cm="1">
        <f t="array" ref="M413">_xlfn.IFS(L413&lt;=30,"0-30",L413&lt;=60,"31-60",L413&lt;=90,"61-90",TRUE,"90+")</f>
        <v>90+</v>
      </c>
      <c r="N413">
        <f t="shared" si="13"/>
        <v>0</v>
      </c>
      <c r="O413" t="str">
        <f>VLOOKUP(K413,Agents!$A$1:$C$11,2,0)</f>
        <v>Sunita Rao</v>
      </c>
      <c r="P413">
        <f t="shared" si="12"/>
        <v>0</v>
      </c>
    </row>
    <row r="414" spans="1:16" x14ac:dyDescent="0.25">
      <c r="A414" s="2" t="s">
        <v>769</v>
      </c>
      <c r="B414" s="2" t="s">
        <v>413</v>
      </c>
      <c r="C414" s="2" t="s">
        <v>79</v>
      </c>
      <c r="D414" s="2" t="s">
        <v>68</v>
      </c>
      <c r="E414" s="4">
        <v>46142</v>
      </c>
      <c r="F414" s="4">
        <v>46161</v>
      </c>
      <c r="G414" s="5">
        <v>10275</v>
      </c>
      <c r="H414" s="5">
        <v>0</v>
      </c>
      <c r="I414" s="2" t="s">
        <v>31</v>
      </c>
      <c r="J414" s="2" t="s">
        <v>116</v>
      </c>
      <c r="K414" t="s">
        <v>65</v>
      </c>
      <c r="L414" s="12">
        <f>MIS_Report!$B$2-F414</f>
        <v>149</v>
      </c>
      <c r="M414" t="str" cm="1">
        <f t="array" ref="M414">_xlfn.IFS(L414&lt;=30,"0-30",L414&lt;=60,"31-60",L414&lt;=90,"61-90",TRUE,"90+")</f>
        <v>90+</v>
      </c>
      <c r="N414">
        <f t="shared" si="13"/>
        <v>0</v>
      </c>
      <c r="O414" t="str">
        <f>VLOOKUP(K414,Agents!$A$1:$C$11,2,0)</f>
        <v>Deepak Nair</v>
      </c>
      <c r="P414">
        <f t="shared" si="12"/>
        <v>10275</v>
      </c>
    </row>
    <row r="415" spans="1:16" x14ac:dyDescent="0.25">
      <c r="A415" s="2" t="s">
        <v>770</v>
      </c>
      <c r="B415" s="2" t="s">
        <v>771</v>
      </c>
      <c r="C415" s="2" t="s">
        <v>36</v>
      </c>
      <c r="D415" s="2" t="s">
        <v>80</v>
      </c>
      <c r="E415" s="4">
        <v>46277</v>
      </c>
      <c r="F415" s="4">
        <v>46296</v>
      </c>
      <c r="G415" s="5">
        <v>13500</v>
      </c>
      <c r="H415" s="5"/>
      <c r="I415" s="2" t="s">
        <v>42</v>
      </c>
      <c r="J415" s="2" t="s">
        <v>1541</v>
      </c>
      <c r="K415" t="s">
        <v>109</v>
      </c>
      <c r="L415" s="12">
        <f>MIS_Report!$B$2-F415</f>
        <v>14</v>
      </c>
      <c r="M415" t="str" cm="1">
        <f t="array" ref="M415">_xlfn.IFS(L415&lt;=30,"0-30",L415&lt;=60,"31-60",L415&lt;=90,"61-90",TRUE,"90+")</f>
        <v>0-30</v>
      </c>
      <c r="N415">
        <f t="shared" si="13"/>
        <v>13500</v>
      </c>
      <c r="O415" t="str">
        <f>VLOOKUP(K415,Agents!$A$1:$C$11,2,0)</f>
        <v>Deepak Nair</v>
      </c>
      <c r="P415">
        <f t="shared" si="12"/>
        <v>0</v>
      </c>
    </row>
    <row r="416" spans="1:16" x14ac:dyDescent="0.25">
      <c r="A416" s="2" t="s">
        <v>772</v>
      </c>
      <c r="B416" s="2" t="s">
        <v>67</v>
      </c>
      <c r="C416" s="2" t="s">
        <v>29</v>
      </c>
      <c r="D416" s="2" t="s">
        <v>41</v>
      </c>
      <c r="E416" s="4">
        <v>46277</v>
      </c>
      <c r="F416" s="4">
        <v>46297</v>
      </c>
      <c r="G416" s="5">
        <v>1550</v>
      </c>
      <c r="H416" s="5"/>
      <c r="I416" s="2" t="s">
        <v>42</v>
      </c>
      <c r="J416" s="2" t="s">
        <v>1541</v>
      </c>
      <c r="K416" t="s">
        <v>109</v>
      </c>
      <c r="L416" s="12">
        <f>MIS_Report!$B$2-F416</f>
        <v>13</v>
      </c>
      <c r="M416" t="str" cm="1">
        <f t="array" ref="M416">_xlfn.IFS(L416&lt;=30,"0-30",L416&lt;=60,"31-60",L416&lt;=90,"61-90",TRUE,"90+")</f>
        <v>0-30</v>
      </c>
      <c r="N416">
        <f t="shared" si="13"/>
        <v>1550</v>
      </c>
      <c r="O416" t="str">
        <f>VLOOKUP(K416,Agents!$A$1:$C$11,2,0)</f>
        <v>Deepak Nair</v>
      </c>
      <c r="P416">
        <f t="shared" si="12"/>
        <v>0</v>
      </c>
    </row>
    <row r="417" spans="1:16" x14ac:dyDescent="0.25">
      <c r="A417" s="2" t="s">
        <v>773</v>
      </c>
      <c r="B417" s="2" t="s">
        <v>774</v>
      </c>
      <c r="C417" s="2" t="s">
        <v>29</v>
      </c>
      <c r="D417" s="2" t="s">
        <v>41</v>
      </c>
      <c r="E417" s="4">
        <v>46096</v>
      </c>
      <c r="F417" s="4">
        <v>46107</v>
      </c>
      <c r="G417" s="5">
        <v>3975</v>
      </c>
      <c r="H417" s="5"/>
      <c r="I417" s="2" t="s">
        <v>42</v>
      </c>
      <c r="J417" s="2" t="s">
        <v>1541</v>
      </c>
      <c r="K417" t="s">
        <v>62</v>
      </c>
      <c r="L417" s="12">
        <f>MIS_Report!$B$2-F417</f>
        <v>203</v>
      </c>
      <c r="M417" t="str" cm="1">
        <f t="array" ref="M417">_xlfn.IFS(L417&lt;=30,"0-30",L417&lt;=60,"31-60",L417&lt;=90,"61-90",TRUE,"90+")</f>
        <v>90+</v>
      </c>
      <c r="N417">
        <f t="shared" si="13"/>
        <v>3975</v>
      </c>
      <c r="O417" t="str">
        <f>VLOOKUP(K417,Agents!$A$1:$C$11,2,0)</f>
        <v>Sunita Rao</v>
      </c>
      <c r="P417">
        <f t="shared" si="12"/>
        <v>0</v>
      </c>
    </row>
    <row r="418" spans="1:16" x14ac:dyDescent="0.25">
      <c r="A418" s="2" t="s">
        <v>775</v>
      </c>
      <c r="B418" s="2" t="s">
        <v>474</v>
      </c>
      <c r="C418" s="2" t="s">
        <v>46</v>
      </c>
      <c r="D418" s="2" t="s">
        <v>71</v>
      </c>
      <c r="E418" s="4">
        <v>46240</v>
      </c>
      <c r="F418" s="4">
        <v>46243</v>
      </c>
      <c r="G418" s="5">
        <v>8700</v>
      </c>
      <c r="H418" s="5">
        <v>8225.83</v>
      </c>
      <c r="I418" s="2" t="s">
        <v>37</v>
      </c>
      <c r="J418" s="2" t="s">
        <v>1541</v>
      </c>
      <c r="K418" t="s">
        <v>38</v>
      </c>
      <c r="L418" s="12">
        <f>MIS_Report!$B$2-F418</f>
        <v>67</v>
      </c>
      <c r="M418" t="str" cm="1">
        <f t="array" ref="M418">_xlfn.IFS(L418&lt;=30,"0-30",L418&lt;=60,"31-60",L418&lt;=90,"61-90",TRUE,"90+")</f>
        <v>61-90</v>
      </c>
      <c r="N418">
        <f t="shared" si="13"/>
        <v>0</v>
      </c>
      <c r="O418" t="str">
        <f>VLOOKUP(K418,Agents!$A$1:$C$11,2,0)</f>
        <v>Sunita Rao</v>
      </c>
      <c r="P418">
        <f t="shared" si="12"/>
        <v>0</v>
      </c>
    </row>
    <row r="419" spans="1:16" x14ac:dyDescent="0.25">
      <c r="A419" s="2" t="s">
        <v>776</v>
      </c>
      <c r="B419" s="2" t="s">
        <v>569</v>
      </c>
      <c r="C419" s="2" t="s">
        <v>36</v>
      </c>
      <c r="D419" s="2" t="s">
        <v>30</v>
      </c>
      <c r="E419" s="4">
        <v>46255</v>
      </c>
      <c r="F419" s="4">
        <v>46259</v>
      </c>
      <c r="G419" s="5">
        <v>13800</v>
      </c>
      <c r="H419" s="5">
        <v>9134.32</v>
      </c>
      <c r="I419" s="2" t="s">
        <v>37</v>
      </c>
      <c r="J419" s="2" t="s">
        <v>1541</v>
      </c>
      <c r="K419" t="s">
        <v>38</v>
      </c>
      <c r="L419" s="12">
        <f>MIS_Report!$B$2-F419</f>
        <v>51</v>
      </c>
      <c r="M419" t="str" cm="1">
        <f t="array" ref="M419">_xlfn.IFS(L419&lt;=30,"0-30",L419&lt;=60,"31-60",L419&lt;=90,"61-90",TRUE,"90+")</f>
        <v>31-60</v>
      </c>
      <c r="N419">
        <f t="shared" si="13"/>
        <v>0</v>
      </c>
      <c r="O419" t="str">
        <f>VLOOKUP(K419,Agents!$A$1:$C$11,2,0)</f>
        <v>Sunita Rao</v>
      </c>
      <c r="P419">
        <f t="shared" si="12"/>
        <v>0</v>
      </c>
    </row>
    <row r="420" spans="1:16" x14ac:dyDescent="0.25">
      <c r="A420" s="2" t="s">
        <v>777</v>
      </c>
      <c r="B420" s="2" t="s">
        <v>634</v>
      </c>
      <c r="C420" s="2" t="s">
        <v>46</v>
      </c>
      <c r="D420" s="2" t="s">
        <v>55</v>
      </c>
      <c r="E420" s="4">
        <v>46253</v>
      </c>
      <c r="F420" s="4">
        <v>46259</v>
      </c>
      <c r="G420" s="5">
        <v>11700</v>
      </c>
      <c r="H420" s="5">
        <v>9074.2900000000009</v>
      </c>
      <c r="I420" s="2" t="s">
        <v>37</v>
      </c>
      <c r="J420" s="2" t="s">
        <v>1541</v>
      </c>
      <c r="K420" t="s">
        <v>83</v>
      </c>
      <c r="L420" s="12">
        <f>MIS_Report!$B$2-F420</f>
        <v>51</v>
      </c>
      <c r="M420" t="str" cm="1">
        <f t="array" ref="M420">_xlfn.IFS(L420&lt;=30,"0-30",L420&lt;=60,"31-60",L420&lt;=90,"61-90",TRUE,"90+")</f>
        <v>31-60</v>
      </c>
      <c r="N420">
        <f t="shared" si="13"/>
        <v>0</v>
      </c>
      <c r="O420" t="str">
        <f>VLOOKUP(K420,Agents!$A$1:$C$11,2,0)</f>
        <v>Deepak Nair</v>
      </c>
      <c r="P420">
        <f t="shared" si="12"/>
        <v>0</v>
      </c>
    </row>
    <row r="421" spans="1:16" x14ac:dyDescent="0.25">
      <c r="A421" s="2" t="s">
        <v>778</v>
      </c>
      <c r="B421" s="2" t="s">
        <v>779</v>
      </c>
      <c r="C421" s="2" t="s">
        <v>79</v>
      </c>
      <c r="D421" s="2" t="s">
        <v>68</v>
      </c>
      <c r="E421" s="4">
        <v>46246</v>
      </c>
      <c r="F421" s="4">
        <v>46265</v>
      </c>
      <c r="G421" s="5">
        <v>11425</v>
      </c>
      <c r="H421" s="5">
        <v>6381.49</v>
      </c>
      <c r="I421" s="2" t="s">
        <v>37</v>
      </c>
      <c r="J421" s="2" t="s">
        <v>1541</v>
      </c>
      <c r="K421" t="s">
        <v>43</v>
      </c>
      <c r="L421" s="12">
        <f>MIS_Report!$B$2-F421</f>
        <v>45</v>
      </c>
      <c r="M421" t="str" cm="1">
        <f t="array" ref="M421">_xlfn.IFS(L421&lt;=30,"0-30",L421&lt;=60,"31-60",L421&lt;=90,"61-90",TRUE,"90+")</f>
        <v>31-60</v>
      </c>
      <c r="N421">
        <f t="shared" si="13"/>
        <v>0</v>
      </c>
      <c r="O421" t="str">
        <f>VLOOKUP(K421,Agents!$A$1:$C$11,2,0)</f>
        <v>Manish Arora</v>
      </c>
      <c r="P421">
        <f t="shared" si="12"/>
        <v>0</v>
      </c>
    </row>
    <row r="422" spans="1:16" x14ac:dyDescent="0.25">
      <c r="A422" s="2" t="s">
        <v>780</v>
      </c>
      <c r="B422" s="2" t="s">
        <v>521</v>
      </c>
      <c r="C422" s="2" t="s">
        <v>46</v>
      </c>
      <c r="D422" s="2" t="s">
        <v>68</v>
      </c>
      <c r="E422" s="4">
        <v>46240</v>
      </c>
      <c r="F422" s="4">
        <v>46258</v>
      </c>
      <c r="G422" s="5">
        <v>9225</v>
      </c>
      <c r="H422" s="5"/>
      <c r="I422" s="2" t="s">
        <v>42</v>
      </c>
      <c r="J422" s="2" t="s">
        <v>1541</v>
      </c>
      <c r="K422" t="s">
        <v>33</v>
      </c>
      <c r="L422" s="12">
        <f>MIS_Report!$B$2-F422</f>
        <v>52</v>
      </c>
      <c r="M422" t="str" cm="1">
        <f t="array" ref="M422">_xlfn.IFS(L422&lt;=30,"0-30",L422&lt;=60,"31-60",L422&lt;=90,"61-90",TRUE,"90+")</f>
        <v>31-60</v>
      </c>
      <c r="N422">
        <f t="shared" si="13"/>
        <v>9225</v>
      </c>
      <c r="O422" t="str">
        <f>VLOOKUP(K422,Agents!$A$1:$C$11,2,0)</f>
        <v>Manish Arora</v>
      </c>
      <c r="P422">
        <f t="shared" si="12"/>
        <v>0</v>
      </c>
    </row>
    <row r="423" spans="1:16" x14ac:dyDescent="0.25">
      <c r="A423" s="2" t="s">
        <v>781</v>
      </c>
      <c r="B423" s="2" t="s">
        <v>782</v>
      </c>
      <c r="C423" s="2" t="s">
        <v>46</v>
      </c>
      <c r="D423" s="2" t="s">
        <v>30</v>
      </c>
      <c r="E423" s="4">
        <v>46060</v>
      </c>
      <c r="F423" s="4">
        <v>46069</v>
      </c>
      <c r="G423" s="5">
        <v>1350</v>
      </c>
      <c r="H423" s="5">
        <v>814.4</v>
      </c>
      <c r="I423" s="2" t="s">
        <v>37</v>
      </c>
      <c r="J423" s="2" t="s">
        <v>1541</v>
      </c>
      <c r="K423" t="s">
        <v>65</v>
      </c>
      <c r="L423" s="12">
        <f>MIS_Report!$B$2-F423</f>
        <v>241</v>
      </c>
      <c r="M423" t="str" cm="1">
        <f t="array" ref="M423">_xlfn.IFS(L423&lt;=30,"0-30",L423&lt;=60,"31-60",L423&lt;=90,"61-90",TRUE,"90+")</f>
        <v>90+</v>
      </c>
      <c r="N423">
        <f t="shared" si="13"/>
        <v>0</v>
      </c>
      <c r="O423" t="str">
        <f>VLOOKUP(K423,Agents!$A$1:$C$11,2,0)</f>
        <v>Deepak Nair</v>
      </c>
      <c r="P423">
        <f t="shared" si="12"/>
        <v>0</v>
      </c>
    </row>
    <row r="424" spans="1:16" x14ac:dyDescent="0.25">
      <c r="A424" s="2" t="s">
        <v>783</v>
      </c>
      <c r="B424" s="2" t="s">
        <v>405</v>
      </c>
      <c r="C424" s="2" t="s">
        <v>46</v>
      </c>
      <c r="D424" s="2" t="s">
        <v>80</v>
      </c>
      <c r="E424" s="4">
        <v>46147</v>
      </c>
      <c r="F424" s="4">
        <v>46165</v>
      </c>
      <c r="G424" s="5">
        <v>3575</v>
      </c>
      <c r="H424" s="5">
        <v>2785.65</v>
      </c>
      <c r="I424" s="2" t="s">
        <v>37</v>
      </c>
      <c r="J424" s="2" t="s">
        <v>1541</v>
      </c>
      <c r="K424" t="s">
        <v>33</v>
      </c>
      <c r="L424" s="12">
        <f>MIS_Report!$B$2-F424</f>
        <v>145</v>
      </c>
      <c r="M424" t="str" cm="1">
        <f t="array" ref="M424">_xlfn.IFS(L424&lt;=30,"0-30",L424&lt;=60,"31-60",L424&lt;=90,"61-90",TRUE,"90+")</f>
        <v>90+</v>
      </c>
      <c r="N424">
        <f t="shared" si="13"/>
        <v>0</v>
      </c>
      <c r="O424" t="str">
        <f>VLOOKUP(K424,Agents!$A$1:$C$11,2,0)</f>
        <v>Manish Arora</v>
      </c>
      <c r="P424">
        <f t="shared" si="12"/>
        <v>0</v>
      </c>
    </row>
    <row r="425" spans="1:16" x14ac:dyDescent="0.25">
      <c r="A425" s="2" t="s">
        <v>784</v>
      </c>
      <c r="B425" s="2" t="s">
        <v>85</v>
      </c>
      <c r="C425" s="2" t="s">
        <v>29</v>
      </c>
      <c r="D425" s="2" t="s">
        <v>80</v>
      </c>
      <c r="E425" s="4">
        <v>46087</v>
      </c>
      <c r="F425" s="4">
        <v>46098</v>
      </c>
      <c r="G425" s="5">
        <v>5700</v>
      </c>
      <c r="H425" s="5">
        <v>3431.85</v>
      </c>
      <c r="I425" s="2" t="s">
        <v>37</v>
      </c>
      <c r="J425" s="2" t="s">
        <v>1541</v>
      </c>
      <c r="K425" t="s">
        <v>52</v>
      </c>
      <c r="L425" s="12">
        <f>MIS_Report!$B$2-F425</f>
        <v>212</v>
      </c>
      <c r="M425" t="str" cm="1">
        <f t="array" ref="M425">_xlfn.IFS(L425&lt;=30,"0-30",L425&lt;=60,"31-60",L425&lt;=90,"61-90",TRUE,"90+")</f>
        <v>90+</v>
      </c>
      <c r="N425">
        <f t="shared" si="13"/>
        <v>0</v>
      </c>
      <c r="O425" t="str">
        <f>VLOOKUP(K425,Agents!$A$1:$C$11,2,0)</f>
        <v>Sunita Rao</v>
      </c>
      <c r="P425">
        <f t="shared" si="12"/>
        <v>0</v>
      </c>
    </row>
    <row r="426" spans="1:16" x14ac:dyDescent="0.25">
      <c r="A426" s="2" t="s">
        <v>785</v>
      </c>
      <c r="B426" s="2" t="s">
        <v>421</v>
      </c>
      <c r="C426" s="2" t="s">
        <v>29</v>
      </c>
      <c r="D426" s="2" t="s">
        <v>80</v>
      </c>
      <c r="E426" s="4">
        <v>46057</v>
      </c>
      <c r="F426" s="4">
        <v>46061</v>
      </c>
      <c r="G426" s="5">
        <v>1400</v>
      </c>
      <c r="H426" s="5">
        <v>1243.4100000000001</v>
      </c>
      <c r="I426" s="2" t="s">
        <v>37</v>
      </c>
      <c r="J426" s="2" t="s">
        <v>1541</v>
      </c>
      <c r="K426" t="s">
        <v>43</v>
      </c>
      <c r="L426" s="12">
        <f>MIS_Report!$B$2-F426</f>
        <v>249</v>
      </c>
      <c r="M426" t="str" cm="1">
        <f t="array" ref="M426">_xlfn.IFS(L426&lt;=30,"0-30",L426&lt;=60,"31-60",L426&lt;=90,"61-90",TRUE,"90+")</f>
        <v>90+</v>
      </c>
      <c r="N426">
        <f t="shared" si="13"/>
        <v>0</v>
      </c>
      <c r="O426" t="str">
        <f>VLOOKUP(K426,Agents!$A$1:$C$11,2,0)</f>
        <v>Manish Arora</v>
      </c>
      <c r="P426">
        <f t="shared" si="12"/>
        <v>0</v>
      </c>
    </row>
    <row r="427" spans="1:16" x14ac:dyDescent="0.25">
      <c r="A427" s="2" t="s">
        <v>787</v>
      </c>
      <c r="B427" s="2" t="s">
        <v>513</v>
      </c>
      <c r="C427" s="2" t="s">
        <v>29</v>
      </c>
      <c r="D427" s="2" t="s">
        <v>55</v>
      </c>
      <c r="E427" s="4">
        <v>46169</v>
      </c>
      <c r="F427" s="4">
        <v>46185</v>
      </c>
      <c r="G427" s="5">
        <v>9700</v>
      </c>
      <c r="H427" s="5">
        <v>0</v>
      </c>
      <c r="I427" s="2" t="s">
        <v>31</v>
      </c>
      <c r="J427" s="2" t="s">
        <v>271</v>
      </c>
      <c r="K427" t="s">
        <v>43</v>
      </c>
      <c r="L427" s="12">
        <f>MIS_Report!$B$2-F427</f>
        <v>125</v>
      </c>
      <c r="M427" t="str" cm="1">
        <f t="array" ref="M427">_xlfn.IFS(L427&lt;=30,"0-30",L427&lt;=60,"31-60",L427&lt;=90,"61-90",TRUE,"90+")</f>
        <v>90+</v>
      </c>
      <c r="N427">
        <f t="shared" si="13"/>
        <v>0</v>
      </c>
      <c r="O427" t="str">
        <f>VLOOKUP(K427,Agents!$A$1:$C$11,2,0)</f>
        <v>Manish Arora</v>
      </c>
      <c r="P427">
        <f t="shared" si="12"/>
        <v>9700</v>
      </c>
    </row>
    <row r="428" spans="1:16" x14ac:dyDescent="0.25">
      <c r="A428" s="2" t="s">
        <v>788</v>
      </c>
      <c r="B428" s="2" t="s">
        <v>789</v>
      </c>
      <c r="C428" s="2" t="s">
        <v>29</v>
      </c>
      <c r="D428" s="2" t="s">
        <v>94</v>
      </c>
      <c r="E428" s="4">
        <v>46082</v>
      </c>
      <c r="F428" s="4">
        <v>46099</v>
      </c>
      <c r="G428" s="5">
        <v>11600</v>
      </c>
      <c r="H428" s="5">
        <v>6947.16</v>
      </c>
      <c r="I428" s="2" t="s">
        <v>37</v>
      </c>
      <c r="J428" s="2" t="s">
        <v>1541</v>
      </c>
      <c r="K428" t="s">
        <v>43</v>
      </c>
      <c r="L428" s="12">
        <f>MIS_Report!$B$2-F428</f>
        <v>211</v>
      </c>
      <c r="M428" t="str" cm="1">
        <f t="array" ref="M428">_xlfn.IFS(L428&lt;=30,"0-30",L428&lt;=60,"31-60",L428&lt;=90,"61-90",TRUE,"90+")</f>
        <v>90+</v>
      </c>
      <c r="N428">
        <f t="shared" si="13"/>
        <v>0</v>
      </c>
      <c r="O428" t="str">
        <f>VLOOKUP(K428,Agents!$A$1:$C$11,2,0)</f>
        <v>Manish Arora</v>
      </c>
      <c r="P428">
        <f t="shared" si="12"/>
        <v>0</v>
      </c>
    </row>
    <row r="429" spans="1:16" x14ac:dyDescent="0.25">
      <c r="A429" s="2" t="s">
        <v>790</v>
      </c>
      <c r="B429" s="2" t="s">
        <v>230</v>
      </c>
      <c r="C429" s="2" t="s">
        <v>79</v>
      </c>
      <c r="D429" s="2" t="s">
        <v>68</v>
      </c>
      <c r="E429" s="4">
        <v>46083</v>
      </c>
      <c r="F429" s="4">
        <v>46093</v>
      </c>
      <c r="G429" s="5">
        <v>10925</v>
      </c>
      <c r="H429" s="5"/>
      <c r="I429" s="2" t="s">
        <v>42</v>
      </c>
      <c r="J429" s="2" t="s">
        <v>1541</v>
      </c>
      <c r="K429" t="s">
        <v>56</v>
      </c>
      <c r="L429" s="12">
        <f>MIS_Report!$B$2-F429</f>
        <v>217</v>
      </c>
      <c r="M429" t="str" cm="1">
        <f t="array" ref="M429">_xlfn.IFS(L429&lt;=30,"0-30",L429&lt;=60,"31-60",L429&lt;=90,"61-90",TRUE,"90+")</f>
        <v>90+</v>
      </c>
      <c r="N429">
        <f t="shared" si="13"/>
        <v>10925</v>
      </c>
      <c r="O429" t="str">
        <f>VLOOKUP(K429,Agents!$A$1:$C$11,2,0)</f>
        <v>Manish Arora</v>
      </c>
      <c r="P429">
        <f t="shared" si="12"/>
        <v>0</v>
      </c>
    </row>
    <row r="430" spans="1:16" x14ac:dyDescent="0.25">
      <c r="A430" s="2" t="s">
        <v>791</v>
      </c>
      <c r="B430" s="2" t="s">
        <v>792</v>
      </c>
      <c r="C430" s="2" t="s">
        <v>36</v>
      </c>
      <c r="D430" s="2" t="s">
        <v>80</v>
      </c>
      <c r="E430" s="4">
        <v>46099</v>
      </c>
      <c r="F430" s="4">
        <v>46111</v>
      </c>
      <c r="G430" s="5">
        <v>4775</v>
      </c>
      <c r="H430" s="5">
        <v>2779.59</v>
      </c>
      <c r="I430" s="2" t="s">
        <v>37</v>
      </c>
      <c r="J430" s="2" t="s">
        <v>1541</v>
      </c>
      <c r="K430" t="s">
        <v>83</v>
      </c>
      <c r="L430" s="12">
        <f>MIS_Report!$B$2-F430</f>
        <v>199</v>
      </c>
      <c r="M430" t="str" cm="1">
        <f t="array" ref="M430">_xlfn.IFS(L430&lt;=30,"0-30",L430&lt;=60,"31-60",L430&lt;=90,"61-90",TRUE,"90+")</f>
        <v>90+</v>
      </c>
      <c r="N430">
        <f t="shared" si="13"/>
        <v>0</v>
      </c>
      <c r="O430" t="str">
        <f>VLOOKUP(K430,Agents!$A$1:$C$11,2,0)</f>
        <v>Deepak Nair</v>
      </c>
      <c r="P430">
        <f t="shared" si="12"/>
        <v>0</v>
      </c>
    </row>
    <row r="431" spans="1:16" x14ac:dyDescent="0.25">
      <c r="A431" s="2" t="s">
        <v>793</v>
      </c>
      <c r="B431" s="2" t="s">
        <v>794</v>
      </c>
      <c r="C431" s="2" t="s">
        <v>29</v>
      </c>
      <c r="D431" s="2" t="s">
        <v>55</v>
      </c>
      <c r="E431" s="4">
        <v>46032</v>
      </c>
      <c r="F431" s="4">
        <v>46049</v>
      </c>
      <c r="G431" s="5">
        <v>12700</v>
      </c>
      <c r="H431" s="5"/>
      <c r="I431" s="2" t="s">
        <v>42</v>
      </c>
      <c r="J431" s="2" t="s">
        <v>1541</v>
      </c>
      <c r="K431" t="s">
        <v>56</v>
      </c>
      <c r="L431" s="12">
        <f>MIS_Report!$B$2-F431</f>
        <v>261</v>
      </c>
      <c r="M431" t="str" cm="1">
        <f t="array" ref="M431">_xlfn.IFS(L431&lt;=30,"0-30",L431&lt;=60,"31-60",L431&lt;=90,"61-90",TRUE,"90+")</f>
        <v>90+</v>
      </c>
      <c r="N431">
        <f t="shared" si="13"/>
        <v>12700</v>
      </c>
      <c r="O431" t="str">
        <f>VLOOKUP(K431,Agents!$A$1:$C$11,2,0)</f>
        <v>Manish Arora</v>
      </c>
      <c r="P431">
        <f t="shared" si="12"/>
        <v>0</v>
      </c>
    </row>
    <row r="432" spans="1:16" x14ac:dyDescent="0.25">
      <c r="A432" s="2" t="s">
        <v>795</v>
      </c>
      <c r="B432" s="2" t="s">
        <v>766</v>
      </c>
      <c r="C432" s="2" t="s">
        <v>29</v>
      </c>
      <c r="D432" s="2" t="s">
        <v>30</v>
      </c>
      <c r="E432" s="4">
        <v>46096</v>
      </c>
      <c r="F432" s="4">
        <v>46110</v>
      </c>
      <c r="G432" s="5">
        <v>9600</v>
      </c>
      <c r="H432" s="5">
        <v>6678.37</v>
      </c>
      <c r="I432" s="2" t="s">
        <v>37</v>
      </c>
      <c r="J432" s="2" t="s">
        <v>1541</v>
      </c>
      <c r="K432" t="s">
        <v>56</v>
      </c>
      <c r="L432" s="12">
        <f>MIS_Report!$B$2-F432</f>
        <v>200</v>
      </c>
      <c r="M432" t="str" cm="1">
        <f t="array" ref="M432">_xlfn.IFS(L432&lt;=30,"0-30",L432&lt;=60,"31-60",L432&lt;=90,"61-90",TRUE,"90+")</f>
        <v>90+</v>
      </c>
      <c r="N432">
        <f t="shared" si="13"/>
        <v>0</v>
      </c>
      <c r="O432" t="str">
        <f>VLOOKUP(K432,Agents!$A$1:$C$11,2,0)</f>
        <v>Manish Arora</v>
      </c>
      <c r="P432">
        <f t="shared" si="12"/>
        <v>0</v>
      </c>
    </row>
    <row r="433" spans="1:16" x14ac:dyDescent="0.25">
      <c r="A433" s="2" t="s">
        <v>796</v>
      </c>
      <c r="B433" s="2" t="s">
        <v>797</v>
      </c>
      <c r="C433" s="2" t="s">
        <v>29</v>
      </c>
      <c r="D433" s="2" t="s">
        <v>61</v>
      </c>
      <c r="E433" s="4">
        <v>46113</v>
      </c>
      <c r="F433" s="4">
        <v>46130</v>
      </c>
      <c r="G433" s="5">
        <v>10450</v>
      </c>
      <c r="H433" s="5">
        <v>10061.969999999999</v>
      </c>
      <c r="I433" s="2" t="s">
        <v>37</v>
      </c>
      <c r="J433" s="2" t="s">
        <v>1541</v>
      </c>
      <c r="K433" t="s">
        <v>48</v>
      </c>
      <c r="L433" s="12">
        <f>MIS_Report!$B$2-F433</f>
        <v>180</v>
      </c>
      <c r="M433" t="str" cm="1">
        <f t="array" ref="M433">_xlfn.IFS(L433&lt;=30,"0-30",L433&lt;=60,"31-60",L433&lt;=90,"61-90",TRUE,"90+")</f>
        <v>90+</v>
      </c>
      <c r="N433">
        <f t="shared" si="13"/>
        <v>0</v>
      </c>
      <c r="O433" t="str">
        <f>VLOOKUP(K433,Agents!$A$1:$C$11,2,0)</f>
        <v>Manish Arora</v>
      </c>
      <c r="P433">
        <f t="shared" si="12"/>
        <v>0</v>
      </c>
    </row>
    <row r="434" spans="1:16" x14ac:dyDescent="0.25">
      <c r="A434" s="2" t="s">
        <v>798</v>
      </c>
      <c r="B434" s="2" t="s">
        <v>493</v>
      </c>
      <c r="C434" s="2" t="s">
        <v>36</v>
      </c>
      <c r="D434" s="2" t="s">
        <v>61</v>
      </c>
      <c r="E434" s="4">
        <v>46060</v>
      </c>
      <c r="F434" s="4">
        <v>46072</v>
      </c>
      <c r="G434" s="5">
        <v>10400</v>
      </c>
      <c r="H434" s="5">
        <v>8105.9</v>
      </c>
      <c r="I434" s="2" t="s">
        <v>37</v>
      </c>
      <c r="J434" s="2" t="s">
        <v>1541</v>
      </c>
      <c r="K434" t="s">
        <v>43</v>
      </c>
      <c r="L434" s="12">
        <f>MIS_Report!$B$2-F434</f>
        <v>238</v>
      </c>
      <c r="M434" t="str" cm="1">
        <f t="array" ref="M434">_xlfn.IFS(L434&lt;=30,"0-30",L434&lt;=60,"31-60",L434&lt;=90,"61-90",TRUE,"90+")</f>
        <v>90+</v>
      </c>
      <c r="N434">
        <f t="shared" si="13"/>
        <v>0</v>
      </c>
      <c r="O434" t="str">
        <f>VLOOKUP(K434,Agents!$A$1:$C$11,2,0)</f>
        <v>Manish Arora</v>
      </c>
      <c r="P434">
        <f t="shared" si="12"/>
        <v>0</v>
      </c>
    </row>
    <row r="435" spans="1:16" x14ac:dyDescent="0.25">
      <c r="A435" s="2" t="s">
        <v>799</v>
      </c>
      <c r="B435" s="2" t="s">
        <v>480</v>
      </c>
      <c r="C435" s="2" t="s">
        <v>46</v>
      </c>
      <c r="D435" s="2" t="s">
        <v>55</v>
      </c>
      <c r="E435" s="4">
        <v>46282</v>
      </c>
      <c r="F435" s="4">
        <v>46294</v>
      </c>
      <c r="G435" s="5">
        <v>6075</v>
      </c>
      <c r="H435" s="5"/>
      <c r="I435" s="2" t="s">
        <v>42</v>
      </c>
      <c r="J435" s="2" t="s">
        <v>1541</v>
      </c>
      <c r="K435" t="s">
        <v>62</v>
      </c>
      <c r="L435" s="12">
        <f>MIS_Report!$B$2-F435</f>
        <v>16</v>
      </c>
      <c r="M435" t="str" cm="1">
        <f t="array" ref="M435">_xlfn.IFS(L435&lt;=30,"0-30",L435&lt;=60,"31-60",L435&lt;=90,"61-90",TRUE,"90+")</f>
        <v>0-30</v>
      </c>
      <c r="N435">
        <f t="shared" si="13"/>
        <v>6075</v>
      </c>
      <c r="O435" t="str">
        <f>VLOOKUP(K435,Agents!$A$1:$C$11,2,0)</f>
        <v>Sunita Rao</v>
      </c>
      <c r="P435">
        <f t="shared" si="12"/>
        <v>0</v>
      </c>
    </row>
    <row r="436" spans="1:16" x14ac:dyDescent="0.25">
      <c r="A436" s="2" t="s">
        <v>800</v>
      </c>
      <c r="B436" s="2" t="s">
        <v>276</v>
      </c>
      <c r="C436" s="2" t="s">
        <v>46</v>
      </c>
      <c r="D436" s="2" t="s">
        <v>94</v>
      </c>
      <c r="E436" s="4">
        <v>46178</v>
      </c>
      <c r="F436" s="4">
        <v>46196</v>
      </c>
      <c r="G436" s="5">
        <v>13700</v>
      </c>
      <c r="H436" s="5">
        <v>9740.89</v>
      </c>
      <c r="I436" s="2" t="s">
        <v>37</v>
      </c>
      <c r="J436" s="2" t="s">
        <v>1541</v>
      </c>
      <c r="K436" t="s">
        <v>109</v>
      </c>
      <c r="L436" s="12">
        <f>MIS_Report!$B$2-F436</f>
        <v>114</v>
      </c>
      <c r="M436" t="str" cm="1">
        <f t="array" ref="M436">_xlfn.IFS(L436&lt;=30,"0-30",L436&lt;=60,"31-60",L436&lt;=90,"61-90",TRUE,"90+")</f>
        <v>90+</v>
      </c>
      <c r="N436">
        <f t="shared" si="13"/>
        <v>0</v>
      </c>
      <c r="O436" t="str">
        <f>VLOOKUP(K436,Agents!$A$1:$C$11,2,0)</f>
        <v>Deepak Nair</v>
      </c>
      <c r="P436">
        <f t="shared" si="12"/>
        <v>0</v>
      </c>
    </row>
    <row r="437" spans="1:16" x14ac:dyDescent="0.25">
      <c r="A437" s="2" t="s">
        <v>801</v>
      </c>
      <c r="B437" s="2" t="s">
        <v>425</v>
      </c>
      <c r="C437" s="2" t="s">
        <v>79</v>
      </c>
      <c r="D437" s="2" t="s">
        <v>80</v>
      </c>
      <c r="E437" s="4">
        <v>46079</v>
      </c>
      <c r="F437" s="4">
        <v>46091</v>
      </c>
      <c r="G437" s="5">
        <v>9950</v>
      </c>
      <c r="H437" s="5">
        <v>8821.17</v>
      </c>
      <c r="I437" s="2" t="s">
        <v>37</v>
      </c>
      <c r="J437" s="2" t="s">
        <v>1541</v>
      </c>
      <c r="K437" t="s">
        <v>48</v>
      </c>
      <c r="L437" s="12">
        <f>MIS_Report!$B$2-F437</f>
        <v>219</v>
      </c>
      <c r="M437" t="str" cm="1">
        <f t="array" ref="M437">_xlfn.IFS(L437&lt;=30,"0-30",L437&lt;=60,"31-60",L437&lt;=90,"61-90",TRUE,"90+")</f>
        <v>90+</v>
      </c>
      <c r="N437">
        <f t="shared" si="13"/>
        <v>0</v>
      </c>
      <c r="O437" t="str">
        <f>VLOOKUP(K437,Agents!$A$1:$C$11,2,0)</f>
        <v>Manish Arora</v>
      </c>
      <c r="P437">
        <f t="shared" si="12"/>
        <v>0</v>
      </c>
    </row>
    <row r="438" spans="1:16" x14ac:dyDescent="0.25">
      <c r="A438" s="2" t="s">
        <v>802</v>
      </c>
      <c r="B438" s="2" t="s">
        <v>803</v>
      </c>
      <c r="C438" s="2" t="s">
        <v>29</v>
      </c>
      <c r="D438" s="2" t="s">
        <v>55</v>
      </c>
      <c r="E438" s="4">
        <v>46230</v>
      </c>
      <c r="F438" s="4">
        <v>46247</v>
      </c>
      <c r="G438" s="5">
        <v>3725</v>
      </c>
      <c r="H438" s="5">
        <v>3665.46</v>
      </c>
      <c r="I438" s="2" t="s">
        <v>37</v>
      </c>
      <c r="J438" s="2" t="s">
        <v>1541</v>
      </c>
      <c r="K438" t="s">
        <v>48</v>
      </c>
      <c r="L438" s="12">
        <f>MIS_Report!$B$2-F438</f>
        <v>63</v>
      </c>
      <c r="M438" t="str" cm="1">
        <f t="array" ref="M438">_xlfn.IFS(L438&lt;=30,"0-30",L438&lt;=60,"31-60",L438&lt;=90,"61-90",TRUE,"90+")</f>
        <v>61-90</v>
      </c>
      <c r="N438">
        <f t="shared" si="13"/>
        <v>0</v>
      </c>
      <c r="O438" t="str">
        <f>VLOOKUP(K438,Agents!$A$1:$C$11,2,0)</f>
        <v>Manish Arora</v>
      </c>
      <c r="P438">
        <f t="shared" si="12"/>
        <v>0</v>
      </c>
    </row>
    <row r="439" spans="1:16" x14ac:dyDescent="0.25">
      <c r="A439" s="2" t="s">
        <v>804</v>
      </c>
      <c r="B439" s="2" t="s">
        <v>552</v>
      </c>
      <c r="C439" s="2" t="s">
        <v>79</v>
      </c>
      <c r="D439" s="2" t="s">
        <v>94</v>
      </c>
      <c r="E439" s="4">
        <v>46023</v>
      </c>
      <c r="F439" s="4">
        <v>46034</v>
      </c>
      <c r="G439" s="5">
        <v>2725</v>
      </c>
      <c r="H439" s="5">
        <v>2243.23</v>
      </c>
      <c r="I439" s="2" t="s">
        <v>37</v>
      </c>
      <c r="J439" s="2" t="s">
        <v>1541</v>
      </c>
      <c r="K439" t="s">
        <v>62</v>
      </c>
      <c r="L439" s="12">
        <f>MIS_Report!$B$2-F439</f>
        <v>276</v>
      </c>
      <c r="M439" t="str" cm="1">
        <f t="array" ref="M439">_xlfn.IFS(L439&lt;=30,"0-30",L439&lt;=60,"31-60",L439&lt;=90,"61-90",TRUE,"90+")</f>
        <v>90+</v>
      </c>
      <c r="N439">
        <f t="shared" si="13"/>
        <v>0</v>
      </c>
      <c r="O439" t="str">
        <f>VLOOKUP(K439,Agents!$A$1:$C$11,2,0)</f>
        <v>Sunita Rao</v>
      </c>
      <c r="P439">
        <f t="shared" si="12"/>
        <v>0</v>
      </c>
    </row>
    <row r="440" spans="1:16" x14ac:dyDescent="0.25">
      <c r="A440" s="2" t="s">
        <v>805</v>
      </c>
      <c r="B440" s="2" t="s">
        <v>806</v>
      </c>
      <c r="C440" s="2" t="s">
        <v>36</v>
      </c>
      <c r="D440" s="2" t="s">
        <v>80</v>
      </c>
      <c r="E440" s="4">
        <v>46201</v>
      </c>
      <c r="F440" s="4">
        <v>46206</v>
      </c>
      <c r="G440" s="5">
        <v>2225</v>
      </c>
      <c r="H440" s="5">
        <v>1913.11</v>
      </c>
      <c r="I440" s="2" t="s">
        <v>37</v>
      </c>
      <c r="J440" s="2" t="s">
        <v>1541</v>
      </c>
      <c r="K440" t="s">
        <v>33</v>
      </c>
      <c r="L440" s="12">
        <f>MIS_Report!$B$2-F440</f>
        <v>104</v>
      </c>
      <c r="M440" t="str" cm="1">
        <f t="array" ref="M440">_xlfn.IFS(L440&lt;=30,"0-30",L440&lt;=60,"31-60",L440&lt;=90,"61-90",TRUE,"90+")</f>
        <v>90+</v>
      </c>
      <c r="N440">
        <f t="shared" si="13"/>
        <v>0</v>
      </c>
      <c r="O440" t="str">
        <f>VLOOKUP(K440,Agents!$A$1:$C$11,2,0)</f>
        <v>Manish Arora</v>
      </c>
      <c r="P440">
        <f t="shared" si="12"/>
        <v>0</v>
      </c>
    </row>
    <row r="441" spans="1:16" x14ac:dyDescent="0.25">
      <c r="A441" s="2" t="s">
        <v>807</v>
      </c>
      <c r="B441" s="2" t="s">
        <v>343</v>
      </c>
      <c r="C441" s="2" t="s">
        <v>36</v>
      </c>
      <c r="D441" s="2" t="s">
        <v>94</v>
      </c>
      <c r="E441" s="4">
        <v>46036</v>
      </c>
      <c r="F441" s="4">
        <v>46054</v>
      </c>
      <c r="G441" s="5">
        <v>11725</v>
      </c>
      <c r="H441" s="5">
        <v>7866.86</v>
      </c>
      <c r="I441" s="2" t="s">
        <v>37</v>
      </c>
      <c r="J441" s="2" t="s">
        <v>1541</v>
      </c>
      <c r="K441" t="s">
        <v>48</v>
      </c>
      <c r="L441" s="12">
        <f>MIS_Report!$B$2-F441</f>
        <v>256</v>
      </c>
      <c r="M441" t="str" cm="1">
        <f t="array" ref="M441">_xlfn.IFS(L441&lt;=30,"0-30",L441&lt;=60,"31-60",L441&lt;=90,"61-90",TRUE,"90+")</f>
        <v>90+</v>
      </c>
      <c r="N441">
        <f t="shared" si="13"/>
        <v>0</v>
      </c>
      <c r="O441" t="str">
        <f>VLOOKUP(K441,Agents!$A$1:$C$11,2,0)</f>
        <v>Manish Arora</v>
      </c>
      <c r="P441">
        <f t="shared" si="12"/>
        <v>0</v>
      </c>
    </row>
    <row r="442" spans="1:16" x14ac:dyDescent="0.25">
      <c r="A442" s="2" t="s">
        <v>808</v>
      </c>
      <c r="B442" s="2" t="s">
        <v>152</v>
      </c>
      <c r="C442" s="2" t="s">
        <v>46</v>
      </c>
      <c r="D442" s="2" t="s">
        <v>80</v>
      </c>
      <c r="E442" s="4">
        <v>46183</v>
      </c>
      <c r="F442" s="4">
        <v>46191</v>
      </c>
      <c r="G442" s="5">
        <v>10900</v>
      </c>
      <c r="H442" s="5">
        <v>8833.85</v>
      </c>
      <c r="I442" s="2" t="s">
        <v>37</v>
      </c>
      <c r="J442" s="2" t="s">
        <v>1541</v>
      </c>
      <c r="K442" t="s">
        <v>62</v>
      </c>
      <c r="L442" s="12">
        <f>MIS_Report!$B$2-F442</f>
        <v>119</v>
      </c>
      <c r="M442" t="str" cm="1">
        <f t="array" ref="M442">_xlfn.IFS(L442&lt;=30,"0-30",L442&lt;=60,"31-60",L442&lt;=90,"61-90",TRUE,"90+")</f>
        <v>90+</v>
      </c>
      <c r="N442">
        <f t="shared" si="13"/>
        <v>0</v>
      </c>
      <c r="O442" t="str">
        <f>VLOOKUP(K442,Agents!$A$1:$C$11,2,0)</f>
        <v>Sunita Rao</v>
      </c>
      <c r="P442">
        <f t="shared" si="12"/>
        <v>0</v>
      </c>
    </row>
    <row r="443" spans="1:16" x14ac:dyDescent="0.25">
      <c r="A443" s="2" t="s">
        <v>809</v>
      </c>
      <c r="B443" s="2" t="s">
        <v>262</v>
      </c>
      <c r="C443" s="2" t="s">
        <v>36</v>
      </c>
      <c r="D443" s="2" t="s">
        <v>80</v>
      </c>
      <c r="E443" s="4">
        <v>46196</v>
      </c>
      <c r="F443" s="4">
        <v>46201</v>
      </c>
      <c r="G443" s="5">
        <v>10425</v>
      </c>
      <c r="H443" s="5">
        <v>5740.32</v>
      </c>
      <c r="I443" s="2" t="s">
        <v>37</v>
      </c>
      <c r="J443" s="2" t="s">
        <v>1541</v>
      </c>
      <c r="K443" t="s">
        <v>109</v>
      </c>
      <c r="L443" s="12">
        <f>MIS_Report!$B$2-F443</f>
        <v>109</v>
      </c>
      <c r="M443" t="str" cm="1">
        <f t="array" ref="M443">_xlfn.IFS(L443&lt;=30,"0-30",L443&lt;=60,"31-60",L443&lt;=90,"61-90",TRUE,"90+")</f>
        <v>90+</v>
      </c>
      <c r="N443">
        <f t="shared" si="13"/>
        <v>0</v>
      </c>
      <c r="O443" t="str">
        <f>VLOOKUP(K443,Agents!$A$1:$C$11,2,0)</f>
        <v>Deepak Nair</v>
      </c>
      <c r="P443">
        <f t="shared" si="12"/>
        <v>0</v>
      </c>
    </row>
    <row r="444" spans="1:16" x14ac:dyDescent="0.25">
      <c r="A444" s="2" t="s">
        <v>810</v>
      </c>
      <c r="B444" s="2" t="s">
        <v>613</v>
      </c>
      <c r="C444" s="2" t="s">
        <v>29</v>
      </c>
      <c r="D444" s="2" t="s">
        <v>94</v>
      </c>
      <c r="E444" s="4">
        <v>46268</v>
      </c>
      <c r="F444" s="4">
        <v>46272</v>
      </c>
      <c r="G444" s="5">
        <v>12375</v>
      </c>
      <c r="H444" s="5">
        <v>10215.870000000001</v>
      </c>
      <c r="I444" s="2" t="s">
        <v>37</v>
      </c>
      <c r="J444" s="2" t="s">
        <v>1541</v>
      </c>
      <c r="K444" t="s">
        <v>62</v>
      </c>
      <c r="L444" s="12">
        <f>MIS_Report!$B$2-F444</f>
        <v>38</v>
      </c>
      <c r="M444" t="str" cm="1">
        <f t="array" ref="M444">_xlfn.IFS(L444&lt;=30,"0-30",L444&lt;=60,"31-60",L444&lt;=90,"61-90",TRUE,"90+")</f>
        <v>31-60</v>
      </c>
      <c r="N444">
        <f t="shared" si="13"/>
        <v>0</v>
      </c>
      <c r="O444" t="str">
        <f>VLOOKUP(K444,Agents!$A$1:$C$11,2,0)</f>
        <v>Sunita Rao</v>
      </c>
      <c r="P444">
        <f t="shared" si="12"/>
        <v>0</v>
      </c>
    </row>
    <row r="445" spans="1:16" x14ac:dyDescent="0.25">
      <c r="A445" s="2" t="s">
        <v>811</v>
      </c>
      <c r="B445" s="2" t="s">
        <v>812</v>
      </c>
      <c r="C445" s="2" t="s">
        <v>29</v>
      </c>
      <c r="D445" s="2" t="s">
        <v>55</v>
      </c>
      <c r="E445" s="4">
        <v>46152</v>
      </c>
      <c r="F445" s="4">
        <v>46162</v>
      </c>
      <c r="G445" s="5">
        <v>2450</v>
      </c>
      <c r="H445" s="5">
        <v>1379</v>
      </c>
      <c r="I445" s="2" t="s">
        <v>37</v>
      </c>
      <c r="J445" s="2" t="s">
        <v>1541</v>
      </c>
      <c r="K445" t="s">
        <v>83</v>
      </c>
      <c r="L445" s="12">
        <f>MIS_Report!$B$2-F445</f>
        <v>148</v>
      </c>
      <c r="M445" t="str" cm="1">
        <f t="array" ref="M445">_xlfn.IFS(L445&lt;=30,"0-30",L445&lt;=60,"31-60",L445&lt;=90,"61-90",TRUE,"90+")</f>
        <v>90+</v>
      </c>
      <c r="N445">
        <f t="shared" si="13"/>
        <v>0</v>
      </c>
      <c r="O445" t="str">
        <f>VLOOKUP(K445,Agents!$A$1:$C$11,2,0)</f>
        <v>Deepak Nair</v>
      </c>
      <c r="P445">
        <f t="shared" si="12"/>
        <v>0</v>
      </c>
    </row>
    <row r="446" spans="1:16" x14ac:dyDescent="0.25">
      <c r="A446" s="2" t="s">
        <v>813</v>
      </c>
      <c r="B446" s="2" t="s">
        <v>814</v>
      </c>
      <c r="C446" s="2" t="s">
        <v>36</v>
      </c>
      <c r="D446" s="2" t="s">
        <v>61</v>
      </c>
      <c r="E446" s="4">
        <v>46171</v>
      </c>
      <c r="F446" s="4">
        <v>46183</v>
      </c>
      <c r="G446" s="5">
        <v>5125</v>
      </c>
      <c r="H446" s="5">
        <v>2887.01</v>
      </c>
      <c r="I446" s="2" t="s">
        <v>37</v>
      </c>
      <c r="J446" s="2" t="s">
        <v>1541</v>
      </c>
      <c r="K446" t="s">
        <v>33</v>
      </c>
      <c r="L446" s="12">
        <f>MIS_Report!$B$2-F446</f>
        <v>127</v>
      </c>
      <c r="M446" t="str" cm="1">
        <f t="array" ref="M446">_xlfn.IFS(L446&lt;=30,"0-30",L446&lt;=60,"31-60",L446&lt;=90,"61-90",TRUE,"90+")</f>
        <v>90+</v>
      </c>
      <c r="N446">
        <f t="shared" si="13"/>
        <v>0</v>
      </c>
      <c r="O446" t="str">
        <f>VLOOKUP(K446,Agents!$A$1:$C$11,2,0)</f>
        <v>Manish Arora</v>
      </c>
      <c r="P446">
        <f t="shared" si="12"/>
        <v>0</v>
      </c>
    </row>
    <row r="447" spans="1:16" x14ac:dyDescent="0.25">
      <c r="A447" s="2" t="s">
        <v>815</v>
      </c>
      <c r="B447" s="2" t="s">
        <v>210</v>
      </c>
      <c r="C447" s="2" t="s">
        <v>36</v>
      </c>
      <c r="D447" s="2" t="s">
        <v>94</v>
      </c>
      <c r="E447" s="4">
        <v>46129</v>
      </c>
      <c r="F447" s="4">
        <v>46142</v>
      </c>
      <c r="G447" s="5">
        <v>5475</v>
      </c>
      <c r="H447" s="5">
        <v>5394.07</v>
      </c>
      <c r="I447" s="2" t="s">
        <v>37</v>
      </c>
      <c r="J447" s="2" t="s">
        <v>1541</v>
      </c>
      <c r="K447" t="s">
        <v>83</v>
      </c>
      <c r="L447" s="12">
        <f>MIS_Report!$B$2-F447</f>
        <v>168</v>
      </c>
      <c r="M447" t="str" cm="1">
        <f t="array" ref="M447">_xlfn.IFS(L447&lt;=30,"0-30",L447&lt;=60,"31-60",L447&lt;=90,"61-90",TRUE,"90+")</f>
        <v>90+</v>
      </c>
      <c r="N447">
        <f t="shared" si="13"/>
        <v>0</v>
      </c>
      <c r="O447" t="str">
        <f>VLOOKUP(K447,Agents!$A$1:$C$11,2,0)</f>
        <v>Deepak Nair</v>
      </c>
      <c r="P447">
        <f t="shared" si="12"/>
        <v>0</v>
      </c>
    </row>
    <row r="448" spans="1:16" x14ac:dyDescent="0.25">
      <c r="A448" s="2" t="s">
        <v>816</v>
      </c>
      <c r="B448" s="2" t="s">
        <v>345</v>
      </c>
      <c r="C448" s="2" t="s">
        <v>36</v>
      </c>
      <c r="D448" s="2" t="s">
        <v>41</v>
      </c>
      <c r="E448" s="4">
        <v>46271</v>
      </c>
      <c r="F448" s="4">
        <v>46275</v>
      </c>
      <c r="G448" s="5">
        <v>9725</v>
      </c>
      <c r="H448" s="5"/>
      <c r="I448" s="2" t="s">
        <v>42</v>
      </c>
      <c r="J448" s="2" t="s">
        <v>1541</v>
      </c>
      <c r="K448" t="s">
        <v>56</v>
      </c>
      <c r="L448" s="12">
        <f>MIS_Report!$B$2-F448</f>
        <v>35</v>
      </c>
      <c r="M448" t="str" cm="1">
        <f t="array" ref="M448">_xlfn.IFS(L448&lt;=30,"0-30",L448&lt;=60,"31-60",L448&lt;=90,"61-90",TRUE,"90+")</f>
        <v>31-60</v>
      </c>
      <c r="N448">
        <f t="shared" si="13"/>
        <v>9725</v>
      </c>
      <c r="O448" t="str">
        <f>VLOOKUP(K448,Agents!$A$1:$C$11,2,0)</f>
        <v>Manish Arora</v>
      </c>
      <c r="P448">
        <f t="shared" si="12"/>
        <v>0</v>
      </c>
    </row>
    <row r="449" spans="1:16" x14ac:dyDescent="0.25">
      <c r="A449" s="2" t="s">
        <v>817</v>
      </c>
      <c r="B449" s="2" t="s">
        <v>436</v>
      </c>
      <c r="C449" s="2" t="s">
        <v>79</v>
      </c>
      <c r="D449" s="2" t="s">
        <v>94</v>
      </c>
      <c r="E449" s="4">
        <v>46010</v>
      </c>
      <c r="F449" s="4">
        <v>46024</v>
      </c>
      <c r="G449" s="5">
        <v>2400</v>
      </c>
      <c r="H449" s="5"/>
      <c r="I449" s="2" t="s">
        <v>42</v>
      </c>
      <c r="J449" s="2" t="s">
        <v>1541</v>
      </c>
      <c r="K449" t="s">
        <v>43</v>
      </c>
      <c r="L449" s="12">
        <f>MIS_Report!$B$2-F449</f>
        <v>286</v>
      </c>
      <c r="M449" t="str" cm="1">
        <f t="array" ref="M449">_xlfn.IFS(L449&lt;=30,"0-30",L449&lt;=60,"31-60",L449&lt;=90,"61-90",TRUE,"90+")</f>
        <v>90+</v>
      </c>
      <c r="N449">
        <f t="shared" si="13"/>
        <v>2400</v>
      </c>
      <c r="O449" t="str">
        <f>VLOOKUP(K449,Agents!$A$1:$C$11,2,0)</f>
        <v>Manish Arora</v>
      </c>
      <c r="P449">
        <f t="shared" si="12"/>
        <v>0</v>
      </c>
    </row>
    <row r="450" spans="1:16" x14ac:dyDescent="0.25">
      <c r="A450" s="2" t="s">
        <v>818</v>
      </c>
      <c r="B450" s="2" t="s">
        <v>819</v>
      </c>
      <c r="C450" s="2" t="s">
        <v>46</v>
      </c>
      <c r="D450" s="2" t="s">
        <v>55</v>
      </c>
      <c r="E450" s="4">
        <v>46132</v>
      </c>
      <c r="F450" s="4">
        <v>46138</v>
      </c>
      <c r="G450" s="5">
        <v>9475</v>
      </c>
      <c r="H450" s="5">
        <v>7093.9</v>
      </c>
      <c r="I450" s="2" t="s">
        <v>37</v>
      </c>
      <c r="J450" s="2" t="s">
        <v>1541</v>
      </c>
      <c r="K450" t="s">
        <v>48</v>
      </c>
      <c r="L450" s="12">
        <f>MIS_Report!$B$2-F450</f>
        <v>172</v>
      </c>
      <c r="M450" t="str" cm="1">
        <f t="array" ref="M450">_xlfn.IFS(L450&lt;=30,"0-30",L450&lt;=60,"31-60",L450&lt;=90,"61-90",TRUE,"90+")</f>
        <v>90+</v>
      </c>
      <c r="N450">
        <f t="shared" si="13"/>
        <v>0</v>
      </c>
      <c r="O450" t="str">
        <f>VLOOKUP(K450,Agents!$A$1:$C$11,2,0)</f>
        <v>Manish Arora</v>
      </c>
      <c r="P450">
        <f t="shared" si="12"/>
        <v>0</v>
      </c>
    </row>
    <row r="451" spans="1:16" x14ac:dyDescent="0.25">
      <c r="A451" s="2" t="s">
        <v>820</v>
      </c>
      <c r="B451" s="2" t="s">
        <v>284</v>
      </c>
      <c r="C451" s="2" t="s">
        <v>29</v>
      </c>
      <c r="D451" s="2" t="s">
        <v>94</v>
      </c>
      <c r="E451" s="4">
        <v>46132</v>
      </c>
      <c r="F451" s="4">
        <v>46147</v>
      </c>
      <c r="G451" s="5">
        <v>7075</v>
      </c>
      <c r="H451" s="5">
        <v>5599.62</v>
      </c>
      <c r="I451" s="2" t="s">
        <v>37</v>
      </c>
      <c r="J451" s="2" t="s">
        <v>1541</v>
      </c>
      <c r="K451" t="s">
        <v>65</v>
      </c>
      <c r="L451" s="12">
        <f>MIS_Report!$B$2-F451</f>
        <v>163</v>
      </c>
      <c r="M451" t="str" cm="1">
        <f t="array" ref="M451">_xlfn.IFS(L451&lt;=30,"0-30",L451&lt;=60,"31-60",L451&lt;=90,"61-90",TRUE,"90+")</f>
        <v>90+</v>
      </c>
      <c r="N451">
        <f t="shared" si="13"/>
        <v>0</v>
      </c>
      <c r="O451" t="str">
        <f>VLOOKUP(K451,Agents!$A$1:$C$11,2,0)</f>
        <v>Deepak Nair</v>
      </c>
      <c r="P451">
        <f t="shared" ref="P451:P514" si="14">IF(I451="Denied",G451,0)</f>
        <v>0</v>
      </c>
    </row>
    <row r="452" spans="1:16" x14ac:dyDescent="0.25">
      <c r="A452" s="2" t="s">
        <v>821</v>
      </c>
      <c r="B452" s="2" t="s">
        <v>822</v>
      </c>
      <c r="C452" s="2" t="s">
        <v>46</v>
      </c>
      <c r="D452" s="2" t="s">
        <v>55</v>
      </c>
      <c r="E452" s="4">
        <v>46128</v>
      </c>
      <c r="F452" s="4">
        <v>46137</v>
      </c>
      <c r="G452" s="5">
        <v>3475</v>
      </c>
      <c r="H452" s="5">
        <v>2776.41</v>
      </c>
      <c r="I452" s="2" t="s">
        <v>37</v>
      </c>
      <c r="J452" s="2" t="s">
        <v>1541</v>
      </c>
      <c r="K452" t="s">
        <v>56</v>
      </c>
      <c r="L452" s="12">
        <f>MIS_Report!$B$2-F452</f>
        <v>173</v>
      </c>
      <c r="M452" t="str" cm="1">
        <f t="array" ref="M452">_xlfn.IFS(L452&lt;=30,"0-30",L452&lt;=60,"31-60",L452&lt;=90,"61-90",TRUE,"90+")</f>
        <v>90+</v>
      </c>
      <c r="N452">
        <f t="shared" si="13"/>
        <v>0</v>
      </c>
      <c r="O452" t="str">
        <f>VLOOKUP(K452,Agents!$A$1:$C$11,2,0)</f>
        <v>Manish Arora</v>
      </c>
      <c r="P452">
        <f t="shared" si="14"/>
        <v>0</v>
      </c>
    </row>
    <row r="453" spans="1:16" x14ac:dyDescent="0.25">
      <c r="A453" s="2" t="s">
        <v>824</v>
      </c>
      <c r="B453" s="2" t="s">
        <v>825</v>
      </c>
      <c r="C453" s="2" t="s">
        <v>29</v>
      </c>
      <c r="D453" s="2" t="s">
        <v>94</v>
      </c>
      <c r="E453" s="4">
        <v>46287</v>
      </c>
      <c r="F453" s="4">
        <v>46293</v>
      </c>
      <c r="G453" s="5">
        <v>1600</v>
      </c>
      <c r="H453" s="5"/>
      <c r="I453" s="2" t="s">
        <v>42</v>
      </c>
      <c r="J453" s="2" t="s">
        <v>1541</v>
      </c>
      <c r="K453" t="s">
        <v>38</v>
      </c>
      <c r="L453" s="12">
        <f>MIS_Report!$B$2-F453</f>
        <v>17</v>
      </c>
      <c r="M453" t="str" cm="1">
        <f t="array" ref="M453">_xlfn.IFS(L453&lt;=30,"0-30",L453&lt;=60,"31-60",L453&lt;=90,"61-90",TRUE,"90+")</f>
        <v>0-30</v>
      </c>
      <c r="N453">
        <f t="shared" ref="N453:N516" si="15">IF(I453="Pending",G453-H453,0)</f>
        <v>1600</v>
      </c>
      <c r="O453" t="str">
        <f>VLOOKUP(K453,Agents!$A$1:$C$11,2,0)</f>
        <v>Sunita Rao</v>
      </c>
      <c r="P453">
        <f t="shared" si="14"/>
        <v>0</v>
      </c>
    </row>
    <row r="454" spans="1:16" x14ac:dyDescent="0.25">
      <c r="A454" s="2" t="s">
        <v>826</v>
      </c>
      <c r="B454" s="2" t="s">
        <v>827</v>
      </c>
      <c r="C454" s="2" t="s">
        <v>79</v>
      </c>
      <c r="D454" s="2" t="s">
        <v>41</v>
      </c>
      <c r="E454" s="4">
        <v>46135</v>
      </c>
      <c r="F454" s="4">
        <v>46143</v>
      </c>
      <c r="G454" s="5">
        <v>1900</v>
      </c>
      <c r="H454" s="5">
        <v>0</v>
      </c>
      <c r="I454" s="2" t="s">
        <v>31</v>
      </c>
      <c r="J454" s="2" t="s">
        <v>32</v>
      </c>
      <c r="K454" t="s">
        <v>48</v>
      </c>
      <c r="L454" s="12">
        <f>MIS_Report!$B$2-F454</f>
        <v>167</v>
      </c>
      <c r="M454" t="str" cm="1">
        <f t="array" ref="M454">_xlfn.IFS(L454&lt;=30,"0-30",L454&lt;=60,"31-60",L454&lt;=90,"61-90",TRUE,"90+")</f>
        <v>90+</v>
      </c>
      <c r="N454">
        <f t="shared" si="15"/>
        <v>0</v>
      </c>
      <c r="O454" t="str">
        <f>VLOOKUP(K454,Agents!$A$1:$C$11,2,0)</f>
        <v>Manish Arora</v>
      </c>
      <c r="P454">
        <f t="shared" si="14"/>
        <v>1900</v>
      </c>
    </row>
    <row r="455" spans="1:16" x14ac:dyDescent="0.25">
      <c r="A455" s="2" t="s">
        <v>828</v>
      </c>
      <c r="B455" s="2" t="s">
        <v>829</v>
      </c>
      <c r="C455" s="2" t="s">
        <v>36</v>
      </c>
      <c r="D455" s="2" t="s">
        <v>30</v>
      </c>
      <c r="E455" s="4">
        <v>46182</v>
      </c>
      <c r="F455" s="4">
        <v>46200</v>
      </c>
      <c r="G455" s="5">
        <v>10950</v>
      </c>
      <c r="H455" s="5">
        <v>6697.06</v>
      </c>
      <c r="I455" s="2" t="s">
        <v>37</v>
      </c>
      <c r="J455" s="2" t="s">
        <v>1541</v>
      </c>
      <c r="K455" t="s">
        <v>109</v>
      </c>
      <c r="L455" s="12">
        <f>MIS_Report!$B$2-F455</f>
        <v>110</v>
      </c>
      <c r="M455" t="str" cm="1">
        <f t="array" ref="M455">_xlfn.IFS(L455&lt;=30,"0-30",L455&lt;=60,"31-60",L455&lt;=90,"61-90",TRUE,"90+")</f>
        <v>90+</v>
      </c>
      <c r="N455">
        <f t="shared" si="15"/>
        <v>0</v>
      </c>
      <c r="O455" t="str">
        <f>VLOOKUP(K455,Agents!$A$1:$C$11,2,0)</f>
        <v>Deepak Nair</v>
      </c>
      <c r="P455">
        <f t="shared" si="14"/>
        <v>0</v>
      </c>
    </row>
    <row r="456" spans="1:16" x14ac:dyDescent="0.25">
      <c r="A456" s="2" t="s">
        <v>830</v>
      </c>
      <c r="B456" s="2" t="s">
        <v>831</v>
      </c>
      <c r="C456" s="2" t="s">
        <v>79</v>
      </c>
      <c r="D456" s="2" t="s">
        <v>68</v>
      </c>
      <c r="E456" s="4">
        <v>46081</v>
      </c>
      <c r="F456" s="4">
        <v>46093</v>
      </c>
      <c r="G456" s="5">
        <v>11850</v>
      </c>
      <c r="H456" s="5">
        <v>6668.68</v>
      </c>
      <c r="I456" s="2" t="s">
        <v>37</v>
      </c>
      <c r="J456" s="2" t="s">
        <v>1541</v>
      </c>
      <c r="K456" t="s">
        <v>65</v>
      </c>
      <c r="L456" s="12">
        <f>MIS_Report!$B$2-F456</f>
        <v>217</v>
      </c>
      <c r="M456" t="str" cm="1">
        <f t="array" ref="M456">_xlfn.IFS(L456&lt;=30,"0-30",L456&lt;=60,"31-60",L456&lt;=90,"61-90",TRUE,"90+")</f>
        <v>90+</v>
      </c>
      <c r="N456">
        <f t="shared" si="15"/>
        <v>0</v>
      </c>
      <c r="O456" t="str">
        <f>VLOOKUP(K456,Agents!$A$1:$C$11,2,0)</f>
        <v>Deepak Nair</v>
      </c>
      <c r="P456">
        <f t="shared" si="14"/>
        <v>0</v>
      </c>
    </row>
    <row r="457" spans="1:16" x14ac:dyDescent="0.25">
      <c r="A457" s="2" t="s">
        <v>832</v>
      </c>
      <c r="B457" s="2" t="s">
        <v>833</v>
      </c>
      <c r="C457" s="2" t="s">
        <v>29</v>
      </c>
      <c r="D457" s="2" t="s">
        <v>55</v>
      </c>
      <c r="E457" s="4">
        <v>46100</v>
      </c>
      <c r="F457" s="4">
        <v>46118</v>
      </c>
      <c r="G457" s="5">
        <v>5825</v>
      </c>
      <c r="H457" s="5">
        <v>4370.6499999999996</v>
      </c>
      <c r="I457" s="2" t="s">
        <v>37</v>
      </c>
      <c r="J457" s="2" t="s">
        <v>1541</v>
      </c>
      <c r="K457" t="s">
        <v>33</v>
      </c>
      <c r="L457" s="12">
        <f>MIS_Report!$B$2-F457</f>
        <v>192</v>
      </c>
      <c r="M457" t="str" cm="1">
        <f t="array" ref="M457">_xlfn.IFS(L457&lt;=30,"0-30",L457&lt;=60,"31-60",L457&lt;=90,"61-90",TRUE,"90+")</f>
        <v>90+</v>
      </c>
      <c r="N457">
        <f t="shared" si="15"/>
        <v>0</v>
      </c>
      <c r="O457" t="str">
        <f>VLOOKUP(K457,Agents!$A$1:$C$11,2,0)</f>
        <v>Manish Arora</v>
      </c>
      <c r="P457">
        <f t="shared" si="14"/>
        <v>0</v>
      </c>
    </row>
    <row r="458" spans="1:16" x14ac:dyDescent="0.25">
      <c r="A458" s="2" t="s">
        <v>834</v>
      </c>
      <c r="B458" s="2" t="s">
        <v>835</v>
      </c>
      <c r="C458" s="2" t="s">
        <v>46</v>
      </c>
      <c r="D458" s="2" t="s">
        <v>61</v>
      </c>
      <c r="E458" s="4">
        <v>46160</v>
      </c>
      <c r="F458" s="4">
        <v>46171</v>
      </c>
      <c r="G458" s="5">
        <v>11325</v>
      </c>
      <c r="H458" s="5">
        <v>0</v>
      </c>
      <c r="I458" s="2" t="s">
        <v>31</v>
      </c>
      <c r="J458" s="2" t="s">
        <v>312</v>
      </c>
      <c r="K458" t="s">
        <v>83</v>
      </c>
      <c r="L458" s="12">
        <f>MIS_Report!$B$2-F458</f>
        <v>139</v>
      </c>
      <c r="M458" t="str" cm="1">
        <f t="array" ref="M458">_xlfn.IFS(L458&lt;=30,"0-30",L458&lt;=60,"31-60",L458&lt;=90,"61-90",TRUE,"90+")</f>
        <v>90+</v>
      </c>
      <c r="N458">
        <f t="shared" si="15"/>
        <v>0</v>
      </c>
      <c r="O458" t="str">
        <f>VLOOKUP(K458,Agents!$A$1:$C$11,2,0)</f>
        <v>Deepak Nair</v>
      </c>
      <c r="P458">
        <f t="shared" si="14"/>
        <v>11325</v>
      </c>
    </row>
    <row r="459" spans="1:16" x14ac:dyDescent="0.25">
      <c r="A459" s="2" t="s">
        <v>836</v>
      </c>
      <c r="B459" s="2" t="s">
        <v>782</v>
      </c>
      <c r="C459" s="2" t="s">
        <v>29</v>
      </c>
      <c r="D459" s="2" t="s">
        <v>55</v>
      </c>
      <c r="E459" s="4">
        <v>46036</v>
      </c>
      <c r="F459" s="4">
        <v>46055</v>
      </c>
      <c r="G459" s="5">
        <v>4025</v>
      </c>
      <c r="H459" s="5">
        <v>2877.4</v>
      </c>
      <c r="I459" s="2" t="s">
        <v>37</v>
      </c>
      <c r="J459" s="2" t="s">
        <v>1541</v>
      </c>
      <c r="K459" t="s">
        <v>43</v>
      </c>
      <c r="L459" s="12">
        <f>MIS_Report!$B$2-F459</f>
        <v>255</v>
      </c>
      <c r="M459" t="str" cm="1">
        <f t="array" ref="M459">_xlfn.IFS(L459&lt;=30,"0-30",L459&lt;=60,"31-60",L459&lt;=90,"61-90",TRUE,"90+")</f>
        <v>90+</v>
      </c>
      <c r="N459">
        <f t="shared" si="15"/>
        <v>0</v>
      </c>
      <c r="O459" t="str">
        <f>VLOOKUP(K459,Agents!$A$1:$C$11,2,0)</f>
        <v>Manish Arora</v>
      </c>
      <c r="P459">
        <f t="shared" si="14"/>
        <v>0</v>
      </c>
    </row>
    <row r="460" spans="1:16" x14ac:dyDescent="0.25">
      <c r="A460" s="2" t="s">
        <v>837</v>
      </c>
      <c r="B460" s="2" t="s">
        <v>838</v>
      </c>
      <c r="C460" s="2" t="s">
        <v>29</v>
      </c>
      <c r="D460" s="2" t="s">
        <v>80</v>
      </c>
      <c r="E460" s="4">
        <v>46051</v>
      </c>
      <c r="F460" s="4">
        <v>46066</v>
      </c>
      <c r="G460" s="5">
        <v>12000</v>
      </c>
      <c r="H460" s="5">
        <v>11713.83</v>
      </c>
      <c r="I460" s="2" t="s">
        <v>37</v>
      </c>
      <c r="J460" s="2" t="s">
        <v>1541</v>
      </c>
      <c r="K460" t="s">
        <v>65</v>
      </c>
      <c r="L460" s="12">
        <f>MIS_Report!$B$2-F460</f>
        <v>244</v>
      </c>
      <c r="M460" t="str" cm="1">
        <f t="array" ref="M460">_xlfn.IFS(L460&lt;=30,"0-30",L460&lt;=60,"31-60",L460&lt;=90,"61-90",TRUE,"90+")</f>
        <v>90+</v>
      </c>
      <c r="N460">
        <f t="shared" si="15"/>
        <v>0</v>
      </c>
      <c r="O460" t="str">
        <f>VLOOKUP(K460,Agents!$A$1:$C$11,2,0)</f>
        <v>Deepak Nair</v>
      </c>
      <c r="P460">
        <f t="shared" si="14"/>
        <v>0</v>
      </c>
    </row>
    <row r="461" spans="1:16" x14ac:dyDescent="0.25">
      <c r="A461" s="2" t="s">
        <v>839</v>
      </c>
      <c r="B461" s="2" t="s">
        <v>840</v>
      </c>
      <c r="C461" s="2" t="s">
        <v>36</v>
      </c>
      <c r="D461" s="2" t="s">
        <v>30</v>
      </c>
      <c r="E461" s="4">
        <v>46048</v>
      </c>
      <c r="F461" s="4">
        <v>46055</v>
      </c>
      <c r="G461" s="5">
        <v>3350</v>
      </c>
      <c r="H461" s="5">
        <v>2006.04</v>
      </c>
      <c r="I461" s="2" t="s">
        <v>37</v>
      </c>
      <c r="J461" s="2" t="s">
        <v>1541</v>
      </c>
      <c r="K461" t="s">
        <v>65</v>
      </c>
      <c r="L461" s="12">
        <f>MIS_Report!$B$2-F461</f>
        <v>255</v>
      </c>
      <c r="M461" t="str" cm="1">
        <f t="array" ref="M461">_xlfn.IFS(L461&lt;=30,"0-30",L461&lt;=60,"31-60",L461&lt;=90,"61-90",TRUE,"90+")</f>
        <v>90+</v>
      </c>
      <c r="N461">
        <f t="shared" si="15"/>
        <v>0</v>
      </c>
      <c r="O461" t="str">
        <f>VLOOKUP(K461,Agents!$A$1:$C$11,2,0)</f>
        <v>Deepak Nair</v>
      </c>
      <c r="P461">
        <f t="shared" si="14"/>
        <v>0</v>
      </c>
    </row>
    <row r="462" spans="1:16" x14ac:dyDescent="0.25">
      <c r="A462" s="2" t="s">
        <v>841</v>
      </c>
      <c r="B462" s="2" t="s">
        <v>446</v>
      </c>
      <c r="C462" s="2" t="s">
        <v>36</v>
      </c>
      <c r="D462" s="2" t="s">
        <v>80</v>
      </c>
      <c r="E462" s="4">
        <v>46093</v>
      </c>
      <c r="F462" s="4">
        <v>46104</v>
      </c>
      <c r="G462" s="5">
        <v>14900</v>
      </c>
      <c r="H462" s="5">
        <v>9534.39</v>
      </c>
      <c r="I462" s="2" t="s">
        <v>37</v>
      </c>
      <c r="J462" s="2" t="s">
        <v>1541</v>
      </c>
      <c r="K462" t="s">
        <v>33</v>
      </c>
      <c r="L462" s="12">
        <f>MIS_Report!$B$2-F462</f>
        <v>206</v>
      </c>
      <c r="M462" t="str" cm="1">
        <f t="array" ref="M462">_xlfn.IFS(L462&lt;=30,"0-30",L462&lt;=60,"31-60",L462&lt;=90,"61-90",TRUE,"90+")</f>
        <v>90+</v>
      </c>
      <c r="N462">
        <f t="shared" si="15"/>
        <v>0</v>
      </c>
      <c r="O462" t="str">
        <f>VLOOKUP(K462,Agents!$A$1:$C$11,2,0)</f>
        <v>Manish Arora</v>
      </c>
      <c r="P462">
        <f t="shared" si="14"/>
        <v>0</v>
      </c>
    </row>
    <row r="463" spans="1:16" x14ac:dyDescent="0.25">
      <c r="A463" s="2" t="s">
        <v>842</v>
      </c>
      <c r="B463" s="2" t="s">
        <v>540</v>
      </c>
      <c r="C463" s="2" t="s">
        <v>79</v>
      </c>
      <c r="D463" s="2" t="s">
        <v>1538</v>
      </c>
      <c r="E463" s="4">
        <v>46046</v>
      </c>
      <c r="F463" s="4">
        <v>46057</v>
      </c>
      <c r="G463" s="5">
        <v>4350</v>
      </c>
      <c r="H463" s="5">
        <v>3193.33</v>
      </c>
      <c r="I463" s="2" t="s">
        <v>37</v>
      </c>
      <c r="J463" s="2" t="s">
        <v>1541</v>
      </c>
      <c r="K463" t="s">
        <v>43</v>
      </c>
      <c r="L463" s="12">
        <f>MIS_Report!$B$2-F463</f>
        <v>253</v>
      </c>
      <c r="M463" t="str" cm="1">
        <f t="array" ref="M463">_xlfn.IFS(L463&lt;=30,"0-30",L463&lt;=60,"31-60",L463&lt;=90,"61-90",TRUE,"90+")</f>
        <v>90+</v>
      </c>
      <c r="N463">
        <f t="shared" si="15"/>
        <v>0</v>
      </c>
      <c r="O463" t="str">
        <f>VLOOKUP(K463,Agents!$A$1:$C$11,2,0)</f>
        <v>Manish Arora</v>
      </c>
      <c r="P463">
        <f t="shared" si="14"/>
        <v>0</v>
      </c>
    </row>
    <row r="464" spans="1:16" x14ac:dyDescent="0.25">
      <c r="A464" s="2" t="s">
        <v>843</v>
      </c>
      <c r="B464" s="2" t="s">
        <v>844</v>
      </c>
      <c r="C464" s="2" t="s">
        <v>36</v>
      </c>
      <c r="D464" s="2" t="s">
        <v>61</v>
      </c>
      <c r="E464" s="4">
        <v>46015</v>
      </c>
      <c r="F464" s="4">
        <v>46031</v>
      </c>
      <c r="G464" s="5">
        <v>1025</v>
      </c>
      <c r="H464" s="5">
        <v>748.53</v>
      </c>
      <c r="I464" s="2" t="s">
        <v>37</v>
      </c>
      <c r="J464" s="2" t="s">
        <v>1541</v>
      </c>
      <c r="K464" t="s">
        <v>52</v>
      </c>
      <c r="L464" s="12">
        <f>MIS_Report!$B$2-F464</f>
        <v>279</v>
      </c>
      <c r="M464" t="str" cm="1">
        <f t="array" ref="M464">_xlfn.IFS(L464&lt;=30,"0-30",L464&lt;=60,"31-60",L464&lt;=90,"61-90",TRUE,"90+")</f>
        <v>90+</v>
      </c>
      <c r="N464">
        <f t="shared" si="15"/>
        <v>0</v>
      </c>
      <c r="O464" t="str">
        <f>VLOOKUP(K464,Agents!$A$1:$C$11,2,0)</f>
        <v>Sunita Rao</v>
      </c>
      <c r="P464">
        <f t="shared" si="14"/>
        <v>0</v>
      </c>
    </row>
    <row r="465" spans="1:16" x14ac:dyDescent="0.25">
      <c r="A465" s="2" t="s">
        <v>845</v>
      </c>
      <c r="B465" s="2" t="s">
        <v>846</v>
      </c>
      <c r="C465" s="2" t="s">
        <v>46</v>
      </c>
      <c r="D465" s="2" t="s">
        <v>68</v>
      </c>
      <c r="E465" s="4">
        <v>46141</v>
      </c>
      <c r="F465" s="4">
        <v>46149</v>
      </c>
      <c r="G465" s="5">
        <v>5425</v>
      </c>
      <c r="H465" s="5"/>
      <c r="I465" s="2" t="s">
        <v>42</v>
      </c>
      <c r="J465" s="2" t="s">
        <v>1541</v>
      </c>
      <c r="K465" t="s">
        <v>83</v>
      </c>
      <c r="L465" s="12">
        <f>MIS_Report!$B$2-F465</f>
        <v>161</v>
      </c>
      <c r="M465" t="str" cm="1">
        <f t="array" ref="M465">_xlfn.IFS(L465&lt;=30,"0-30",L465&lt;=60,"31-60",L465&lt;=90,"61-90",TRUE,"90+")</f>
        <v>90+</v>
      </c>
      <c r="N465">
        <f t="shared" si="15"/>
        <v>5425</v>
      </c>
      <c r="O465" t="str">
        <f>VLOOKUP(K465,Agents!$A$1:$C$11,2,0)</f>
        <v>Deepak Nair</v>
      </c>
      <c r="P465">
        <f t="shared" si="14"/>
        <v>0</v>
      </c>
    </row>
    <row r="466" spans="1:16" x14ac:dyDescent="0.25">
      <c r="A466" s="2" t="s">
        <v>847</v>
      </c>
      <c r="B466" s="2" t="s">
        <v>848</v>
      </c>
      <c r="C466" s="2" t="s">
        <v>46</v>
      </c>
      <c r="D466" s="2" t="s">
        <v>41</v>
      </c>
      <c r="E466" s="4">
        <v>46160</v>
      </c>
      <c r="F466" s="4">
        <v>46171</v>
      </c>
      <c r="G466" s="5">
        <v>5350</v>
      </c>
      <c r="H466" s="5">
        <v>0</v>
      </c>
      <c r="I466" s="2" t="s">
        <v>31</v>
      </c>
      <c r="J466" s="2" t="s">
        <v>271</v>
      </c>
      <c r="K466" t="s">
        <v>83</v>
      </c>
      <c r="L466" s="12">
        <f>MIS_Report!$B$2-F466</f>
        <v>139</v>
      </c>
      <c r="M466" t="str" cm="1">
        <f t="array" ref="M466">_xlfn.IFS(L466&lt;=30,"0-30",L466&lt;=60,"31-60",L466&lt;=90,"61-90",TRUE,"90+")</f>
        <v>90+</v>
      </c>
      <c r="N466">
        <f t="shared" si="15"/>
        <v>0</v>
      </c>
      <c r="O466" t="str">
        <f>VLOOKUP(K466,Agents!$A$1:$C$11,2,0)</f>
        <v>Deepak Nair</v>
      </c>
      <c r="P466">
        <f t="shared" si="14"/>
        <v>5350</v>
      </c>
    </row>
    <row r="467" spans="1:16" x14ac:dyDescent="0.25">
      <c r="A467" s="2" t="s">
        <v>849</v>
      </c>
      <c r="B467" s="2" t="s">
        <v>850</v>
      </c>
      <c r="C467" s="2" t="s">
        <v>79</v>
      </c>
      <c r="D467" s="2" t="s">
        <v>61</v>
      </c>
      <c r="E467" s="4">
        <v>46025</v>
      </c>
      <c r="F467" s="4">
        <v>46036</v>
      </c>
      <c r="G467" s="5">
        <v>1250</v>
      </c>
      <c r="H467" s="5">
        <v>709.82</v>
      </c>
      <c r="I467" s="2" t="s">
        <v>37</v>
      </c>
      <c r="J467" s="2" t="s">
        <v>1541</v>
      </c>
      <c r="K467" t="s">
        <v>48</v>
      </c>
      <c r="L467" s="12">
        <f>MIS_Report!$B$2-F467</f>
        <v>274</v>
      </c>
      <c r="M467" t="str" cm="1">
        <f t="array" ref="M467">_xlfn.IFS(L467&lt;=30,"0-30",L467&lt;=60,"31-60",L467&lt;=90,"61-90",TRUE,"90+")</f>
        <v>90+</v>
      </c>
      <c r="N467">
        <f t="shared" si="15"/>
        <v>0</v>
      </c>
      <c r="O467" t="str">
        <f>VLOOKUP(K467,Agents!$A$1:$C$11,2,0)</f>
        <v>Manish Arora</v>
      </c>
      <c r="P467">
        <f t="shared" si="14"/>
        <v>0</v>
      </c>
    </row>
    <row r="468" spans="1:16" x14ac:dyDescent="0.25">
      <c r="A468" s="2" t="s">
        <v>851</v>
      </c>
      <c r="B468" s="2" t="s">
        <v>396</v>
      </c>
      <c r="C468" s="2" t="s">
        <v>79</v>
      </c>
      <c r="D468" s="2" t="s">
        <v>30</v>
      </c>
      <c r="E468" s="4">
        <v>46113</v>
      </c>
      <c r="F468" s="4">
        <v>46120</v>
      </c>
      <c r="G468" s="5">
        <v>12250</v>
      </c>
      <c r="H468" s="5">
        <v>11878.11</v>
      </c>
      <c r="I468" s="2" t="s">
        <v>37</v>
      </c>
      <c r="J468" s="2" t="s">
        <v>1541</v>
      </c>
      <c r="K468" t="s">
        <v>43</v>
      </c>
      <c r="L468" s="12">
        <f>MIS_Report!$B$2-F468</f>
        <v>190</v>
      </c>
      <c r="M468" t="str" cm="1">
        <f t="array" ref="M468">_xlfn.IFS(L468&lt;=30,"0-30",L468&lt;=60,"31-60",L468&lt;=90,"61-90",TRUE,"90+")</f>
        <v>90+</v>
      </c>
      <c r="N468">
        <f t="shared" si="15"/>
        <v>0</v>
      </c>
      <c r="O468" t="str">
        <f>VLOOKUP(K468,Agents!$A$1:$C$11,2,0)</f>
        <v>Manish Arora</v>
      </c>
      <c r="P468">
        <f t="shared" si="14"/>
        <v>0</v>
      </c>
    </row>
    <row r="469" spans="1:16" x14ac:dyDescent="0.25">
      <c r="A469" s="2" t="s">
        <v>852</v>
      </c>
      <c r="B469" s="2" t="s">
        <v>853</v>
      </c>
      <c r="C469" s="2" t="s">
        <v>29</v>
      </c>
      <c r="D469" s="2" t="s">
        <v>80</v>
      </c>
      <c r="E469" s="4">
        <v>46128</v>
      </c>
      <c r="F469" s="4">
        <v>46141</v>
      </c>
      <c r="G469" s="5">
        <v>2850</v>
      </c>
      <c r="H469" s="5">
        <v>1884.4</v>
      </c>
      <c r="I469" s="2" t="s">
        <v>37</v>
      </c>
      <c r="J469" s="2" t="s">
        <v>1541</v>
      </c>
      <c r="K469" t="s">
        <v>43</v>
      </c>
      <c r="L469" s="12">
        <f>MIS_Report!$B$2-F469</f>
        <v>169</v>
      </c>
      <c r="M469" t="str" cm="1">
        <f t="array" ref="M469">_xlfn.IFS(L469&lt;=30,"0-30",L469&lt;=60,"31-60",L469&lt;=90,"61-90",TRUE,"90+")</f>
        <v>90+</v>
      </c>
      <c r="N469">
        <f t="shared" si="15"/>
        <v>0</v>
      </c>
      <c r="O469" t="str">
        <f>VLOOKUP(K469,Agents!$A$1:$C$11,2,0)</f>
        <v>Manish Arora</v>
      </c>
      <c r="P469">
        <f t="shared" si="14"/>
        <v>0</v>
      </c>
    </row>
    <row r="470" spans="1:16" x14ac:dyDescent="0.25">
      <c r="A470" s="2" t="s">
        <v>854</v>
      </c>
      <c r="B470" s="2" t="s">
        <v>598</v>
      </c>
      <c r="C470" s="2" t="s">
        <v>36</v>
      </c>
      <c r="D470" s="2" t="s">
        <v>68</v>
      </c>
      <c r="E470" s="4">
        <v>46027</v>
      </c>
      <c r="F470" s="4">
        <v>46037</v>
      </c>
      <c r="G470" s="5">
        <v>9675</v>
      </c>
      <c r="H470" s="5">
        <v>8827.3700000000008</v>
      </c>
      <c r="I470" s="2" t="s">
        <v>37</v>
      </c>
      <c r="J470" s="2" t="s">
        <v>1541</v>
      </c>
      <c r="K470" t="s">
        <v>83</v>
      </c>
      <c r="L470" s="12">
        <f>MIS_Report!$B$2-F470</f>
        <v>273</v>
      </c>
      <c r="M470" t="str" cm="1">
        <f t="array" ref="M470">_xlfn.IFS(L470&lt;=30,"0-30",L470&lt;=60,"31-60",L470&lt;=90,"61-90",TRUE,"90+")</f>
        <v>90+</v>
      </c>
      <c r="N470">
        <f t="shared" si="15"/>
        <v>0</v>
      </c>
      <c r="O470" t="str">
        <f>VLOOKUP(K470,Agents!$A$1:$C$11,2,0)</f>
        <v>Deepak Nair</v>
      </c>
      <c r="P470">
        <f t="shared" si="14"/>
        <v>0</v>
      </c>
    </row>
    <row r="471" spans="1:16" x14ac:dyDescent="0.25">
      <c r="A471" s="2" t="s">
        <v>855</v>
      </c>
      <c r="B471" s="2" t="s">
        <v>856</v>
      </c>
      <c r="C471" s="2" t="s">
        <v>46</v>
      </c>
      <c r="D471" s="2" t="s">
        <v>41</v>
      </c>
      <c r="E471" s="4">
        <v>46131</v>
      </c>
      <c r="F471" s="4">
        <v>46143</v>
      </c>
      <c r="G471" s="5">
        <v>3450</v>
      </c>
      <c r="H471" s="5">
        <v>2062.71</v>
      </c>
      <c r="I471" s="2" t="s">
        <v>37</v>
      </c>
      <c r="J471" s="2" t="s">
        <v>1541</v>
      </c>
      <c r="K471" t="s">
        <v>38</v>
      </c>
      <c r="L471" s="12">
        <f>MIS_Report!$B$2-F471</f>
        <v>167</v>
      </c>
      <c r="M471" t="str" cm="1">
        <f t="array" ref="M471">_xlfn.IFS(L471&lt;=30,"0-30",L471&lt;=60,"31-60",L471&lt;=90,"61-90",TRUE,"90+")</f>
        <v>90+</v>
      </c>
      <c r="N471">
        <f t="shared" si="15"/>
        <v>0</v>
      </c>
      <c r="O471" t="str">
        <f>VLOOKUP(K471,Agents!$A$1:$C$11,2,0)</f>
        <v>Sunita Rao</v>
      </c>
      <c r="P471">
        <f t="shared" si="14"/>
        <v>0</v>
      </c>
    </row>
    <row r="472" spans="1:16" x14ac:dyDescent="0.25">
      <c r="A472" s="2" t="s">
        <v>857</v>
      </c>
      <c r="B472" s="2" t="s">
        <v>858</v>
      </c>
      <c r="C472" s="2" t="s">
        <v>46</v>
      </c>
      <c r="D472" s="2" t="s">
        <v>80</v>
      </c>
      <c r="E472" s="4">
        <v>46271</v>
      </c>
      <c r="F472" s="4">
        <v>46288</v>
      </c>
      <c r="G472" s="5">
        <v>12350</v>
      </c>
      <c r="H472" s="5">
        <v>7266.61</v>
      </c>
      <c r="I472" s="2" t="s">
        <v>37</v>
      </c>
      <c r="J472" s="2" t="s">
        <v>1541</v>
      </c>
      <c r="K472" t="s">
        <v>56</v>
      </c>
      <c r="L472" s="12">
        <f>MIS_Report!$B$2-F472</f>
        <v>22</v>
      </c>
      <c r="M472" t="str" cm="1">
        <f t="array" ref="M472">_xlfn.IFS(L472&lt;=30,"0-30",L472&lt;=60,"31-60",L472&lt;=90,"61-90",TRUE,"90+")</f>
        <v>0-30</v>
      </c>
      <c r="N472">
        <f t="shared" si="15"/>
        <v>0</v>
      </c>
      <c r="O472" t="str">
        <f>VLOOKUP(K472,Agents!$A$1:$C$11,2,0)</f>
        <v>Manish Arora</v>
      </c>
      <c r="P472">
        <f t="shared" si="14"/>
        <v>0</v>
      </c>
    </row>
    <row r="473" spans="1:16" x14ac:dyDescent="0.25">
      <c r="A473" s="2" t="s">
        <v>859</v>
      </c>
      <c r="B473" s="2" t="s">
        <v>860</v>
      </c>
      <c r="C473" s="2" t="s">
        <v>29</v>
      </c>
      <c r="D473" s="2" t="s">
        <v>55</v>
      </c>
      <c r="E473" s="4">
        <v>46117</v>
      </c>
      <c r="F473" s="4">
        <v>46122</v>
      </c>
      <c r="G473" s="5">
        <v>4875</v>
      </c>
      <c r="H473" s="5">
        <v>4090.92</v>
      </c>
      <c r="I473" s="2" t="s">
        <v>37</v>
      </c>
      <c r="J473" s="2" t="s">
        <v>1541</v>
      </c>
      <c r="K473" t="s">
        <v>33</v>
      </c>
      <c r="L473" s="12">
        <f>MIS_Report!$B$2-F473</f>
        <v>188</v>
      </c>
      <c r="M473" t="str" cm="1">
        <f t="array" ref="M473">_xlfn.IFS(L473&lt;=30,"0-30",L473&lt;=60,"31-60",L473&lt;=90,"61-90",TRUE,"90+")</f>
        <v>90+</v>
      </c>
      <c r="N473">
        <f t="shared" si="15"/>
        <v>0</v>
      </c>
      <c r="O473" t="str">
        <f>VLOOKUP(K473,Agents!$A$1:$C$11,2,0)</f>
        <v>Manish Arora</v>
      </c>
      <c r="P473">
        <f t="shared" si="14"/>
        <v>0</v>
      </c>
    </row>
    <row r="474" spans="1:16" x14ac:dyDescent="0.25">
      <c r="A474" s="2" t="s">
        <v>861</v>
      </c>
      <c r="B474" s="2" t="s">
        <v>64</v>
      </c>
      <c r="C474" s="2" t="s">
        <v>46</v>
      </c>
      <c r="D474" s="2" t="s">
        <v>30</v>
      </c>
      <c r="E474" s="4">
        <v>46155</v>
      </c>
      <c r="F474" s="4">
        <v>46174</v>
      </c>
      <c r="G474" s="5">
        <v>12175</v>
      </c>
      <c r="H474" s="5">
        <v>8209.4699999999993</v>
      </c>
      <c r="I474" s="2" t="s">
        <v>37</v>
      </c>
      <c r="J474" s="2" t="s">
        <v>1541</v>
      </c>
      <c r="K474" t="s">
        <v>83</v>
      </c>
      <c r="L474" s="12">
        <f>MIS_Report!$B$2-F474</f>
        <v>136</v>
      </c>
      <c r="M474" t="str" cm="1">
        <f t="array" ref="M474">_xlfn.IFS(L474&lt;=30,"0-30",L474&lt;=60,"31-60",L474&lt;=90,"61-90",TRUE,"90+")</f>
        <v>90+</v>
      </c>
      <c r="N474">
        <f t="shared" si="15"/>
        <v>0</v>
      </c>
      <c r="O474" t="str">
        <f>VLOOKUP(K474,Agents!$A$1:$C$11,2,0)</f>
        <v>Deepak Nair</v>
      </c>
      <c r="P474">
        <f t="shared" si="14"/>
        <v>0</v>
      </c>
    </row>
    <row r="475" spans="1:16" x14ac:dyDescent="0.25">
      <c r="A475" s="2" t="s">
        <v>862</v>
      </c>
      <c r="B475" s="2" t="s">
        <v>863</v>
      </c>
      <c r="C475" s="2" t="s">
        <v>79</v>
      </c>
      <c r="D475" s="2" t="s">
        <v>61</v>
      </c>
      <c r="E475" s="4">
        <v>46117</v>
      </c>
      <c r="F475" s="4">
        <v>46129</v>
      </c>
      <c r="G475" s="5">
        <v>8175</v>
      </c>
      <c r="H475" s="5">
        <v>7198.5</v>
      </c>
      <c r="I475" s="2" t="s">
        <v>37</v>
      </c>
      <c r="J475" s="2" t="s">
        <v>1541</v>
      </c>
      <c r="K475" t="s">
        <v>33</v>
      </c>
      <c r="L475" s="12">
        <f>MIS_Report!$B$2-F475</f>
        <v>181</v>
      </c>
      <c r="M475" t="str" cm="1">
        <f t="array" ref="M475">_xlfn.IFS(L475&lt;=30,"0-30",L475&lt;=60,"31-60",L475&lt;=90,"61-90",TRUE,"90+")</f>
        <v>90+</v>
      </c>
      <c r="N475">
        <f t="shared" si="15"/>
        <v>0</v>
      </c>
      <c r="O475" t="str">
        <f>VLOOKUP(K475,Agents!$A$1:$C$11,2,0)</f>
        <v>Manish Arora</v>
      </c>
      <c r="P475">
        <f t="shared" si="14"/>
        <v>0</v>
      </c>
    </row>
    <row r="476" spans="1:16" x14ac:dyDescent="0.25">
      <c r="A476" s="2" t="s">
        <v>864</v>
      </c>
      <c r="B476" s="2" t="s">
        <v>613</v>
      </c>
      <c r="C476" s="2" t="s">
        <v>79</v>
      </c>
      <c r="D476" s="2" t="s">
        <v>55</v>
      </c>
      <c r="E476" s="4">
        <v>46263</v>
      </c>
      <c r="F476" s="4">
        <v>46281</v>
      </c>
      <c r="G476" s="5">
        <v>13575</v>
      </c>
      <c r="H476" s="5"/>
      <c r="I476" s="2" t="s">
        <v>42</v>
      </c>
      <c r="J476" s="2" t="s">
        <v>1541</v>
      </c>
      <c r="K476" t="s">
        <v>48</v>
      </c>
      <c r="L476" s="12">
        <f>MIS_Report!$B$2-F476</f>
        <v>29</v>
      </c>
      <c r="M476" t="str" cm="1">
        <f t="array" ref="M476">_xlfn.IFS(L476&lt;=30,"0-30",L476&lt;=60,"31-60",L476&lt;=90,"61-90",TRUE,"90+")</f>
        <v>0-30</v>
      </c>
      <c r="N476">
        <f t="shared" si="15"/>
        <v>13575</v>
      </c>
      <c r="O476" t="str">
        <f>VLOOKUP(K476,Agents!$A$1:$C$11,2,0)</f>
        <v>Manish Arora</v>
      </c>
      <c r="P476">
        <f t="shared" si="14"/>
        <v>0</v>
      </c>
    </row>
    <row r="477" spans="1:16" x14ac:dyDescent="0.25">
      <c r="A477" s="2" t="s">
        <v>865</v>
      </c>
      <c r="B477" s="2" t="s">
        <v>722</v>
      </c>
      <c r="C477" s="2" t="s">
        <v>29</v>
      </c>
      <c r="D477" s="2" t="s">
        <v>71</v>
      </c>
      <c r="E477" s="4">
        <v>46081</v>
      </c>
      <c r="F477" s="4">
        <v>46084</v>
      </c>
      <c r="G477" s="5">
        <v>8400</v>
      </c>
      <c r="H477" s="5">
        <v>6947.85</v>
      </c>
      <c r="I477" s="2" t="s">
        <v>37</v>
      </c>
      <c r="J477" s="2" t="s">
        <v>1541</v>
      </c>
      <c r="K477" t="s">
        <v>65</v>
      </c>
      <c r="L477" s="12">
        <f>MIS_Report!$B$2-F477</f>
        <v>226</v>
      </c>
      <c r="M477" t="str" cm="1">
        <f t="array" ref="M477">_xlfn.IFS(L477&lt;=30,"0-30",L477&lt;=60,"31-60",L477&lt;=90,"61-90",TRUE,"90+")</f>
        <v>90+</v>
      </c>
      <c r="N477">
        <f t="shared" si="15"/>
        <v>0</v>
      </c>
      <c r="O477" t="str">
        <f>VLOOKUP(K477,Agents!$A$1:$C$11,2,0)</f>
        <v>Deepak Nair</v>
      </c>
      <c r="P477">
        <f t="shared" si="14"/>
        <v>0</v>
      </c>
    </row>
    <row r="478" spans="1:16" x14ac:dyDescent="0.25">
      <c r="A478" s="2" t="s">
        <v>866</v>
      </c>
      <c r="B478" s="2" t="s">
        <v>566</v>
      </c>
      <c r="C478" s="2" t="s">
        <v>29</v>
      </c>
      <c r="D478" s="2" t="s">
        <v>71</v>
      </c>
      <c r="E478" s="4">
        <v>46188</v>
      </c>
      <c r="F478" s="4">
        <v>46208</v>
      </c>
      <c r="G478" s="5">
        <v>7175</v>
      </c>
      <c r="H478" s="5">
        <v>6218.2</v>
      </c>
      <c r="I478" s="2" t="s">
        <v>37</v>
      </c>
      <c r="J478" s="2" t="s">
        <v>1541</v>
      </c>
      <c r="K478" t="s">
        <v>65</v>
      </c>
      <c r="L478" s="12">
        <f>MIS_Report!$B$2-F478</f>
        <v>102</v>
      </c>
      <c r="M478" t="str" cm="1">
        <f t="array" ref="M478">_xlfn.IFS(L478&lt;=30,"0-30",L478&lt;=60,"31-60",L478&lt;=90,"61-90",TRUE,"90+")</f>
        <v>90+</v>
      </c>
      <c r="N478">
        <f t="shared" si="15"/>
        <v>0</v>
      </c>
      <c r="O478" t="str">
        <f>VLOOKUP(K478,Agents!$A$1:$C$11,2,0)</f>
        <v>Deepak Nair</v>
      </c>
      <c r="P478">
        <f t="shared" si="14"/>
        <v>0</v>
      </c>
    </row>
    <row r="479" spans="1:16" x14ac:dyDescent="0.25">
      <c r="A479" s="2" t="s">
        <v>867</v>
      </c>
      <c r="B479" s="2" t="s">
        <v>724</v>
      </c>
      <c r="C479" s="2" t="s">
        <v>79</v>
      </c>
      <c r="D479" s="2" t="s">
        <v>80</v>
      </c>
      <c r="E479" s="4">
        <v>46093</v>
      </c>
      <c r="F479" s="4">
        <v>46108</v>
      </c>
      <c r="G479" s="5">
        <v>13375</v>
      </c>
      <c r="H479" s="5">
        <v>7520.4</v>
      </c>
      <c r="I479" s="2" t="s">
        <v>37</v>
      </c>
      <c r="J479" s="2" t="s">
        <v>1541</v>
      </c>
      <c r="K479" t="s">
        <v>33</v>
      </c>
      <c r="L479" s="12">
        <f>MIS_Report!$B$2-F479</f>
        <v>202</v>
      </c>
      <c r="M479" t="str" cm="1">
        <f t="array" ref="M479">_xlfn.IFS(L479&lt;=30,"0-30",L479&lt;=60,"31-60",L479&lt;=90,"61-90",TRUE,"90+")</f>
        <v>90+</v>
      </c>
      <c r="N479">
        <f t="shared" si="15"/>
        <v>0</v>
      </c>
      <c r="O479" t="str">
        <f>VLOOKUP(K479,Agents!$A$1:$C$11,2,0)</f>
        <v>Manish Arora</v>
      </c>
      <c r="P479">
        <f t="shared" si="14"/>
        <v>0</v>
      </c>
    </row>
    <row r="480" spans="1:16" x14ac:dyDescent="0.25">
      <c r="A480" s="2" t="s">
        <v>868</v>
      </c>
      <c r="B480" s="2" t="s">
        <v>822</v>
      </c>
      <c r="C480" s="2" t="s">
        <v>29</v>
      </c>
      <c r="D480" s="2" t="s">
        <v>41</v>
      </c>
      <c r="E480" s="4">
        <v>46091</v>
      </c>
      <c r="F480" s="4">
        <v>46110</v>
      </c>
      <c r="G480" s="5">
        <v>5975</v>
      </c>
      <c r="H480" s="5"/>
      <c r="I480" s="2" t="s">
        <v>42</v>
      </c>
      <c r="J480" s="2" t="s">
        <v>1541</v>
      </c>
      <c r="K480" t="s">
        <v>43</v>
      </c>
      <c r="L480" s="12">
        <f>MIS_Report!$B$2-F480</f>
        <v>200</v>
      </c>
      <c r="M480" t="str" cm="1">
        <f t="array" ref="M480">_xlfn.IFS(L480&lt;=30,"0-30",L480&lt;=60,"31-60",L480&lt;=90,"61-90",TRUE,"90+")</f>
        <v>90+</v>
      </c>
      <c r="N480">
        <f t="shared" si="15"/>
        <v>5975</v>
      </c>
      <c r="O480" t="str">
        <f>VLOOKUP(K480,Agents!$A$1:$C$11,2,0)</f>
        <v>Manish Arora</v>
      </c>
      <c r="P480">
        <f t="shared" si="14"/>
        <v>0</v>
      </c>
    </row>
    <row r="481" spans="1:16" x14ac:dyDescent="0.25">
      <c r="A481" s="2" t="s">
        <v>869</v>
      </c>
      <c r="B481" s="2" t="s">
        <v>870</v>
      </c>
      <c r="C481" s="2" t="s">
        <v>46</v>
      </c>
      <c r="D481" s="2" t="s">
        <v>55</v>
      </c>
      <c r="E481" s="4">
        <v>46247</v>
      </c>
      <c r="F481" s="4">
        <v>46252</v>
      </c>
      <c r="G481" s="5">
        <v>12050</v>
      </c>
      <c r="H481" s="5"/>
      <c r="I481" s="2" t="s">
        <v>42</v>
      </c>
      <c r="J481" s="2" t="s">
        <v>1541</v>
      </c>
      <c r="K481" t="s">
        <v>62</v>
      </c>
      <c r="L481" s="12">
        <f>MIS_Report!$B$2-F481</f>
        <v>58</v>
      </c>
      <c r="M481" t="str" cm="1">
        <f t="array" ref="M481">_xlfn.IFS(L481&lt;=30,"0-30",L481&lt;=60,"31-60",L481&lt;=90,"61-90",TRUE,"90+")</f>
        <v>31-60</v>
      </c>
      <c r="N481">
        <f t="shared" si="15"/>
        <v>12050</v>
      </c>
      <c r="O481" t="str">
        <f>VLOOKUP(K481,Agents!$A$1:$C$11,2,0)</f>
        <v>Sunita Rao</v>
      </c>
      <c r="P481">
        <f t="shared" si="14"/>
        <v>0</v>
      </c>
    </row>
    <row r="482" spans="1:16" x14ac:dyDescent="0.25">
      <c r="A482" s="2" t="s">
        <v>871</v>
      </c>
      <c r="B482" s="2" t="s">
        <v>789</v>
      </c>
      <c r="C482" s="2" t="s">
        <v>29</v>
      </c>
      <c r="D482" s="2" t="s">
        <v>61</v>
      </c>
      <c r="E482" s="4">
        <v>46061</v>
      </c>
      <c r="F482" s="4">
        <v>46081</v>
      </c>
      <c r="G482" s="5">
        <v>12350</v>
      </c>
      <c r="H482" s="5"/>
      <c r="I482" s="2" t="s">
        <v>42</v>
      </c>
      <c r="J482" s="2" t="s">
        <v>1541</v>
      </c>
      <c r="K482" t="s">
        <v>109</v>
      </c>
      <c r="L482" s="12">
        <f>MIS_Report!$B$2-F482</f>
        <v>229</v>
      </c>
      <c r="M482" t="str" cm="1">
        <f t="array" ref="M482">_xlfn.IFS(L482&lt;=30,"0-30",L482&lt;=60,"31-60",L482&lt;=90,"61-90",TRUE,"90+")</f>
        <v>90+</v>
      </c>
      <c r="N482">
        <f t="shared" si="15"/>
        <v>12350</v>
      </c>
      <c r="O482" t="str">
        <f>VLOOKUP(K482,Agents!$A$1:$C$11,2,0)</f>
        <v>Deepak Nair</v>
      </c>
      <c r="P482">
        <f t="shared" si="14"/>
        <v>0</v>
      </c>
    </row>
    <row r="483" spans="1:16" x14ac:dyDescent="0.25">
      <c r="A483" s="2" t="s">
        <v>872</v>
      </c>
      <c r="B483" s="2" t="s">
        <v>341</v>
      </c>
      <c r="C483" s="2" t="s">
        <v>29</v>
      </c>
      <c r="D483" s="2" t="s">
        <v>61</v>
      </c>
      <c r="E483" s="4">
        <v>46148</v>
      </c>
      <c r="F483" s="4">
        <v>46161</v>
      </c>
      <c r="G483" s="5">
        <v>14300</v>
      </c>
      <c r="H483" s="5">
        <v>13781.35</v>
      </c>
      <c r="I483" s="2" t="s">
        <v>37</v>
      </c>
      <c r="J483" s="2" t="s">
        <v>1541</v>
      </c>
      <c r="K483" t="s">
        <v>65</v>
      </c>
      <c r="L483" s="12">
        <f>MIS_Report!$B$2-F483</f>
        <v>149</v>
      </c>
      <c r="M483" t="str" cm="1">
        <f t="array" ref="M483">_xlfn.IFS(L483&lt;=30,"0-30",L483&lt;=60,"31-60",L483&lt;=90,"61-90",TRUE,"90+")</f>
        <v>90+</v>
      </c>
      <c r="N483">
        <f t="shared" si="15"/>
        <v>0</v>
      </c>
      <c r="O483" t="str">
        <f>VLOOKUP(K483,Agents!$A$1:$C$11,2,0)</f>
        <v>Deepak Nair</v>
      </c>
      <c r="P483">
        <f t="shared" si="14"/>
        <v>0</v>
      </c>
    </row>
    <row r="484" spans="1:16" x14ac:dyDescent="0.25">
      <c r="A484" s="2" t="s">
        <v>873</v>
      </c>
      <c r="B484" s="2" t="s">
        <v>377</v>
      </c>
      <c r="C484" s="2" t="s">
        <v>46</v>
      </c>
      <c r="D484" s="2" t="s">
        <v>55</v>
      </c>
      <c r="E484" s="4">
        <v>46087</v>
      </c>
      <c r="F484" s="4">
        <v>46104</v>
      </c>
      <c r="G484" s="5">
        <v>6225</v>
      </c>
      <c r="H484" s="5">
        <v>4404.38</v>
      </c>
      <c r="I484" s="2" t="s">
        <v>37</v>
      </c>
      <c r="J484" s="2" t="s">
        <v>1541</v>
      </c>
      <c r="K484" t="s">
        <v>65</v>
      </c>
      <c r="L484" s="12">
        <f>MIS_Report!$B$2-F484</f>
        <v>206</v>
      </c>
      <c r="M484" t="str" cm="1">
        <f t="array" ref="M484">_xlfn.IFS(L484&lt;=30,"0-30",L484&lt;=60,"31-60",L484&lt;=90,"61-90",TRUE,"90+")</f>
        <v>90+</v>
      </c>
      <c r="N484">
        <f t="shared" si="15"/>
        <v>0</v>
      </c>
      <c r="O484" t="str">
        <f>VLOOKUP(K484,Agents!$A$1:$C$11,2,0)</f>
        <v>Deepak Nair</v>
      </c>
      <c r="P484">
        <f t="shared" si="14"/>
        <v>0</v>
      </c>
    </row>
    <row r="485" spans="1:16" x14ac:dyDescent="0.25">
      <c r="A485" s="2" t="s">
        <v>874</v>
      </c>
      <c r="B485" s="2" t="s">
        <v>611</v>
      </c>
      <c r="C485" s="2" t="s">
        <v>29</v>
      </c>
      <c r="D485" s="2" t="s">
        <v>68</v>
      </c>
      <c r="E485" s="4">
        <v>46103</v>
      </c>
      <c r="F485" s="4">
        <v>46113</v>
      </c>
      <c r="G485" s="5">
        <v>14275</v>
      </c>
      <c r="H485" s="5">
        <v>10641.9</v>
      </c>
      <c r="I485" s="2" t="s">
        <v>37</v>
      </c>
      <c r="J485" s="2" t="s">
        <v>1541</v>
      </c>
      <c r="K485" t="s">
        <v>62</v>
      </c>
      <c r="L485" s="12">
        <f>MIS_Report!$B$2-F485</f>
        <v>197</v>
      </c>
      <c r="M485" t="str" cm="1">
        <f t="array" ref="M485">_xlfn.IFS(L485&lt;=30,"0-30",L485&lt;=60,"31-60",L485&lt;=90,"61-90",TRUE,"90+")</f>
        <v>90+</v>
      </c>
      <c r="N485">
        <f t="shared" si="15"/>
        <v>0</v>
      </c>
      <c r="O485" t="str">
        <f>VLOOKUP(K485,Agents!$A$1:$C$11,2,0)</f>
        <v>Sunita Rao</v>
      </c>
      <c r="P485">
        <f t="shared" si="14"/>
        <v>0</v>
      </c>
    </row>
    <row r="486" spans="1:16" x14ac:dyDescent="0.25">
      <c r="A486" s="2" t="s">
        <v>875</v>
      </c>
      <c r="B486" s="2" t="s">
        <v>210</v>
      </c>
      <c r="C486" s="2" t="s">
        <v>29</v>
      </c>
      <c r="D486" s="2" t="s">
        <v>30</v>
      </c>
      <c r="E486" s="4">
        <v>46143</v>
      </c>
      <c r="F486" s="4">
        <v>46158</v>
      </c>
      <c r="G486" s="5">
        <v>11500</v>
      </c>
      <c r="H486" s="5">
        <v>7071.41</v>
      </c>
      <c r="I486" s="2" t="s">
        <v>37</v>
      </c>
      <c r="J486" s="2" t="s">
        <v>1541</v>
      </c>
      <c r="K486" t="s">
        <v>33</v>
      </c>
      <c r="L486" s="12">
        <f>MIS_Report!$B$2-F486</f>
        <v>152</v>
      </c>
      <c r="M486" t="str" cm="1">
        <f t="array" ref="M486">_xlfn.IFS(L486&lt;=30,"0-30",L486&lt;=60,"31-60",L486&lt;=90,"61-90",TRUE,"90+")</f>
        <v>90+</v>
      </c>
      <c r="N486">
        <f t="shared" si="15"/>
        <v>0</v>
      </c>
      <c r="O486" t="str">
        <f>VLOOKUP(K486,Agents!$A$1:$C$11,2,0)</f>
        <v>Manish Arora</v>
      </c>
      <c r="P486">
        <f t="shared" si="14"/>
        <v>0</v>
      </c>
    </row>
    <row r="487" spans="1:16" x14ac:dyDescent="0.25">
      <c r="A487" s="2" t="s">
        <v>876</v>
      </c>
      <c r="B487" s="2" t="s">
        <v>538</v>
      </c>
      <c r="C487" s="2" t="s">
        <v>36</v>
      </c>
      <c r="D487" s="2" t="s">
        <v>80</v>
      </c>
      <c r="E487" s="4">
        <v>46117</v>
      </c>
      <c r="F487" s="4">
        <v>46122</v>
      </c>
      <c r="G487" s="5">
        <v>9400</v>
      </c>
      <c r="H487" s="5"/>
      <c r="I487" s="2" t="s">
        <v>42</v>
      </c>
      <c r="J487" s="2" t="s">
        <v>1541</v>
      </c>
      <c r="K487" t="s">
        <v>62</v>
      </c>
      <c r="L487" s="12">
        <f>MIS_Report!$B$2-F487</f>
        <v>188</v>
      </c>
      <c r="M487" t="str" cm="1">
        <f t="array" ref="M487">_xlfn.IFS(L487&lt;=30,"0-30",L487&lt;=60,"31-60",L487&lt;=90,"61-90",TRUE,"90+")</f>
        <v>90+</v>
      </c>
      <c r="N487">
        <f t="shared" si="15"/>
        <v>9400</v>
      </c>
      <c r="O487" t="str">
        <f>VLOOKUP(K487,Agents!$A$1:$C$11,2,0)</f>
        <v>Sunita Rao</v>
      </c>
      <c r="P487">
        <f t="shared" si="14"/>
        <v>0</v>
      </c>
    </row>
    <row r="488" spans="1:16" x14ac:dyDescent="0.25">
      <c r="A488" s="2" t="s">
        <v>877</v>
      </c>
      <c r="B488" s="2" t="s">
        <v>878</v>
      </c>
      <c r="C488" s="2" t="s">
        <v>36</v>
      </c>
      <c r="D488" s="2" t="s">
        <v>68</v>
      </c>
      <c r="E488" s="4">
        <v>46030</v>
      </c>
      <c r="F488" s="4">
        <v>46038</v>
      </c>
      <c r="G488" s="5">
        <v>12975</v>
      </c>
      <c r="H488" s="5">
        <v>12753.94</v>
      </c>
      <c r="I488" s="2" t="s">
        <v>37</v>
      </c>
      <c r="J488" s="2" t="s">
        <v>1541</v>
      </c>
      <c r="K488" t="s">
        <v>38</v>
      </c>
      <c r="L488" s="12">
        <f>MIS_Report!$B$2-F488</f>
        <v>272</v>
      </c>
      <c r="M488" t="str" cm="1">
        <f t="array" ref="M488">_xlfn.IFS(L488&lt;=30,"0-30",L488&lt;=60,"31-60",L488&lt;=90,"61-90",TRUE,"90+")</f>
        <v>90+</v>
      </c>
      <c r="N488">
        <f t="shared" si="15"/>
        <v>0</v>
      </c>
      <c r="O488" t="str">
        <f>VLOOKUP(K488,Agents!$A$1:$C$11,2,0)</f>
        <v>Sunita Rao</v>
      </c>
      <c r="P488">
        <f t="shared" si="14"/>
        <v>0</v>
      </c>
    </row>
    <row r="489" spans="1:16" x14ac:dyDescent="0.25">
      <c r="A489" s="2" t="s">
        <v>879</v>
      </c>
      <c r="B489" s="2" t="s">
        <v>880</v>
      </c>
      <c r="C489" s="2" t="s">
        <v>79</v>
      </c>
      <c r="D489" s="2" t="s">
        <v>30</v>
      </c>
      <c r="E489" s="4">
        <v>46166</v>
      </c>
      <c r="F489" s="4">
        <v>46184</v>
      </c>
      <c r="G489" s="5">
        <v>12850</v>
      </c>
      <c r="H489" s="5"/>
      <c r="I489" s="2" t="s">
        <v>42</v>
      </c>
      <c r="J489" s="2" t="s">
        <v>1541</v>
      </c>
      <c r="K489" t="s">
        <v>56</v>
      </c>
      <c r="L489" s="12">
        <f>MIS_Report!$B$2-F489</f>
        <v>126</v>
      </c>
      <c r="M489" t="str" cm="1">
        <f t="array" ref="M489">_xlfn.IFS(L489&lt;=30,"0-30",L489&lt;=60,"31-60",L489&lt;=90,"61-90",TRUE,"90+")</f>
        <v>90+</v>
      </c>
      <c r="N489">
        <f t="shared" si="15"/>
        <v>12850</v>
      </c>
      <c r="O489" t="str">
        <f>VLOOKUP(K489,Agents!$A$1:$C$11,2,0)</f>
        <v>Manish Arora</v>
      </c>
      <c r="P489">
        <f t="shared" si="14"/>
        <v>0</v>
      </c>
    </row>
    <row r="490" spans="1:16" x14ac:dyDescent="0.25">
      <c r="A490" s="2" t="s">
        <v>881</v>
      </c>
      <c r="B490" s="2" t="s">
        <v>174</v>
      </c>
      <c r="C490" s="2" t="s">
        <v>29</v>
      </c>
      <c r="D490" s="2" t="s">
        <v>61</v>
      </c>
      <c r="E490" s="4">
        <v>46127</v>
      </c>
      <c r="F490" s="4">
        <v>46145</v>
      </c>
      <c r="G490" s="5">
        <v>9825</v>
      </c>
      <c r="H490" s="5">
        <v>7236.48</v>
      </c>
      <c r="I490" s="2" t="s">
        <v>37</v>
      </c>
      <c r="J490" s="2" t="s">
        <v>1541</v>
      </c>
      <c r="K490" t="s">
        <v>33</v>
      </c>
      <c r="L490" s="12">
        <f>MIS_Report!$B$2-F490</f>
        <v>165</v>
      </c>
      <c r="M490" t="str" cm="1">
        <f t="array" ref="M490">_xlfn.IFS(L490&lt;=30,"0-30",L490&lt;=60,"31-60",L490&lt;=90,"61-90",TRUE,"90+")</f>
        <v>90+</v>
      </c>
      <c r="N490">
        <f t="shared" si="15"/>
        <v>0</v>
      </c>
      <c r="O490" t="str">
        <f>VLOOKUP(K490,Agents!$A$1:$C$11,2,0)</f>
        <v>Manish Arora</v>
      </c>
      <c r="P490">
        <f t="shared" si="14"/>
        <v>0</v>
      </c>
    </row>
    <row r="491" spans="1:16" x14ac:dyDescent="0.25">
      <c r="A491" s="2" t="s">
        <v>882</v>
      </c>
      <c r="B491" s="2" t="s">
        <v>431</v>
      </c>
      <c r="C491" s="2" t="s">
        <v>79</v>
      </c>
      <c r="D491" s="2" t="s">
        <v>61</v>
      </c>
      <c r="E491" s="4">
        <v>46256</v>
      </c>
      <c r="F491" s="4">
        <v>46274</v>
      </c>
      <c r="G491" s="5">
        <v>7275</v>
      </c>
      <c r="H491" s="5">
        <v>6010.03</v>
      </c>
      <c r="I491" s="2" t="s">
        <v>37</v>
      </c>
      <c r="J491" s="2" t="s">
        <v>1541</v>
      </c>
      <c r="K491" t="s">
        <v>38</v>
      </c>
      <c r="L491" s="12">
        <f>MIS_Report!$B$2-F491</f>
        <v>36</v>
      </c>
      <c r="M491" t="str" cm="1">
        <f t="array" ref="M491">_xlfn.IFS(L491&lt;=30,"0-30",L491&lt;=60,"31-60",L491&lt;=90,"61-90",TRUE,"90+")</f>
        <v>31-60</v>
      </c>
      <c r="N491">
        <f t="shared" si="15"/>
        <v>0</v>
      </c>
      <c r="O491" t="str">
        <f>VLOOKUP(K491,Agents!$A$1:$C$11,2,0)</f>
        <v>Sunita Rao</v>
      </c>
      <c r="P491">
        <f t="shared" si="14"/>
        <v>0</v>
      </c>
    </row>
    <row r="492" spans="1:16" x14ac:dyDescent="0.25">
      <c r="A492" s="2" t="s">
        <v>883</v>
      </c>
      <c r="B492" s="2" t="s">
        <v>535</v>
      </c>
      <c r="C492" s="2" t="s">
        <v>46</v>
      </c>
      <c r="D492" s="2" t="s">
        <v>61</v>
      </c>
      <c r="E492" s="4">
        <v>46065</v>
      </c>
      <c r="F492" s="4">
        <v>46075</v>
      </c>
      <c r="G492" s="5">
        <v>575</v>
      </c>
      <c r="H492" s="5">
        <v>510.53</v>
      </c>
      <c r="I492" s="2" t="s">
        <v>37</v>
      </c>
      <c r="J492" s="2" t="s">
        <v>1541</v>
      </c>
      <c r="K492" t="s">
        <v>65</v>
      </c>
      <c r="L492" s="12">
        <f>MIS_Report!$B$2-F492</f>
        <v>235</v>
      </c>
      <c r="M492" t="str" cm="1">
        <f t="array" ref="M492">_xlfn.IFS(L492&lt;=30,"0-30",L492&lt;=60,"31-60",L492&lt;=90,"61-90",TRUE,"90+")</f>
        <v>90+</v>
      </c>
      <c r="N492">
        <f t="shared" si="15"/>
        <v>0</v>
      </c>
      <c r="O492" t="str">
        <f>VLOOKUP(K492,Agents!$A$1:$C$11,2,0)</f>
        <v>Deepak Nair</v>
      </c>
      <c r="P492">
        <f t="shared" si="14"/>
        <v>0</v>
      </c>
    </row>
    <row r="493" spans="1:16" x14ac:dyDescent="0.25">
      <c r="A493" s="2" t="s">
        <v>884</v>
      </c>
      <c r="B493" s="2" t="s">
        <v>885</v>
      </c>
      <c r="C493" s="2" t="s">
        <v>36</v>
      </c>
      <c r="D493" s="2" t="s">
        <v>80</v>
      </c>
      <c r="E493" s="4">
        <v>46247</v>
      </c>
      <c r="F493" s="4">
        <v>46256</v>
      </c>
      <c r="G493" s="5">
        <v>13325</v>
      </c>
      <c r="H493" s="5"/>
      <c r="I493" s="2" t="s">
        <v>42</v>
      </c>
      <c r="J493" s="2" t="s">
        <v>1541</v>
      </c>
      <c r="K493" t="s">
        <v>48</v>
      </c>
      <c r="L493" s="12">
        <f>MIS_Report!$B$2-F493</f>
        <v>54</v>
      </c>
      <c r="M493" t="str" cm="1">
        <f t="array" ref="M493">_xlfn.IFS(L493&lt;=30,"0-30",L493&lt;=60,"31-60",L493&lt;=90,"61-90",TRUE,"90+")</f>
        <v>31-60</v>
      </c>
      <c r="N493">
        <f t="shared" si="15"/>
        <v>13325</v>
      </c>
      <c r="O493" t="str">
        <f>VLOOKUP(K493,Agents!$A$1:$C$11,2,0)</f>
        <v>Manish Arora</v>
      </c>
      <c r="P493">
        <f t="shared" si="14"/>
        <v>0</v>
      </c>
    </row>
    <row r="494" spans="1:16" x14ac:dyDescent="0.25">
      <c r="A494" s="2" t="s">
        <v>886</v>
      </c>
      <c r="B494" s="2" t="s">
        <v>887</v>
      </c>
      <c r="C494" s="2" t="s">
        <v>29</v>
      </c>
      <c r="D494" s="2" t="s">
        <v>61</v>
      </c>
      <c r="E494" s="4">
        <v>46034</v>
      </c>
      <c r="F494" s="4">
        <v>46040</v>
      </c>
      <c r="G494" s="5">
        <v>2450</v>
      </c>
      <c r="H494" s="5">
        <v>2331.9299999999998</v>
      </c>
      <c r="I494" s="2" t="s">
        <v>37</v>
      </c>
      <c r="J494" s="2" t="s">
        <v>1541</v>
      </c>
      <c r="K494" t="s">
        <v>65</v>
      </c>
      <c r="L494" s="12">
        <f>MIS_Report!$B$2-F494</f>
        <v>270</v>
      </c>
      <c r="M494" t="str" cm="1">
        <f t="array" ref="M494">_xlfn.IFS(L494&lt;=30,"0-30",L494&lt;=60,"31-60",L494&lt;=90,"61-90",TRUE,"90+")</f>
        <v>90+</v>
      </c>
      <c r="N494">
        <f t="shared" si="15"/>
        <v>0</v>
      </c>
      <c r="O494" t="str">
        <f>VLOOKUP(K494,Agents!$A$1:$C$11,2,0)</f>
        <v>Deepak Nair</v>
      </c>
      <c r="P494">
        <f t="shared" si="14"/>
        <v>0</v>
      </c>
    </row>
    <row r="495" spans="1:16" x14ac:dyDescent="0.25">
      <c r="A495" s="2" t="s">
        <v>888</v>
      </c>
      <c r="B495" s="2" t="s">
        <v>204</v>
      </c>
      <c r="C495" s="2" t="s">
        <v>79</v>
      </c>
      <c r="D495" s="2" t="s">
        <v>41</v>
      </c>
      <c r="E495" s="4">
        <v>46124</v>
      </c>
      <c r="F495" s="4">
        <v>46141</v>
      </c>
      <c r="G495" s="5">
        <v>14075</v>
      </c>
      <c r="H495" s="5">
        <v>10464.76</v>
      </c>
      <c r="I495" s="2" t="s">
        <v>37</v>
      </c>
      <c r="J495" s="2" t="s">
        <v>1541</v>
      </c>
      <c r="K495" t="s">
        <v>48</v>
      </c>
      <c r="L495" s="12">
        <f>MIS_Report!$B$2-F495</f>
        <v>169</v>
      </c>
      <c r="M495" t="str" cm="1">
        <f t="array" ref="M495">_xlfn.IFS(L495&lt;=30,"0-30",L495&lt;=60,"31-60",L495&lt;=90,"61-90",TRUE,"90+")</f>
        <v>90+</v>
      </c>
      <c r="N495">
        <f t="shared" si="15"/>
        <v>0</v>
      </c>
      <c r="O495" t="str">
        <f>VLOOKUP(K495,Agents!$A$1:$C$11,2,0)</f>
        <v>Manish Arora</v>
      </c>
      <c r="P495">
        <f t="shared" si="14"/>
        <v>0</v>
      </c>
    </row>
    <row r="496" spans="1:16" x14ac:dyDescent="0.25">
      <c r="A496" s="2" t="s">
        <v>889</v>
      </c>
      <c r="B496" s="2" t="s">
        <v>890</v>
      </c>
      <c r="C496" s="2" t="s">
        <v>46</v>
      </c>
      <c r="D496" s="2" t="s">
        <v>55</v>
      </c>
      <c r="E496" s="4">
        <v>46083</v>
      </c>
      <c r="F496" s="4">
        <v>46088</v>
      </c>
      <c r="G496" s="5">
        <v>13275</v>
      </c>
      <c r="H496" s="5">
        <v>8812.51</v>
      </c>
      <c r="I496" s="2" t="s">
        <v>37</v>
      </c>
      <c r="J496" s="2" t="s">
        <v>1541</v>
      </c>
      <c r="K496" t="s">
        <v>65</v>
      </c>
      <c r="L496" s="12">
        <f>MIS_Report!$B$2-F496</f>
        <v>222</v>
      </c>
      <c r="M496" t="str" cm="1">
        <f t="array" ref="M496">_xlfn.IFS(L496&lt;=30,"0-30",L496&lt;=60,"31-60",L496&lt;=90,"61-90",TRUE,"90+")</f>
        <v>90+</v>
      </c>
      <c r="N496">
        <f t="shared" si="15"/>
        <v>0</v>
      </c>
      <c r="O496" t="str">
        <f>VLOOKUP(K496,Agents!$A$1:$C$11,2,0)</f>
        <v>Deepak Nair</v>
      </c>
      <c r="P496">
        <f t="shared" si="14"/>
        <v>0</v>
      </c>
    </row>
    <row r="497" spans="1:16" x14ac:dyDescent="0.25">
      <c r="A497" s="2" t="s">
        <v>891</v>
      </c>
      <c r="B497" s="2" t="s">
        <v>892</v>
      </c>
      <c r="C497" s="2" t="s">
        <v>36</v>
      </c>
      <c r="D497" s="2" t="s">
        <v>55</v>
      </c>
      <c r="E497" s="4">
        <v>46152</v>
      </c>
      <c r="F497" s="4">
        <v>46155</v>
      </c>
      <c r="G497" s="5">
        <v>12900</v>
      </c>
      <c r="H497" s="5"/>
      <c r="I497" s="2" t="s">
        <v>42</v>
      </c>
      <c r="J497" s="2" t="s">
        <v>1541</v>
      </c>
      <c r="K497" t="s">
        <v>52</v>
      </c>
      <c r="L497" s="12">
        <f>MIS_Report!$B$2-F497</f>
        <v>155</v>
      </c>
      <c r="M497" t="str" cm="1">
        <f t="array" ref="M497">_xlfn.IFS(L497&lt;=30,"0-30",L497&lt;=60,"31-60",L497&lt;=90,"61-90",TRUE,"90+")</f>
        <v>90+</v>
      </c>
      <c r="N497">
        <f t="shared" si="15"/>
        <v>12900</v>
      </c>
      <c r="O497" t="str">
        <f>VLOOKUP(K497,Agents!$A$1:$C$11,2,0)</f>
        <v>Sunita Rao</v>
      </c>
      <c r="P497">
        <f t="shared" si="14"/>
        <v>0</v>
      </c>
    </row>
    <row r="498" spans="1:16" x14ac:dyDescent="0.25">
      <c r="A498" s="2" t="s">
        <v>893</v>
      </c>
      <c r="B498" s="2" t="s">
        <v>894</v>
      </c>
      <c r="C498" s="2" t="s">
        <v>46</v>
      </c>
      <c r="D498" s="2" t="s">
        <v>41</v>
      </c>
      <c r="E498" s="4">
        <v>46218</v>
      </c>
      <c r="F498" s="4">
        <v>46231</v>
      </c>
      <c r="G498" s="5">
        <v>2050</v>
      </c>
      <c r="H498" s="5">
        <v>1488.47</v>
      </c>
      <c r="I498" s="2" t="s">
        <v>37</v>
      </c>
      <c r="J498" s="2" t="s">
        <v>1541</v>
      </c>
      <c r="K498" t="s">
        <v>65</v>
      </c>
      <c r="L498" s="12">
        <f>MIS_Report!$B$2-F498</f>
        <v>79</v>
      </c>
      <c r="M498" t="str" cm="1">
        <f t="array" ref="M498">_xlfn.IFS(L498&lt;=30,"0-30",L498&lt;=60,"31-60",L498&lt;=90,"61-90",TRUE,"90+")</f>
        <v>61-90</v>
      </c>
      <c r="N498">
        <f t="shared" si="15"/>
        <v>0</v>
      </c>
      <c r="O498" t="str">
        <f>VLOOKUP(K498,Agents!$A$1:$C$11,2,0)</f>
        <v>Deepak Nair</v>
      </c>
      <c r="P498">
        <f t="shared" si="14"/>
        <v>0</v>
      </c>
    </row>
    <row r="499" spans="1:16" x14ac:dyDescent="0.25">
      <c r="A499" s="2" t="s">
        <v>895</v>
      </c>
      <c r="B499" s="2" t="s">
        <v>896</v>
      </c>
      <c r="C499" s="2" t="s">
        <v>79</v>
      </c>
      <c r="D499" s="2" t="s">
        <v>61</v>
      </c>
      <c r="E499" s="4">
        <v>46157</v>
      </c>
      <c r="F499" s="4">
        <v>46176</v>
      </c>
      <c r="G499" s="5">
        <v>4050</v>
      </c>
      <c r="H499" s="5">
        <v>3833.47</v>
      </c>
      <c r="I499" s="2" t="s">
        <v>37</v>
      </c>
      <c r="J499" s="2" t="s">
        <v>1541</v>
      </c>
      <c r="K499" t="s">
        <v>83</v>
      </c>
      <c r="L499" s="12">
        <f>MIS_Report!$B$2-F499</f>
        <v>134</v>
      </c>
      <c r="M499" t="str" cm="1">
        <f t="array" ref="M499">_xlfn.IFS(L499&lt;=30,"0-30",L499&lt;=60,"31-60",L499&lt;=90,"61-90",TRUE,"90+")</f>
        <v>90+</v>
      </c>
      <c r="N499">
        <f t="shared" si="15"/>
        <v>0</v>
      </c>
      <c r="O499" t="str">
        <f>VLOOKUP(K499,Agents!$A$1:$C$11,2,0)</f>
        <v>Deepak Nair</v>
      </c>
      <c r="P499">
        <f t="shared" si="14"/>
        <v>0</v>
      </c>
    </row>
    <row r="500" spans="1:16" x14ac:dyDescent="0.25">
      <c r="A500" s="2" t="s">
        <v>897</v>
      </c>
      <c r="B500" s="2" t="s">
        <v>766</v>
      </c>
      <c r="C500" s="2" t="s">
        <v>29</v>
      </c>
      <c r="D500" s="2" t="s">
        <v>30</v>
      </c>
      <c r="E500" s="4">
        <v>46223</v>
      </c>
      <c r="F500" s="4">
        <v>46243</v>
      </c>
      <c r="G500" s="5">
        <v>11175</v>
      </c>
      <c r="H500" s="5">
        <v>9737.7800000000007</v>
      </c>
      <c r="I500" s="2" t="s">
        <v>37</v>
      </c>
      <c r="J500" s="2" t="s">
        <v>1541</v>
      </c>
      <c r="K500" t="s">
        <v>62</v>
      </c>
      <c r="L500" s="12">
        <f>MIS_Report!$B$2-F500</f>
        <v>67</v>
      </c>
      <c r="M500" t="str" cm="1">
        <f t="array" ref="M500">_xlfn.IFS(L500&lt;=30,"0-30",L500&lt;=60,"31-60",L500&lt;=90,"61-90",TRUE,"90+")</f>
        <v>61-90</v>
      </c>
      <c r="N500">
        <f t="shared" si="15"/>
        <v>0</v>
      </c>
      <c r="O500" t="str">
        <f>VLOOKUP(K500,Agents!$A$1:$C$11,2,0)</f>
        <v>Sunita Rao</v>
      </c>
      <c r="P500">
        <f t="shared" si="14"/>
        <v>0</v>
      </c>
    </row>
    <row r="501" spans="1:16" x14ac:dyDescent="0.25">
      <c r="A501" s="2" t="s">
        <v>898</v>
      </c>
      <c r="B501" s="2" t="s">
        <v>899</v>
      </c>
      <c r="C501" s="2" t="s">
        <v>36</v>
      </c>
      <c r="D501" s="2" t="s">
        <v>55</v>
      </c>
      <c r="E501" s="4">
        <v>46224</v>
      </c>
      <c r="F501" s="4">
        <v>46242</v>
      </c>
      <c r="G501" s="5">
        <v>2300</v>
      </c>
      <c r="H501" s="5"/>
      <c r="I501" s="2" t="s">
        <v>42</v>
      </c>
      <c r="J501" s="2" t="s">
        <v>1541</v>
      </c>
      <c r="K501" t="s">
        <v>33</v>
      </c>
      <c r="L501" s="12">
        <f>MIS_Report!$B$2-F501</f>
        <v>68</v>
      </c>
      <c r="M501" t="str" cm="1">
        <f t="array" ref="M501">_xlfn.IFS(L501&lt;=30,"0-30",L501&lt;=60,"31-60",L501&lt;=90,"61-90",TRUE,"90+")</f>
        <v>61-90</v>
      </c>
      <c r="N501">
        <f t="shared" si="15"/>
        <v>2300</v>
      </c>
      <c r="O501" t="str">
        <f>VLOOKUP(K501,Agents!$A$1:$C$11,2,0)</f>
        <v>Manish Arora</v>
      </c>
      <c r="P501">
        <f t="shared" si="14"/>
        <v>0</v>
      </c>
    </row>
    <row r="502" spans="1:16" x14ac:dyDescent="0.25">
      <c r="A502" s="2" t="s">
        <v>900</v>
      </c>
      <c r="B502" s="2" t="s">
        <v>108</v>
      </c>
      <c r="C502" s="2" t="s">
        <v>36</v>
      </c>
      <c r="D502" s="2" t="s">
        <v>80</v>
      </c>
      <c r="E502" s="4">
        <v>46028</v>
      </c>
      <c r="F502" s="4">
        <v>46035</v>
      </c>
      <c r="G502" s="5">
        <v>14550</v>
      </c>
      <c r="H502" s="5"/>
      <c r="I502" s="2" t="s">
        <v>42</v>
      </c>
      <c r="J502" s="2" t="s">
        <v>1541</v>
      </c>
      <c r="K502" t="s">
        <v>65</v>
      </c>
      <c r="L502" s="12">
        <f>MIS_Report!$B$2-F502</f>
        <v>275</v>
      </c>
      <c r="M502" t="str" cm="1">
        <f t="array" ref="M502">_xlfn.IFS(L502&lt;=30,"0-30",L502&lt;=60,"31-60",L502&lt;=90,"61-90",TRUE,"90+")</f>
        <v>90+</v>
      </c>
      <c r="N502">
        <f t="shared" si="15"/>
        <v>14550</v>
      </c>
      <c r="O502" t="str">
        <f>VLOOKUP(K502,Agents!$A$1:$C$11,2,0)</f>
        <v>Deepak Nair</v>
      </c>
      <c r="P502">
        <f t="shared" si="14"/>
        <v>0</v>
      </c>
    </row>
    <row r="503" spans="1:16" x14ac:dyDescent="0.25">
      <c r="A503" s="2" t="s">
        <v>901</v>
      </c>
      <c r="B503" s="2" t="s">
        <v>60</v>
      </c>
      <c r="C503" s="2" t="s">
        <v>79</v>
      </c>
      <c r="D503" s="2" t="s">
        <v>55</v>
      </c>
      <c r="E503" s="4">
        <v>46106</v>
      </c>
      <c r="F503" s="4">
        <v>46110</v>
      </c>
      <c r="G503" s="5">
        <v>14325</v>
      </c>
      <c r="H503" s="5">
        <v>9381.25</v>
      </c>
      <c r="I503" s="2" t="s">
        <v>37</v>
      </c>
      <c r="J503" s="2" t="s">
        <v>1541</v>
      </c>
      <c r="K503" t="s">
        <v>56</v>
      </c>
      <c r="L503" s="12">
        <f>MIS_Report!$B$2-F503</f>
        <v>200</v>
      </c>
      <c r="M503" t="str" cm="1">
        <f t="array" ref="M503">_xlfn.IFS(L503&lt;=30,"0-30",L503&lt;=60,"31-60",L503&lt;=90,"61-90",TRUE,"90+")</f>
        <v>90+</v>
      </c>
      <c r="N503">
        <f t="shared" si="15"/>
        <v>0</v>
      </c>
      <c r="O503" t="str">
        <f>VLOOKUP(K503,Agents!$A$1:$C$11,2,0)</f>
        <v>Manish Arora</v>
      </c>
      <c r="P503">
        <f t="shared" si="14"/>
        <v>0</v>
      </c>
    </row>
    <row r="504" spans="1:16" x14ac:dyDescent="0.25">
      <c r="A504" s="2" t="s">
        <v>902</v>
      </c>
      <c r="B504" s="2" t="s">
        <v>480</v>
      </c>
      <c r="C504" s="2" t="s">
        <v>29</v>
      </c>
      <c r="D504" s="2" t="s">
        <v>55</v>
      </c>
      <c r="E504" s="4">
        <v>46098</v>
      </c>
      <c r="F504" s="4">
        <v>46117</v>
      </c>
      <c r="G504" s="5">
        <v>13650</v>
      </c>
      <c r="H504" s="5">
        <v>8661.75</v>
      </c>
      <c r="I504" s="2" t="s">
        <v>37</v>
      </c>
      <c r="J504" s="2" t="s">
        <v>1541</v>
      </c>
      <c r="K504" t="s">
        <v>109</v>
      </c>
      <c r="L504" s="12">
        <f>MIS_Report!$B$2-F504</f>
        <v>193</v>
      </c>
      <c r="M504" t="str" cm="1">
        <f t="array" ref="M504">_xlfn.IFS(L504&lt;=30,"0-30",L504&lt;=60,"31-60",L504&lt;=90,"61-90",TRUE,"90+")</f>
        <v>90+</v>
      </c>
      <c r="N504">
        <f t="shared" si="15"/>
        <v>0</v>
      </c>
      <c r="O504" t="str">
        <f>VLOOKUP(K504,Agents!$A$1:$C$11,2,0)</f>
        <v>Deepak Nair</v>
      </c>
      <c r="P504">
        <f t="shared" si="14"/>
        <v>0</v>
      </c>
    </row>
    <row r="505" spans="1:16" x14ac:dyDescent="0.25">
      <c r="A505" s="2" t="s">
        <v>903</v>
      </c>
      <c r="B505" s="2" t="s">
        <v>904</v>
      </c>
      <c r="C505" s="2" t="s">
        <v>46</v>
      </c>
      <c r="D505" s="2" t="s">
        <v>94</v>
      </c>
      <c r="E505" s="4">
        <v>46252</v>
      </c>
      <c r="F505" s="4">
        <v>46268</v>
      </c>
      <c r="G505" s="5">
        <v>12100</v>
      </c>
      <c r="H505" s="5"/>
      <c r="I505" s="2" t="s">
        <v>42</v>
      </c>
      <c r="J505" s="2" t="s">
        <v>1541</v>
      </c>
      <c r="K505" t="s">
        <v>48</v>
      </c>
      <c r="L505" s="12">
        <f>MIS_Report!$B$2-F505</f>
        <v>42</v>
      </c>
      <c r="M505" t="str" cm="1">
        <f t="array" ref="M505">_xlfn.IFS(L505&lt;=30,"0-30",L505&lt;=60,"31-60",L505&lt;=90,"61-90",TRUE,"90+")</f>
        <v>31-60</v>
      </c>
      <c r="N505">
        <f t="shared" si="15"/>
        <v>12100</v>
      </c>
      <c r="O505" t="str">
        <f>VLOOKUP(K505,Agents!$A$1:$C$11,2,0)</f>
        <v>Manish Arora</v>
      </c>
      <c r="P505">
        <f t="shared" si="14"/>
        <v>0</v>
      </c>
    </row>
    <row r="506" spans="1:16" x14ac:dyDescent="0.25">
      <c r="A506" s="2" t="s">
        <v>905</v>
      </c>
      <c r="B506" s="2" t="s">
        <v>906</v>
      </c>
      <c r="C506" s="2" t="s">
        <v>29</v>
      </c>
      <c r="D506" s="2" t="s">
        <v>30</v>
      </c>
      <c r="E506" s="4">
        <v>46283</v>
      </c>
      <c r="F506" s="4">
        <v>46293</v>
      </c>
      <c r="G506" s="5">
        <v>2900</v>
      </c>
      <c r="H506" s="5">
        <v>2425.7399999999998</v>
      </c>
      <c r="I506" s="2" t="s">
        <v>37</v>
      </c>
      <c r="J506" s="2" t="s">
        <v>1541</v>
      </c>
      <c r="K506" t="s">
        <v>38</v>
      </c>
      <c r="L506" s="12">
        <f>MIS_Report!$B$2-F506</f>
        <v>17</v>
      </c>
      <c r="M506" t="str" cm="1">
        <f t="array" ref="M506">_xlfn.IFS(L506&lt;=30,"0-30",L506&lt;=60,"31-60",L506&lt;=90,"61-90",TRUE,"90+")</f>
        <v>0-30</v>
      </c>
      <c r="N506">
        <f t="shared" si="15"/>
        <v>0</v>
      </c>
      <c r="O506" t="str">
        <f>VLOOKUP(K506,Agents!$A$1:$C$11,2,0)</f>
        <v>Sunita Rao</v>
      </c>
      <c r="P506">
        <f t="shared" si="14"/>
        <v>0</v>
      </c>
    </row>
    <row r="507" spans="1:16" x14ac:dyDescent="0.25">
      <c r="A507" s="2" t="s">
        <v>907</v>
      </c>
      <c r="B507" s="2" t="s">
        <v>890</v>
      </c>
      <c r="C507" s="2" t="s">
        <v>79</v>
      </c>
      <c r="D507" s="2" t="s">
        <v>61</v>
      </c>
      <c r="E507" s="4">
        <v>46137</v>
      </c>
      <c r="F507" s="4">
        <v>46145</v>
      </c>
      <c r="G507" s="5">
        <v>8050</v>
      </c>
      <c r="H507" s="5"/>
      <c r="I507" s="2" t="s">
        <v>42</v>
      </c>
      <c r="J507" s="2" t="s">
        <v>1541</v>
      </c>
      <c r="K507" t="s">
        <v>52</v>
      </c>
      <c r="L507" s="12">
        <f>MIS_Report!$B$2-F507</f>
        <v>165</v>
      </c>
      <c r="M507" t="str" cm="1">
        <f t="array" ref="M507">_xlfn.IFS(L507&lt;=30,"0-30",L507&lt;=60,"31-60",L507&lt;=90,"61-90",TRUE,"90+")</f>
        <v>90+</v>
      </c>
      <c r="N507">
        <f t="shared" si="15"/>
        <v>8050</v>
      </c>
      <c r="O507" t="str">
        <f>VLOOKUP(K507,Agents!$A$1:$C$11,2,0)</f>
        <v>Sunita Rao</v>
      </c>
      <c r="P507">
        <f t="shared" si="14"/>
        <v>0</v>
      </c>
    </row>
    <row r="508" spans="1:16" x14ac:dyDescent="0.25">
      <c r="A508" s="2" t="s">
        <v>908</v>
      </c>
      <c r="B508" s="2" t="s">
        <v>909</v>
      </c>
      <c r="C508" s="2" t="s">
        <v>36</v>
      </c>
      <c r="D508" s="2" t="s">
        <v>80</v>
      </c>
      <c r="E508" s="4">
        <v>46265</v>
      </c>
      <c r="F508" s="4">
        <v>46282</v>
      </c>
      <c r="G508" s="5">
        <v>2000</v>
      </c>
      <c r="H508" s="5"/>
      <c r="I508" s="2" t="s">
        <v>42</v>
      </c>
      <c r="J508" s="2" t="s">
        <v>1541</v>
      </c>
      <c r="K508" t="s">
        <v>109</v>
      </c>
      <c r="L508" s="12">
        <f>MIS_Report!$B$2-F508</f>
        <v>28</v>
      </c>
      <c r="M508" t="str" cm="1">
        <f t="array" ref="M508">_xlfn.IFS(L508&lt;=30,"0-30",L508&lt;=60,"31-60",L508&lt;=90,"61-90",TRUE,"90+")</f>
        <v>0-30</v>
      </c>
      <c r="N508">
        <f t="shared" si="15"/>
        <v>2000</v>
      </c>
      <c r="O508" t="str">
        <f>VLOOKUP(K508,Agents!$A$1:$C$11,2,0)</f>
        <v>Deepak Nair</v>
      </c>
      <c r="P508">
        <f t="shared" si="14"/>
        <v>0</v>
      </c>
    </row>
    <row r="509" spans="1:16" x14ac:dyDescent="0.25">
      <c r="A509" s="2" t="s">
        <v>910</v>
      </c>
      <c r="B509" s="2" t="s">
        <v>358</v>
      </c>
      <c r="C509" s="2" t="s">
        <v>29</v>
      </c>
      <c r="D509" s="2" t="s">
        <v>61</v>
      </c>
      <c r="E509" s="4">
        <v>46214</v>
      </c>
      <c r="F509" s="4">
        <v>46231</v>
      </c>
      <c r="G509" s="5">
        <v>11725</v>
      </c>
      <c r="H509" s="5">
        <v>7547.58</v>
      </c>
      <c r="I509" s="2" t="s">
        <v>37</v>
      </c>
      <c r="J509" s="2" t="s">
        <v>1541</v>
      </c>
      <c r="K509" t="s">
        <v>83</v>
      </c>
      <c r="L509" s="12">
        <f>MIS_Report!$B$2-F509</f>
        <v>79</v>
      </c>
      <c r="M509" t="str" cm="1">
        <f t="array" ref="M509">_xlfn.IFS(L509&lt;=30,"0-30",L509&lt;=60,"31-60",L509&lt;=90,"61-90",TRUE,"90+")</f>
        <v>61-90</v>
      </c>
      <c r="N509">
        <f t="shared" si="15"/>
        <v>0</v>
      </c>
      <c r="O509" t="str">
        <f>VLOOKUP(K509,Agents!$A$1:$C$11,2,0)</f>
        <v>Deepak Nair</v>
      </c>
      <c r="P509">
        <f t="shared" si="14"/>
        <v>0</v>
      </c>
    </row>
    <row r="510" spans="1:16" x14ac:dyDescent="0.25">
      <c r="A510" s="2" t="s">
        <v>911</v>
      </c>
      <c r="B510" s="2" t="s">
        <v>912</v>
      </c>
      <c r="C510" s="2" t="s">
        <v>79</v>
      </c>
      <c r="D510" s="2" t="s">
        <v>41</v>
      </c>
      <c r="E510" s="4">
        <v>46228</v>
      </c>
      <c r="F510" s="4">
        <v>46242</v>
      </c>
      <c r="G510" s="5">
        <v>7475</v>
      </c>
      <c r="H510" s="5">
        <v>5712.97</v>
      </c>
      <c r="I510" s="2" t="s">
        <v>37</v>
      </c>
      <c r="J510" s="2" t="s">
        <v>1541</v>
      </c>
      <c r="K510" t="s">
        <v>48</v>
      </c>
      <c r="L510" s="12">
        <f>MIS_Report!$B$2-F510</f>
        <v>68</v>
      </c>
      <c r="M510" t="str" cm="1">
        <f t="array" ref="M510">_xlfn.IFS(L510&lt;=30,"0-30",L510&lt;=60,"31-60",L510&lt;=90,"61-90",TRUE,"90+")</f>
        <v>61-90</v>
      </c>
      <c r="N510">
        <f t="shared" si="15"/>
        <v>0</v>
      </c>
      <c r="O510" t="str">
        <f>VLOOKUP(K510,Agents!$A$1:$C$11,2,0)</f>
        <v>Manish Arora</v>
      </c>
      <c r="P510">
        <f t="shared" si="14"/>
        <v>0</v>
      </c>
    </row>
    <row r="511" spans="1:16" x14ac:dyDescent="0.25">
      <c r="A511" s="2" t="s">
        <v>913</v>
      </c>
      <c r="B511" s="2" t="s">
        <v>914</v>
      </c>
      <c r="C511" s="2" t="s">
        <v>79</v>
      </c>
      <c r="D511" s="2" t="s">
        <v>94</v>
      </c>
      <c r="E511" s="4">
        <v>46163</v>
      </c>
      <c r="F511" s="4">
        <v>46166</v>
      </c>
      <c r="G511" s="5">
        <v>4250</v>
      </c>
      <c r="H511" s="5">
        <v>4133.03</v>
      </c>
      <c r="I511" s="2" t="s">
        <v>37</v>
      </c>
      <c r="J511" s="2" t="s">
        <v>1541</v>
      </c>
      <c r="K511" t="s">
        <v>48</v>
      </c>
      <c r="L511" s="12">
        <f>MIS_Report!$B$2-F511</f>
        <v>144</v>
      </c>
      <c r="M511" t="str" cm="1">
        <f t="array" ref="M511">_xlfn.IFS(L511&lt;=30,"0-30",L511&lt;=60,"31-60",L511&lt;=90,"61-90",TRUE,"90+")</f>
        <v>90+</v>
      </c>
      <c r="N511">
        <f t="shared" si="15"/>
        <v>0</v>
      </c>
      <c r="O511" t="str">
        <f>VLOOKUP(K511,Agents!$A$1:$C$11,2,0)</f>
        <v>Manish Arora</v>
      </c>
      <c r="P511">
        <f t="shared" si="14"/>
        <v>0</v>
      </c>
    </row>
    <row r="512" spans="1:16" x14ac:dyDescent="0.25">
      <c r="A512" s="2" t="s">
        <v>915</v>
      </c>
      <c r="B512" s="2" t="s">
        <v>540</v>
      </c>
      <c r="C512" s="2" t="s">
        <v>79</v>
      </c>
      <c r="D512" s="2" t="s">
        <v>55</v>
      </c>
      <c r="E512" s="4">
        <v>46206</v>
      </c>
      <c r="F512" s="4">
        <v>46216</v>
      </c>
      <c r="G512" s="5">
        <v>12975</v>
      </c>
      <c r="H512" s="5">
        <v>11011.63</v>
      </c>
      <c r="I512" s="2" t="s">
        <v>37</v>
      </c>
      <c r="J512" s="2" t="s">
        <v>1541</v>
      </c>
      <c r="K512" t="s">
        <v>56</v>
      </c>
      <c r="L512" s="12">
        <f>MIS_Report!$B$2-F512</f>
        <v>94</v>
      </c>
      <c r="M512" t="str" cm="1">
        <f t="array" ref="M512">_xlfn.IFS(L512&lt;=30,"0-30",L512&lt;=60,"31-60",L512&lt;=90,"61-90",TRUE,"90+")</f>
        <v>90+</v>
      </c>
      <c r="N512">
        <f t="shared" si="15"/>
        <v>0</v>
      </c>
      <c r="O512" t="str">
        <f>VLOOKUP(K512,Agents!$A$1:$C$11,2,0)</f>
        <v>Manish Arora</v>
      </c>
      <c r="P512">
        <f t="shared" si="14"/>
        <v>0</v>
      </c>
    </row>
    <row r="513" spans="1:16" x14ac:dyDescent="0.25">
      <c r="A513" s="2" t="s">
        <v>916</v>
      </c>
      <c r="B513" s="2" t="s">
        <v>168</v>
      </c>
      <c r="C513" s="2" t="s">
        <v>79</v>
      </c>
      <c r="D513" s="2" t="s">
        <v>30</v>
      </c>
      <c r="E513" s="4">
        <v>46219</v>
      </c>
      <c r="F513" s="4">
        <v>46237</v>
      </c>
      <c r="G513" s="5">
        <v>10000</v>
      </c>
      <c r="H513" s="5"/>
      <c r="I513" s="2" t="s">
        <v>42</v>
      </c>
      <c r="J513" s="2" t="s">
        <v>1541</v>
      </c>
      <c r="K513" t="s">
        <v>83</v>
      </c>
      <c r="L513" s="12">
        <f>MIS_Report!$B$2-F513</f>
        <v>73</v>
      </c>
      <c r="M513" t="str" cm="1">
        <f t="array" ref="M513">_xlfn.IFS(L513&lt;=30,"0-30",L513&lt;=60,"31-60",L513&lt;=90,"61-90",TRUE,"90+")</f>
        <v>61-90</v>
      </c>
      <c r="N513">
        <f t="shared" si="15"/>
        <v>10000</v>
      </c>
      <c r="O513" t="str">
        <f>VLOOKUP(K513,Agents!$A$1:$C$11,2,0)</f>
        <v>Deepak Nair</v>
      </c>
      <c r="P513">
        <f t="shared" si="14"/>
        <v>0</v>
      </c>
    </row>
    <row r="514" spans="1:16" x14ac:dyDescent="0.25">
      <c r="A514" s="2" t="s">
        <v>917</v>
      </c>
      <c r="B514" s="2" t="s">
        <v>918</v>
      </c>
      <c r="C514" s="2" t="s">
        <v>79</v>
      </c>
      <c r="D514" s="2" t="s">
        <v>80</v>
      </c>
      <c r="E514" s="4">
        <v>46041</v>
      </c>
      <c r="F514" s="4">
        <v>46055</v>
      </c>
      <c r="G514" s="5">
        <v>12950</v>
      </c>
      <c r="H514" s="5">
        <v>0</v>
      </c>
      <c r="I514" s="2" t="s">
        <v>31</v>
      </c>
      <c r="J514" s="2" t="s">
        <v>47</v>
      </c>
      <c r="K514" t="s">
        <v>83</v>
      </c>
      <c r="L514" s="12">
        <f>MIS_Report!$B$2-F514</f>
        <v>255</v>
      </c>
      <c r="M514" t="str" cm="1">
        <f t="array" ref="M514">_xlfn.IFS(L514&lt;=30,"0-30",L514&lt;=60,"31-60",L514&lt;=90,"61-90",TRUE,"90+")</f>
        <v>90+</v>
      </c>
      <c r="N514">
        <f t="shared" si="15"/>
        <v>0</v>
      </c>
      <c r="O514" t="str">
        <f>VLOOKUP(K514,Agents!$A$1:$C$11,2,0)</f>
        <v>Deepak Nair</v>
      </c>
      <c r="P514">
        <f t="shared" si="14"/>
        <v>12950</v>
      </c>
    </row>
    <row r="515" spans="1:16" x14ac:dyDescent="0.25">
      <c r="A515" s="2" t="s">
        <v>920</v>
      </c>
      <c r="B515" s="2" t="s">
        <v>921</v>
      </c>
      <c r="C515" s="2" t="s">
        <v>79</v>
      </c>
      <c r="D515" s="2" t="s">
        <v>80</v>
      </c>
      <c r="E515" s="4">
        <v>46148</v>
      </c>
      <c r="F515" s="4">
        <v>46159</v>
      </c>
      <c r="G515" s="5">
        <v>12325</v>
      </c>
      <c r="H515" s="5">
        <v>9838.02</v>
      </c>
      <c r="I515" s="2" t="s">
        <v>37</v>
      </c>
      <c r="J515" s="2" t="s">
        <v>1541</v>
      </c>
      <c r="K515" t="s">
        <v>43</v>
      </c>
      <c r="L515" s="12">
        <f>MIS_Report!$B$2-F515</f>
        <v>151</v>
      </c>
      <c r="M515" t="str" cm="1">
        <f t="array" ref="M515">_xlfn.IFS(L515&lt;=30,"0-30",L515&lt;=60,"31-60",L515&lt;=90,"61-90",TRUE,"90+")</f>
        <v>90+</v>
      </c>
      <c r="N515">
        <f t="shared" si="15"/>
        <v>0</v>
      </c>
      <c r="O515" t="str">
        <f>VLOOKUP(K515,Agents!$A$1:$C$11,2,0)</f>
        <v>Manish Arora</v>
      </c>
      <c r="P515">
        <f t="shared" ref="P515:P578" si="16">IF(I515="Denied",G515,0)</f>
        <v>0</v>
      </c>
    </row>
    <row r="516" spans="1:16" x14ac:dyDescent="0.25">
      <c r="A516" s="2" t="s">
        <v>922</v>
      </c>
      <c r="B516" s="2" t="s">
        <v>278</v>
      </c>
      <c r="C516" s="2" t="s">
        <v>79</v>
      </c>
      <c r="D516" s="2" t="s">
        <v>1538</v>
      </c>
      <c r="E516" s="4">
        <v>46068</v>
      </c>
      <c r="F516" s="4">
        <v>46083</v>
      </c>
      <c r="G516" s="5">
        <v>975</v>
      </c>
      <c r="H516" s="5">
        <v>844.58</v>
      </c>
      <c r="I516" s="2" t="s">
        <v>37</v>
      </c>
      <c r="J516" s="2" t="s">
        <v>1541</v>
      </c>
      <c r="K516" t="s">
        <v>52</v>
      </c>
      <c r="L516" s="12">
        <f>MIS_Report!$B$2-F516</f>
        <v>227</v>
      </c>
      <c r="M516" t="str" cm="1">
        <f t="array" ref="M516">_xlfn.IFS(L516&lt;=30,"0-30",L516&lt;=60,"31-60",L516&lt;=90,"61-90",TRUE,"90+")</f>
        <v>90+</v>
      </c>
      <c r="N516">
        <f t="shared" si="15"/>
        <v>0</v>
      </c>
      <c r="O516" t="str">
        <f>VLOOKUP(K516,Agents!$A$1:$C$11,2,0)</f>
        <v>Sunita Rao</v>
      </c>
      <c r="P516">
        <f t="shared" si="16"/>
        <v>0</v>
      </c>
    </row>
    <row r="517" spans="1:16" x14ac:dyDescent="0.25">
      <c r="A517" s="2" t="s">
        <v>923</v>
      </c>
      <c r="B517" s="2" t="s">
        <v>822</v>
      </c>
      <c r="C517" s="2" t="s">
        <v>36</v>
      </c>
      <c r="D517" s="2" t="s">
        <v>41</v>
      </c>
      <c r="E517" s="4">
        <v>46155</v>
      </c>
      <c r="F517" s="4">
        <v>46169</v>
      </c>
      <c r="G517" s="5">
        <v>6525</v>
      </c>
      <c r="H517" s="5">
        <v>4768.79</v>
      </c>
      <c r="I517" s="2" t="s">
        <v>37</v>
      </c>
      <c r="J517" s="2" t="s">
        <v>1541</v>
      </c>
      <c r="K517" t="s">
        <v>38</v>
      </c>
      <c r="L517" s="12">
        <f>MIS_Report!$B$2-F517</f>
        <v>141</v>
      </c>
      <c r="M517" t="str" cm="1">
        <f t="array" ref="M517">_xlfn.IFS(L517&lt;=30,"0-30",L517&lt;=60,"31-60",L517&lt;=90,"61-90",TRUE,"90+")</f>
        <v>90+</v>
      </c>
      <c r="N517">
        <f t="shared" ref="N517:N580" si="17">IF(I517="Pending",G517-H517,0)</f>
        <v>0</v>
      </c>
      <c r="O517" t="str">
        <f>VLOOKUP(K517,Agents!$A$1:$C$11,2,0)</f>
        <v>Sunita Rao</v>
      </c>
      <c r="P517">
        <f t="shared" si="16"/>
        <v>0</v>
      </c>
    </row>
    <row r="518" spans="1:16" x14ac:dyDescent="0.25">
      <c r="A518" s="2" t="s">
        <v>924</v>
      </c>
      <c r="B518" s="2" t="s">
        <v>925</v>
      </c>
      <c r="C518" s="2" t="s">
        <v>36</v>
      </c>
      <c r="D518" s="2" t="s">
        <v>61</v>
      </c>
      <c r="E518" s="4">
        <v>46196</v>
      </c>
      <c r="F518" s="4">
        <v>46211</v>
      </c>
      <c r="G518" s="5">
        <v>6575</v>
      </c>
      <c r="H518" s="5">
        <v>4091.48</v>
      </c>
      <c r="I518" s="2" t="s">
        <v>37</v>
      </c>
      <c r="J518" s="2" t="s">
        <v>1541</v>
      </c>
      <c r="K518" t="s">
        <v>52</v>
      </c>
      <c r="L518" s="12">
        <f>MIS_Report!$B$2-F518</f>
        <v>99</v>
      </c>
      <c r="M518" t="str" cm="1">
        <f t="array" ref="M518">_xlfn.IFS(L518&lt;=30,"0-30",L518&lt;=60,"31-60",L518&lt;=90,"61-90",TRUE,"90+")</f>
        <v>90+</v>
      </c>
      <c r="N518">
        <f t="shared" si="17"/>
        <v>0</v>
      </c>
      <c r="O518" t="str">
        <f>VLOOKUP(K518,Agents!$A$1:$C$11,2,0)</f>
        <v>Sunita Rao</v>
      </c>
      <c r="P518">
        <f t="shared" si="16"/>
        <v>0</v>
      </c>
    </row>
    <row r="519" spans="1:16" x14ac:dyDescent="0.25">
      <c r="A519" s="2" t="s">
        <v>927</v>
      </c>
      <c r="B519" s="2" t="s">
        <v>918</v>
      </c>
      <c r="C519" s="2" t="s">
        <v>36</v>
      </c>
      <c r="D519" s="2" t="s">
        <v>68</v>
      </c>
      <c r="E519" s="4">
        <v>46150</v>
      </c>
      <c r="F519" s="4">
        <v>46158</v>
      </c>
      <c r="G519" s="5">
        <v>11250</v>
      </c>
      <c r="H519" s="5"/>
      <c r="I519" s="2" t="s">
        <v>42</v>
      </c>
      <c r="J519" s="2" t="s">
        <v>1541</v>
      </c>
      <c r="K519" t="s">
        <v>62</v>
      </c>
      <c r="L519" s="12">
        <f>MIS_Report!$B$2-F519</f>
        <v>152</v>
      </c>
      <c r="M519" t="str" cm="1">
        <f t="array" ref="M519">_xlfn.IFS(L519&lt;=30,"0-30",L519&lt;=60,"31-60",L519&lt;=90,"61-90",TRUE,"90+")</f>
        <v>90+</v>
      </c>
      <c r="N519">
        <f t="shared" si="17"/>
        <v>11250</v>
      </c>
      <c r="O519" t="str">
        <f>VLOOKUP(K519,Agents!$A$1:$C$11,2,0)</f>
        <v>Sunita Rao</v>
      </c>
      <c r="P519">
        <f t="shared" si="16"/>
        <v>0</v>
      </c>
    </row>
    <row r="520" spans="1:16" x14ac:dyDescent="0.25">
      <c r="A520" s="2" t="s">
        <v>928</v>
      </c>
      <c r="B520" s="2" t="s">
        <v>929</v>
      </c>
      <c r="C520" s="2" t="s">
        <v>46</v>
      </c>
      <c r="D520" s="2" t="s">
        <v>55</v>
      </c>
      <c r="E520" s="4">
        <v>46202</v>
      </c>
      <c r="F520" s="4">
        <v>46219</v>
      </c>
      <c r="G520" s="5">
        <v>10875</v>
      </c>
      <c r="H520" s="5">
        <v>6117.15</v>
      </c>
      <c r="I520" s="2" t="s">
        <v>37</v>
      </c>
      <c r="J520" s="2" t="s">
        <v>1541</v>
      </c>
      <c r="K520" t="s">
        <v>52</v>
      </c>
      <c r="L520" s="12">
        <f>MIS_Report!$B$2-F520</f>
        <v>91</v>
      </c>
      <c r="M520" t="str" cm="1">
        <f t="array" ref="M520">_xlfn.IFS(L520&lt;=30,"0-30",L520&lt;=60,"31-60",L520&lt;=90,"61-90",TRUE,"90+")</f>
        <v>90+</v>
      </c>
      <c r="N520">
        <f t="shared" si="17"/>
        <v>0</v>
      </c>
      <c r="O520" t="str">
        <f>VLOOKUP(K520,Agents!$A$1:$C$11,2,0)</f>
        <v>Sunita Rao</v>
      </c>
      <c r="P520">
        <f t="shared" si="16"/>
        <v>0</v>
      </c>
    </row>
    <row r="521" spans="1:16" x14ac:dyDescent="0.25">
      <c r="A521" s="2" t="s">
        <v>930</v>
      </c>
      <c r="B521" s="2" t="s">
        <v>58</v>
      </c>
      <c r="C521" s="2" t="s">
        <v>36</v>
      </c>
      <c r="D521" s="2" t="s">
        <v>41</v>
      </c>
      <c r="E521" s="4">
        <v>46008</v>
      </c>
      <c r="F521" s="4">
        <v>46026</v>
      </c>
      <c r="G521" s="5">
        <v>2200</v>
      </c>
      <c r="H521" s="5">
        <v>1927.56</v>
      </c>
      <c r="I521" s="2" t="s">
        <v>37</v>
      </c>
      <c r="J521" s="2" t="s">
        <v>1541</v>
      </c>
      <c r="K521" t="s">
        <v>52</v>
      </c>
      <c r="L521" s="12">
        <f>MIS_Report!$B$2-F521</f>
        <v>284</v>
      </c>
      <c r="M521" t="str" cm="1">
        <f t="array" ref="M521">_xlfn.IFS(L521&lt;=30,"0-30",L521&lt;=60,"31-60",L521&lt;=90,"61-90",TRUE,"90+")</f>
        <v>90+</v>
      </c>
      <c r="N521">
        <f t="shared" si="17"/>
        <v>0</v>
      </c>
      <c r="O521" t="str">
        <f>VLOOKUP(K521,Agents!$A$1:$C$11,2,0)</f>
        <v>Sunita Rao</v>
      </c>
      <c r="P521">
        <f t="shared" si="16"/>
        <v>0</v>
      </c>
    </row>
    <row r="522" spans="1:16" x14ac:dyDescent="0.25">
      <c r="A522" s="2" t="s">
        <v>931</v>
      </c>
      <c r="B522" s="2" t="s">
        <v>204</v>
      </c>
      <c r="C522" s="2" t="s">
        <v>46</v>
      </c>
      <c r="D522" s="2" t="s">
        <v>80</v>
      </c>
      <c r="E522" s="4">
        <v>46136</v>
      </c>
      <c r="F522" s="4">
        <v>46143</v>
      </c>
      <c r="G522" s="5">
        <v>10875</v>
      </c>
      <c r="H522" s="5">
        <v>7169.08</v>
      </c>
      <c r="I522" s="2" t="s">
        <v>37</v>
      </c>
      <c r="J522" s="2" t="s">
        <v>1541</v>
      </c>
      <c r="K522" t="s">
        <v>52</v>
      </c>
      <c r="L522" s="12">
        <f>MIS_Report!$B$2-F522</f>
        <v>167</v>
      </c>
      <c r="M522" t="str" cm="1">
        <f t="array" ref="M522">_xlfn.IFS(L522&lt;=30,"0-30",L522&lt;=60,"31-60",L522&lt;=90,"61-90",TRUE,"90+")</f>
        <v>90+</v>
      </c>
      <c r="N522">
        <f t="shared" si="17"/>
        <v>0</v>
      </c>
      <c r="O522" t="str">
        <f>VLOOKUP(K522,Agents!$A$1:$C$11,2,0)</f>
        <v>Sunita Rao</v>
      </c>
      <c r="P522">
        <f t="shared" si="16"/>
        <v>0</v>
      </c>
    </row>
    <row r="523" spans="1:16" x14ac:dyDescent="0.25">
      <c r="A523" s="2" t="s">
        <v>932</v>
      </c>
      <c r="B523" s="2" t="s">
        <v>726</v>
      </c>
      <c r="C523" s="2" t="s">
        <v>36</v>
      </c>
      <c r="D523" s="2" t="s">
        <v>80</v>
      </c>
      <c r="E523" s="4">
        <v>46188</v>
      </c>
      <c r="F523" s="4">
        <v>46201</v>
      </c>
      <c r="G523" s="5">
        <v>6500</v>
      </c>
      <c r="H523" s="5">
        <v>5498.28</v>
      </c>
      <c r="I523" s="2" t="s">
        <v>37</v>
      </c>
      <c r="J523" s="2" t="s">
        <v>1541</v>
      </c>
      <c r="K523" t="s">
        <v>65</v>
      </c>
      <c r="L523" s="12">
        <f>MIS_Report!$B$2-F523</f>
        <v>109</v>
      </c>
      <c r="M523" t="str" cm="1">
        <f t="array" ref="M523">_xlfn.IFS(L523&lt;=30,"0-30",L523&lt;=60,"31-60",L523&lt;=90,"61-90",TRUE,"90+")</f>
        <v>90+</v>
      </c>
      <c r="N523">
        <f t="shared" si="17"/>
        <v>0</v>
      </c>
      <c r="O523" t="str">
        <f>VLOOKUP(K523,Agents!$A$1:$C$11,2,0)</f>
        <v>Deepak Nair</v>
      </c>
      <c r="P523">
        <f t="shared" si="16"/>
        <v>0</v>
      </c>
    </row>
    <row r="524" spans="1:16" x14ac:dyDescent="0.25">
      <c r="A524" s="2" t="s">
        <v>933</v>
      </c>
      <c r="B524" s="2" t="s">
        <v>934</v>
      </c>
      <c r="C524" s="2" t="s">
        <v>36</v>
      </c>
      <c r="D524" s="2" t="s">
        <v>55</v>
      </c>
      <c r="E524" s="4">
        <v>46066</v>
      </c>
      <c r="F524" s="4">
        <v>46070</v>
      </c>
      <c r="G524" s="5">
        <v>4825</v>
      </c>
      <c r="H524" s="5">
        <v>3564.06</v>
      </c>
      <c r="I524" s="2" t="s">
        <v>37</v>
      </c>
      <c r="J524" s="2" t="s">
        <v>1541</v>
      </c>
      <c r="K524" t="s">
        <v>83</v>
      </c>
      <c r="L524" s="12">
        <f>MIS_Report!$B$2-F524</f>
        <v>240</v>
      </c>
      <c r="M524" t="str" cm="1">
        <f t="array" ref="M524">_xlfn.IFS(L524&lt;=30,"0-30",L524&lt;=60,"31-60",L524&lt;=90,"61-90",TRUE,"90+")</f>
        <v>90+</v>
      </c>
      <c r="N524">
        <f t="shared" si="17"/>
        <v>0</v>
      </c>
      <c r="O524" t="str">
        <f>VLOOKUP(K524,Agents!$A$1:$C$11,2,0)</f>
        <v>Deepak Nair</v>
      </c>
      <c r="P524">
        <f t="shared" si="16"/>
        <v>0</v>
      </c>
    </row>
    <row r="525" spans="1:16" x14ac:dyDescent="0.25">
      <c r="A525" s="2" t="s">
        <v>935</v>
      </c>
      <c r="B525" s="2" t="s">
        <v>936</v>
      </c>
      <c r="C525" s="2" t="s">
        <v>29</v>
      </c>
      <c r="D525" s="2" t="s">
        <v>80</v>
      </c>
      <c r="E525" s="4">
        <v>46098</v>
      </c>
      <c r="F525" s="4">
        <v>46104</v>
      </c>
      <c r="G525" s="5">
        <v>12700</v>
      </c>
      <c r="H525" s="5">
        <v>9788.7099999999991</v>
      </c>
      <c r="I525" s="2" t="s">
        <v>37</v>
      </c>
      <c r="J525" s="2" t="s">
        <v>1541</v>
      </c>
      <c r="K525" t="s">
        <v>83</v>
      </c>
      <c r="L525" s="12">
        <f>MIS_Report!$B$2-F525</f>
        <v>206</v>
      </c>
      <c r="M525" t="str" cm="1">
        <f t="array" ref="M525">_xlfn.IFS(L525&lt;=30,"0-30",L525&lt;=60,"31-60",L525&lt;=90,"61-90",TRUE,"90+")</f>
        <v>90+</v>
      </c>
      <c r="N525">
        <f t="shared" si="17"/>
        <v>0</v>
      </c>
      <c r="O525" t="str">
        <f>VLOOKUP(K525,Agents!$A$1:$C$11,2,0)</f>
        <v>Deepak Nair</v>
      </c>
      <c r="P525">
        <f t="shared" si="16"/>
        <v>0</v>
      </c>
    </row>
    <row r="526" spans="1:16" x14ac:dyDescent="0.25">
      <c r="A526" s="2" t="s">
        <v>937</v>
      </c>
      <c r="B526" s="2" t="s">
        <v>140</v>
      </c>
      <c r="C526" s="2" t="s">
        <v>36</v>
      </c>
      <c r="D526" s="2" t="s">
        <v>55</v>
      </c>
      <c r="E526" s="4">
        <v>46278</v>
      </c>
      <c r="F526" s="4">
        <v>46290</v>
      </c>
      <c r="G526" s="5">
        <v>9875</v>
      </c>
      <c r="H526" s="5"/>
      <c r="I526" s="2" t="s">
        <v>42</v>
      </c>
      <c r="J526" s="2" t="s">
        <v>1541</v>
      </c>
      <c r="K526" t="s">
        <v>48</v>
      </c>
      <c r="L526" s="12">
        <f>MIS_Report!$B$2-F526</f>
        <v>20</v>
      </c>
      <c r="M526" t="str" cm="1">
        <f t="array" ref="M526">_xlfn.IFS(L526&lt;=30,"0-30",L526&lt;=60,"31-60",L526&lt;=90,"61-90",TRUE,"90+")</f>
        <v>0-30</v>
      </c>
      <c r="N526">
        <f t="shared" si="17"/>
        <v>9875</v>
      </c>
      <c r="O526" t="str">
        <f>VLOOKUP(K526,Agents!$A$1:$C$11,2,0)</f>
        <v>Manish Arora</v>
      </c>
      <c r="P526">
        <f t="shared" si="16"/>
        <v>0</v>
      </c>
    </row>
    <row r="527" spans="1:16" x14ac:dyDescent="0.25">
      <c r="A527" s="2" t="s">
        <v>938</v>
      </c>
      <c r="B527" s="2" t="s">
        <v>115</v>
      </c>
      <c r="C527" s="2" t="s">
        <v>36</v>
      </c>
      <c r="D527" s="2" t="s">
        <v>55</v>
      </c>
      <c r="E527" s="4">
        <v>46225</v>
      </c>
      <c r="F527" s="4">
        <v>46244</v>
      </c>
      <c r="G527" s="5">
        <v>14100</v>
      </c>
      <c r="H527" s="5"/>
      <c r="I527" s="2" t="s">
        <v>42</v>
      </c>
      <c r="J527" s="2" t="s">
        <v>1541</v>
      </c>
      <c r="K527" t="s">
        <v>62</v>
      </c>
      <c r="L527" s="12">
        <f>MIS_Report!$B$2-F527</f>
        <v>66</v>
      </c>
      <c r="M527" t="str" cm="1">
        <f t="array" ref="M527">_xlfn.IFS(L527&lt;=30,"0-30",L527&lt;=60,"31-60",L527&lt;=90,"61-90",TRUE,"90+")</f>
        <v>61-90</v>
      </c>
      <c r="N527">
        <f t="shared" si="17"/>
        <v>14100</v>
      </c>
      <c r="O527" t="str">
        <f>VLOOKUP(K527,Agents!$A$1:$C$11,2,0)</f>
        <v>Sunita Rao</v>
      </c>
      <c r="P527">
        <f t="shared" si="16"/>
        <v>0</v>
      </c>
    </row>
    <row r="528" spans="1:16" x14ac:dyDescent="0.25">
      <c r="A528" s="2" t="s">
        <v>939</v>
      </c>
      <c r="B528" s="2" t="s">
        <v>860</v>
      </c>
      <c r="C528" s="2" t="s">
        <v>79</v>
      </c>
      <c r="D528" s="2" t="s">
        <v>55</v>
      </c>
      <c r="E528" s="4">
        <v>46226</v>
      </c>
      <c r="F528" s="4">
        <v>46246</v>
      </c>
      <c r="G528" s="5">
        <v>3750</v>
      </c>
      <c r="H528" s="5"/>
      <c r="I528" s="2" t="s">
        <v>42</v>
      </c>
      <c r="J528" s="2" t="s">
        <v>1541</v>
      </c>
      <c r="K528" t="s">
        <v>33</v>
      </c>
      <c r="L528" s="12">
        <f>MIS_Report!$B$2-F528</f>
        <v>64</v>
      </c>
      <c r="M528" t="str" cm="1">
        <f t="array" ref="M528">_xlfn.IFS(L528&lt;=30,"0-30",L528&lt;=60,"31-60",L528&lt;=90,"61-90",TRUE,"90+")</f>
        <v>61-90</v>
      </c>
      <c r="N528">
        <f t="shared" si="17"/>
        <v>3750</v>
      </c>
      <c r="O528" t="str">
        <f>VLOOKUP(K528,Agents!$A$1:$C$11,2,0)</f>
        <v>Manish Arora</v>
      </c>
      <c r="P528">
        <f t="shared" si="16"/>
        <v>0</v>
      </c>
    </row>
    <row r="529" spans="1:16" x14ac:dyDescent="0.25">
      <c r="A529" s="2" t="s">
        <v>940</v>
      </c>
      <c r="B529" s="2" t="s">
        <v>483</v>
      </c>
      <c r="C529" s="2" t="s">
        <v>29</v>
      </c>
      <c r="D529" s="2" t="s">
        <v>55</v>
      </c>
      <c r="E529" s="4">
        <v>46239</v>
      </c>
      <c r="F529" s="4">
        <v>46256</v>
      </c>
      <c r="G529" s="5">
        <v>13925</v>
      </c>
      <c r="H529" s="5">
        <v>8365.64</v>
      </c>
      <c r="I529" s="2" t="s">
        <v>37</v>
      </c>
      <c r="J529" s="2" t="s">
        <v>1541</v>
      </c>
      <c r="K529" t="s">
        <v>62</v>
      </c>
      <c r="L529" s="12">
        <f>MIS_Report!$B$2-F529</f>
        <v>54</v>
      </c>
      <c r="M529" t="str" cm="1">
        <f t="array" ref="M529">_xlfn.IFS(L529&lt;=30,"0-30",L529&lt;=60,"31-60",L529&lt;=90,"61-90",TRUE,"90+")</f>
        <v>31-60</v>
      </c>
      <c r="N529">
        <f t="shared" si="17"/>
        <v>0</v>
      </c>
      <c r="O529" t="str">
        <f>VLOOKUP(K529,Agents!$A$1:$C$11,2,0)</f>
        <v>Sunita Rao</v>
      </c>
      <c r="P529">
        <f t="shared" si="16"/>
        <v>0</v>
      </c>
    </row>
    <row r="530" spans="1:16" x14ac:dyDescent="0.25">
      <c r="A530" s="2" t="s">
        <v>941</v>
      </c>
      <c r="B530" s="2" t="s">
        <v>228</v>
      </c>
      <c r="C530" s="2" t="s">
        <v>36</v>
      </c>
      <c r="D530" s="2" t="s">
        <v>68</v>
      </c>
      <c r="E530" s="4">
        <v>46132</v>
      </c>
      <c r="F530" s="4">
        <v>46145</v>
      </c>
      <c r="G530" s="5">
        <v>13625</v>
      </c>
      <c r="H530" s="5">
        <v>10359.780000000001</v>
      </c>
      <c r="I530" s="2" t="s">
        <v>37</v>
      </c>
      <c r="J530" s="2" t="s">
        <v>1541</v>
      </c>
      <c r="K530" t="s">
        <v>38</v>
      </c>
      <c r="L530" s="12">
        <f>MIS_Report!$B$2-F530</f>
        <v>165</v>
      </c>
      <c r="M530" t="str" cm="1">
        <f t="array" ref="M530">_xlfn.IFS(L530&lt;=30,"0-30",L530&lt;=60,"31-60",L530&lt;=90,"61-90",TRUE,"90+")</f>
        <v>90+</v>
      </c>
      <c r="N530">
        <f t="shared" si="17"/>
        <v>0</v>
      </c>
      <c r="O530" t="str">
        <f>VLOOKUP(K530,Agents!$A$1:$C$11,2,0)</f>
        <v>Sunita Rao</v>
      </c>
      <c r="P530">
        <f t="shared" si="16"/>
        <v>0</v>
      </c>
    </row>
    <row r="531" spans="1:16" x14ac:dyDescent="0.25">
      <c r="A531" s="2" t="s">
        <v>942</v>
      </c>
      <c r="B531" s="2" t="s">
        <v>611</v>
      </c>
      <c r="C531" s="2" t="s">
        <v>29</v>
      </c>
      <c r="D531" s="2" t="s">
        <v>41</v>
      </c>
      <c r="E531" s="4">
        <v>46158</v>
      </c>
      <c r="F531" s="4">
        <v>46178</v>
      </c>
      <c r="G531" s="5">
        <v>1550</v>
      </c>
      <c r="H531" s="5">
        <v>925.53</v>
      </c>
      <c r="I531" s="2" t="s">
        <v>37</v>
      </c>
      <c r="J531" s="2" t="s">
        <v>1541</v>
      </c>
      <c r="K531" t="s">
        <v>52</v>
      </c>
      <c r="L531" s="12">
        <f>MIS_Report!$B$2-F531</f>
        <v>132</v>
      </c>
      <c r="M531" t="str" cm="1">
        <f t="array" ref="M531">_xlfn.IFS(L531&lt;=30,"0-30",L531&lt;=60,"31-60",L531&lt;=90,"61-90",TRUE,"90+")</f>
        <v>90+</v>
      </c>
      <c r="N531">
        <f t="shared" si="17"/>
        <v>0</v>
      </c>
      <c r="O531" t="str">
        <f>VLOOKUP(K531,Agents!$A$1:$C$11,2,0)</f>
        <v>Sunita Rao</v>
      </c>
      <c r="P531">
        <f t="shared" si="16"/>
        <v>0</v>
      </c>
    </row>
    <row r="532" spans="1:16" x14ac:dyDescent="0.25">
      <c r="A532" s="2" t="s">
        <v>943</v>
      </c>
      <c r="B532" s="2" t="s">
        <v>452</v>
      </c>
      <c r="C532" s="2" t="s">
        <v>79</v>
      </c>
      <c r="D532" s="2" t="s">
        <v>80</v>
      </c>
      <c r="E532" s="4">
        <v>46244</v>
      </c>
      <c r="F532" s="4">
        <v>46253</v>
      </c>
      <c r="G532" s="5">
        <v>12825</v>
      </c>
      <c r="H532" s="5">
        <v>11884.49</v>
      </c>
      <c r="I532" s="2" t="s">
        <v>37</v>
      </c>
      <c r="J532" s="2" t="s">
        <v>1541</v>
      </c>
      <c r="K532" t="s">
        <v>109</v>
      </c>
      <c r="L532" s="12">
        <f>MIS_Report!$B$2-F532</f>
        <v>57</v>
      </c>
      <c r="M532" t="str" cm="1">
        <f t="array" ref="M532">_xlfn.IFS(L532&lt;=30,"0-30",L532&lt;=60,"31-60",L532&lt;=90,"61-90",TRUE,"90+")</f>
        <v>31-60</v>
      </c>
      <c r="N532">
        <f t="shared" si="17"/>
        <v>0</v>
      </c>
      <c r="O532" t="str">
        <f>VLOOKUP(K532,Agents!$A$1:$C$11,2,0)</f>
        <v>Deepak Nair</v>
      </c>
      <c r="P532">
        <f t="shared" si="16"/>
        <v>0</v>
      </c>
    </row>
    <row r="533" spans="1:16" x14ac:dyDescent="0.25">
      <c r="A533" s="2" t="s">
        <v>944</v>
      </c>
      <c r="B533" s="2" t="s">
        <v>509</v>
      </c>
      <c r="C533" s="2" t="s">
        <v>29</v>
      </c>
      <c r="D533" s="2" t="s">
        <v>1538</v>
      </c>
      <c r="E533" s="4">
        <v>46090</v>
      </c>
      <c r="F533" s="4">
        <v>46108</v>
      </c>
      <c r="G533" s="5">
        <v>8750</v>
      </c>
      <c r="H533" s="5">
        <v>8625.4</v>
      </c>
      <c r="I533" s="2" t="s">
        <v>37</v>
      </c>
      <c r="J533" s="2" t="s">
        <v>1541</v>
      </c>
      <c r="K533" t="s">
        <v>65</v>
      </c>
      <c r="L533" s="12">
        <f>MIS_Report!$B$2-F533</f>
        <v>202</v>
      </c>
      <c r="M533" t="str" cm="1">
        <f t="array" ref="M533">_xlfn.IFS(L533&lt;=30,"0-30",L533&lt;=60,"31-60",L533&lt;=90,"61-90",TRUE,"90+")</f>
        <v>90+</v>
      </c>
      <c r="N533">
        <f t="shared" si="17"/>
        <v>0</v>
      </c>
      <c r="O533" t="str">
        <f>VLOOKUP(K533,Agents!$A$1:$C$11,2,0)</f>
        <v>Deepak Nair</v>
      </c>
      <c r="P533">
        <f t="shared" si="16"/>
        <v>0</v>
      </c>
    </row>
    <row r="534" spans="1:16" x14ac:dyDescent="0.25">
      <c r="A534" s="2" t="s">
        <v>945</v>
      </c>
      <c r="B534" s="2" t="s">
        <v>946</v>
      </c>
      <c r="C534" s="2" t="s">
        <v>36</v>
      </c>
      <c r="D534" s="2" t="s">
        <v>30</v>
      </c>
      <c r="E534" s="4">
        <v>46019</v>
      </c>
      <c r="F534" s="4">
        <v>46036</v>
      </c>
      <c r="G534" s="5">
        <v>4625</v>
      </c>
      <c r="H534" s="5">
        <v>4068.53</v>
      </c>
      <c r="I534" s="2" t="s">
        <v>37</v>
      </c>
      <c r="J534" s="2" t="s">
        <v>1541</v>
      </c>
      <c r="K534" t="s">
        <v>65</v>
      </c>
      <c r="L534" s="12">
        <f>MIS_Report!$B$2-F534</f>
        <v>274</v>
      </c>
      <c r="M534" t="str" cm="1">
        <f t="array" ref="M534">_xlfn.IFS(L534&lt;=30,"0-30",L534&lt;=60,"31-60",L534&lt;=90,"61-90",TRUE,"90+")</f>
        <v>90+</v>
      </c>
      <c r="N534">
        <f t="shared" si="17"/>
        <v>0</v>
      </c>
      <c r="O534" t="str">
        <f>VLOOKUP(K534,Agents!$A$1:$C$11,2,0)</f>
        <v>Deepak Nair</v>
      </c>
      <c r="P534">
        <f t="shared" si="16"/>
        <v>0</v>
      </c>
    </row>
    <row r="535" spans="1:16" x14ac:dyDescent="0.25">
      <c r="A535" s="2" t="s">
        <v>947</v>
      </c>
      <c r="B535" s="2" t="s">
        <v>164</v>
      </c>
      <c r="C535" s="2" t="s">
        <v>79</v>
      </c>
      <c r="D535" s="2" t="s">
        <v>94</v>
      </c>
      <c r="E535" s="4">
        <v>46059</v>
      </c>
      <c r="F535" s="4">
        <v>46063</v>
      </c>
      <c r="G535" s="5">
        <v>12850</v>
      </c>
      <c r="H535" s="5">
        <v>12248.8</v>
      </c>
      <c r="I535" s="2" t="s">
        <v>37</v>
      </c>
      <c r="J535" s="2" t="s">
        <v>1541</v>
      </c>
      <c r="K535" t="s">
        <v>65</v>
      </c>
      <c r="L535" s="12">
        <f>MIS_Report!$B$2-F535</f>
        <v>247</v>
      </c>
      <c r="M535" t="str" cm="1">
        <f t="array" ref="M535">_xlfn.IFS(L535&lt;=30,"0-30",L535&lt;=60,"31-60",L535&lt;=90,"61-90",TRUE,"90+")</f>
        <v>90+</v>
      </c>
      <c r="N535">
        <f t="shared" si="17"/>
        <v>0</v>
      </c>
      <c r="O535" t="str">
        <f>VLOOKUP(K535,Agents!$A$1:$C$11,2,0)</f>
        <v>Deepak Nair</v>
      </c>
      <c r="P535">
        <f t="shared" si="16"/>
        <v>0</v>
      </c>
    </row>
    <row r="536" spans="1:16" x14ac:dyDescent="0.25">
      <c r="A536" s="2" t="s">
        <v>948</v>
      </c>
      <c r="B536" s="2" t="s">
        <v>176</v>
      </c>
      <c r="C536" s="2" t="s">
        <v>29</v>
      </c>
      <c r="D536" s="2" t="s">
        <v>94</v>
      </c>
      <c r="E536" s="4">
        <v>46283</v>
      </c>
      <c r="F536" s="4">
        <v>46287</v>
      </c>
      <c r="G536" s="5">
        <v>10275</v>
      </c>
      <c r="H536" s="5"/>
      <c r="I536" s="2" t="s">
        <v>42</v>
      </c>
      <c r="J536" s="2" t="s">
        <v>1541</v>
      </c>
      <c r="K536" t="s">
        <v>33</v>
      </c>
      <c r="L536" s="12">
        <f>MIS_Report!$B$2-F536</f>
        <v>23</v>
      </c>
      <c r="M536" t="str" cm="1">
        <f t="array" ref="M536">_xlfn.IFS(L536&lt;=30,"0-30",L536&lt;=60,"31-60",L536&lt;=90,"61-90",TRUE,"90+")</f>
        <v>0-30</v>
      </c>
      <c r="N536">
        <f t="shared" si="17"/>
        <v>10275</v>
      </c>
      <c r="O536" t="str">
        <f>VLOOKUP(K536,Agents!$A$1:$C$11,2,0)</f>
        <v>Manish Arora</v>
      </c>
      <c r="P536">
        <f t="shared" si="16"/>
        <v>0</v>
      </c>
    </row>
    <row r="537" spans="1:16" x14ac:dyDescent="0.25">
      <c r="A537" s="2" t="s">
        <v>949</v>
      </c>
      <c r="B537" s="2" t="s">
        <v>100</v>
      </c>
      <c r="C537" s="2" t="s">
        <v>79</v>
      </c>
      <c r="D537" s="2" t="s">
        <v>61</v>
      </c>
      <c r="E537" s="4">
        <v>46275</v>
      </c>
      <c r="F537" s="4">
        <v>46283</v>
      </c>
      <c r="G537" s="5">
        <v>12075</v>
      </c>
      <c r="H537" s="5">
        <v>9324.4500000000007</v>
      </c>
      <c r="I537" s="2" t="s">
        <v>37</v>
      </c>
      <c r="J537" s="2" t="s">
        <v>1541</v>
      </c>
      <c r="K537" t="s">
        <v>56</v>
      </c>
      <c r="L537" s="12">
        <f>MIS_Report!$B$2-F537</f>
        <v>27</v>
      </c>
      <c r="M537" t="str" cm="1">
        <f t="array" ref="M537">_xlfn.IFS(L537&lt;=30,"0-30",L537&lt;=60,"31-60",L537&lt;=90,"61-90",TRUE,"90+")</f>
        <v>0-30</v>
      </c>
      <c r="N537">
        <f t="shared" si="17"/>
        <v>0</v>
      </c>
      <c r="O537" t="str">
        <f>VLOOKUP(K537,Agents!$A$1:$C$11,2,0)</f>
        <v>Manish Arora</v>
      </c>
      <c r="P537">
        <f t="shared" si="16"/>
        <v>0</v>
      </c>
    </row>
    <row r="538" spans="1:16" x14ac:dyDescent="0.25">
      <c r="A538" s="2" t="s">
        <v>950</v>
      </c>
      <c r="B538" s="2" t="s">
        <v>467</v>
      </c>
      <c r="C538" s="2" t="s">
        <v>36</v>
      </c>
      <c r="D538" s="2" t="s">
        <v>68</v>
      </c>
      <c r="E538" s="4">
        <v>46120</v>
      </c>
      <c r="F538" s="4">
        <v>46131</v>
      </c>
      <c r="G538" s="5">
        <v>11125</v>
      </c>
      <c r="H538" s="5"/>
      <c r="I538" s="2" t="s">
        <v>42</v>
      </c>
      <c r="J538" s="2" t="s">
        <v>1541</v>
      </c>
      <c r="K538" t="s">
        <v>65</v>
      </c>
      <c r="L538" s="12">
        <f>MIS_Report!$B$2-F538</f>
        <v>179</v>
      </c>
      <c r="M538" t="str" cm="1">
        <f t="array" ref="M538">_xlfn.IFS(L538&lt;=30,"0-30",L538&lt;=60,"31-60",L538&lt;=90,"61-90",TRUE,"90+")</f>
        <v>90+</v>
      </c>
      <c r="N538">
        <f t="shared" si="17"/>
        <v>11125</v>
      </c>
      <c r="O538" t="str">
        <f>VLOOKUP(K538,Agents!$A$1:$C$11,2,0)</f>
        <v>Deepak Nair</v>
      </c>
      <c r="P538">
        <f t="shared" si="16"/>
        <v>0</v>
      </c>
    </row>
    <row r="539" spans="1:16" x14ac:dyDescent="0.25">
      <c r="A539" s="2" t="s">
        <v>951</v>
      </c>
      <c r="B539" s="2" t="s">
        <v>180</v>
      </c>
      <c r="C539" s="2" t="s">
        <v>79</v>
      </c>
      <c r="D539" s="2" t="s">
        <v>80</v>
      </c>
      <c r="E539" s="4">
        <v>46175</v>
      </c>
      <c r="F539" s="4">
        <v>46180</v>
      </c>
      <c r="G539" s="5">
        <v>7550</v>
      </c>
      <c r="H539" s="5">
        <v>6192.41</v>
      </c>
      <c r="I539" s="2" t="s">
        <v>37</v>
      </c>
      <c r="J539" s="2" t="s">
        <v>1541</v>
      </c>
      <c r="K539" t="s">
        <v>33</v>
      </c>
      <c r="L539" s="12">
        <f>MIS_Report!$B$2-F539</f>
        <v>130</v>
      </c>
      <c r="M539" t="str" cm="1">
        <f t="array" ref="M539">_xlfn.IFS(L539&lt;=30,"0-30",L539&lt;=60,"31-60",L539&lt;=90,"61-90",TRUE,"90+")</f>
        <v>90+</v>
      </c>
      <c r="N539">
        <f t="shared" si="17"/>
        <v>0</v>
      </c>
      <c r="O539" t="str">
        <f>VLOOKUP(K539,Agents!$A$1:$C$11,2,0)</f>
        <v>Manish Arora</v>
      </c>
      <c r="P539">
        <f t="shared" si="16"/>
        <v>0</v>
      </c>
    </row>
    <row r="540" spans="1:16" x14ac:dyDescent="0.25">
      <c r="A540" s="2" t="s">
        <v>952</v>
      </c>
      <c r="B540" s="2" t="s">
        <v>953</v>
      </c>
      <c r="C540" s="2" t="s">
        <v>36</v>
      </c>
      <c r="D540" s="2" t="s">
        <v>30</v>
      </c>
      <c r="E540" s="4">
        <v>46032</v>
      </c>
      <c r="F540" s="4">
        <v>46040</v>
      </c>
      <c r="G540" s="5">
        <v>2200</v>
      </c>
      <c r="H540" s="5"/>
      <c r="I540" s="2" t="s">
        <v>42</v>
      </c>
      <c r="J540" s="2" t="s">
        <v>1541</v>
      </c>
      <c r="K540" t="s">
        <v>38</v>
      </c>
      <c r="L540" s="12">
        <f>MIS_Report!$B$2-F540</f>
        <v>270</v>
      </c>
      <c r="M540" t="str" cm="1">
        <f t="array" ref="M540">_xlfn.IFS(L540&lt;=30,"0-30",L540&lt;=60,"31-60",L540&lt;=90,"61-90",TRUE,"90+")</f>
        <v>90+</v>
      </c>
      <c r="N540">
        <f t="shared" si="17"/>
        <v>2200</v>
      </c>
      <c r="O540" t="str">
        <f>VLOOKUP(K540,Agents!$A$1:$C$11,2,0)</f>
        <v>Sunita Rao</v>
      </c>
      <c r="P540">
        <f t="shared" si="16"/>
        <v>0</v>
      </c>
    </row>
    <row r="541" spans="1:16" x14ac:dyDescent="0.25">
      <c r="A541" s="2" t="s">
        <v>954</v>
      </c>
      <c r="B541" s="2" t="s">
        <v>76</v>
      </c>
      <c r="C541" s="2" t="s">
        <v>79</v>
      </c>
      <c r="D541" s="2" t="s">
        <v>55</v>
      </c>
      <c r="E541" s="4">
        <v>46228</v>
      </c>
      <c r="F541" s="4">
        <v>46234</v>
      </c>
      <c r="G541" s="5">
        <v>6175</v>
      </c>
      <c r="H541" s="5">
        <v>5796.22</v>
      </c>
      <c r="I541" s="2" t="s">
        <v>37</v>
      </c>
      <c r="J541" s="2" t="s">
        <v>1541</v>
      </c>
      <c r="K541" t="s">
        <v>65</v>
      </c>
      <c r="L541" s="12">
        <f>MIS_Report!$B$2-F541</f>
        <v>76</v>
      </c>
      <c r="M541" t="str" cm="1">
        <f t="array" ref="M541">_xlfn.IFS(L541&lt;=30,"0-30",L541&lt;=60,"31-60",L541&lt;=90,"61-90",TRUE,"90+")</f>
        <v>61-90</v>
      </c>
      <c r="N541">
        <f t="shared" si="17"/>
        <v>0</v>
      </c>
      <c r="O541" t="str">
        <f>VLOOKUP(K541,Agents!$A$1:$C$11,2,0)</f>
        <v>Deepak Nair</v>
      </c>
      <c r="P541">
        <f t="shared" si="16"/>
        <v>0</v>
      </c>
    </row>
    <row r="542" spans="1:16" x14ac:dyDescent="0.25">
      <c r="A542" s="2" t="s">
        <v>955</v>
      </c>
      <c r="B542" s="2" t="s">
        <v>425</v>
      </c>
      <c r="C542" s="2" t="s">
        <v>36</v>
      </c>
      <c r="D542" s="2" t="s">
        <v>68</v>
      </c>
      <c r="E542" s="4">
        <v>46020</v>
      </c>
      <c r="F542" s="4">
        <v>46028</v>
      </c>
      <c r="G542" s="5">
        <v>8475</v>
      </c>
      <c r="H542" s="5"/>
      <c r="I542" s="2" t="s">
        <v>42</v>
      </c>
      <c r="J542" s="2" t="s">
        <v>1541</v>
      </c>
      <c r="K542" t="s">
        <v>38</v>
      </c>
      <c r="L542" s="12">
        <f>MIS_Report!$B$2-F542</f>
        <v>282</v>
      </c>
      <c r="M542" t="str" cm="1">
        <f t="array" ref="M542">_xlfn.IFS(L542&lt;=30,"0-30",L542&lt;=60,"31-60",L542&lt;=90,"61-90",TRUE,"90+")</f>
        <v>90+</v>
      </c>
      <c r="N542">
        <f t="shared" si="17"/>
        <v>8475</v>
      </c>
      <c r="O542" t="str">
        <f>VLOOKUP(K542,Agents!$A$1:$C$11,2,0)</f>
        <v>Sunita Rao</v>
      </c>
      <c r="P542">
        <f t="shared" si="16"/>
        <v>0</v>
      </c>
    </row>
    <row r="543" spans="1:16" x14ac:dyDescent="0.25">
      <c r="A543" s="2" t="s">
        <v>956</v>
      </c>
      <c r="B543" s="2" t="s">
        <v>957</v>
      </c>
      <c r="C543" s="2" t="s">
        <v>36</v>
      </c>
      <c r="D543" s="2" t="s">
        <v>30</v>
      </c>
      <c r="E543" s="4">
        <v>46120</v>
      </c>
      <c r="F543" s="4">
        <v>46137</v>
      </c>
      <c r="G543" s="5">
        <v>7150</v>
      </c>
      <c r="H543" s="5">
        <v>4187.8500000000004</v>
      </c>
      <c r="I543" s="2" t="s">
        <v>37</v>
      </c>
      <c r="J543" s="2" t="s">
        <v>1541</v>
      </c>
      <c r="K543" t="s">
        <v>48</v>
      </c>
      <c r="L543" s="12">
        <f>MIS_Report!$B$2-F543</f>
        <v>173</v>
      </c>
      <c r="M543" t="str" cm="1">
        <f t="array" ref="M543">_xlfn.IFS(L543&lt;=30,"0-30",L543&lt;=60,"31-60",L543&lt;=90,"61-90",TRUE,"90+")</f>
        <v>90+</v>
      </c>
      <c r="N543">
        <f t="shared" si="17"/>
        <v>0</v>
      </c>
      <c r="O543" t="str">
        <f>VLOOKUP(K543,Agents!$A$1:$C$11,2,0)</f>
        <v>Manish Arora</v>
      </c>
      <c r="P543">
        <f t="shared" si="16"/>
        <v>0</v>
      </c>
    </row>
    <row r="544" spans="1:16" x14ac:dyDescent="0.25">
      <c r="A544" s="2" t="s">
        <v>958</v>
      </c>
      <c r="B544" s="2" t="s">
        <v>959</v>
      </c>
      <c r="C544" s="2" t="s">
        <v>29</v>
      </c>
      <c r="D544" s="2" t="s">
        <v>55</v>
      </c>
      <c r="E544" s="4">
        <v>46232</v>
      </c>
      <c r="F544" s="4">
        <v>46251</v>
      </c>
      <c r="G544" s="5">
        <v>12275</v>
      </c>
      <c r="H544" s="5"/>
      <c r="I544" s="2" t="s">
        <v>42</v>
      </c>
      <c r="J544" s="2" t="s">
        <v>1541</v>
      </c>
      <c r="K544" t="s">
        <v>52</v>
      </c>
      <c r="L544" s="12">
        <f>MIS_Report!$B$2-F544</f>
        <v>59</v>
      </c>
      <c r="M544" t="str" cm="1">
        <f t="array" ref="M544">_xlfn.IFS(L544&lt;=30,"0-30",L544&lt;=60,"31-60",L544&lt;=90,"61-90",TRUE,"90+")</f>
        <v>31-60</v>
      </c>
      <c r="N544">
        <f t="shared" si="17"/>
        <v>12275</v>
      </c>
      <c r="O544" t="str">
        <f>VLOOKUP(K544,Agents!$A$1:$C$11,2,0)</f>
        <v>Sunita Rao</v>
      </c>
      <c r="P544">
        <f t="shared" si="16"/>
        <v>0</v>
      </c>
    </row>
    <row r="545" spans="1:16" x14ac:dyDescent="0.25">
      <c r="A545" s="2" t="s">
        <v>960</v>
      </c>
      <c r="B545" s="2" t="s">
        <v>894</v>
      </c>
      <c r="C545" s="2" t="s">
        <v>36</v>
      </c>
      <c r="D545" s="2" t="s">
        <v>61</v>
      </c>
      <c r="E545" s="4">
        <v>46240</v>
      </c>
      <c r="F545" s="4">
        <v>46247</v>
      </c>
      <c r="G545" s="5">
        <v>7250</v>
      </c>
      <c r="H545" s="5">
        <v>6828.76</v>
      </c>
      <c r="I545" s="2" t="s">
        <v>37</v>
      </c>
      <c r="J545" s="2" t="s">
        <v>1541</v>
      </c>
      <c r="K545" t="s">
        <v>65</v>
      </c>
      <c r="L545" s="12">
        <f>MIS_Report!$B$2-F545</f>
        <v>63</v>
      </c>
      <c r="M545" t="str" cm="1">
        <f t="array" ref="M545">_xlfn.IFS(L545&lt;=30,"0-30",L545&lt;=60,"31-60",L545&lt;=90,"61-90",TRUE,"90+")</f>
        <v>61-90</v>
      </c>
      <c r="N545">
        <f t="shared" si="17"/>
        <v>0</v>
      </c>
      <c r="O545" t="str">
        <f>VLOOKUP(K545,Agents!$A$1:$C$11,2,0)</f>
        <v>Deepak Nair</v>
      </c>
      <c r="P545">
        <f t="shared" si="16"/>
        <v>0</v>
      </c>
    </row>
    <row r="546" spans="1:16" x14ac:dyDescent="0.25">
      <c r="A546" s="2" t="s">
        <v>961</v>
      </c>
      <c r="B546" s="2" t="s">
        <v>320</v>
      </c>
      <c r="C546" s="2" t="s">
        <v>29</v>
      </c>
      <c r="D546" s="2" t="s">
        <v>94</v>
      </c>
      <c r="E546" s="4">
        <v>46282</v>
      </c>
      <c r="F546" s="4">
        <v>46292</v>
      </c>
      <c r="G546" s="5">
        <v>4600</v>
      </c>
      <c r="H546" s="5"/>
      <c r="I546" s="2" t="s">
        <v>42</v>
      </c>
      <c r="J546" s="2" t="s">
        <v>1541</v>
      </c>
      <c r="K546" t="s">
        <v>62</v>
      </c>
      <c r="L546" s="12">
        <f>MIS_Report!$B$2-F546</f>
        <v>18</v>
      </c>
      <c r="M546" t="str" cm="1">
        <f t="array" ref="M546">_xlfn.IFS(L546&lt;=30,"0-30",L546&lt;=60,"31-60",L546&lt;=90,"61-90",TRUE,"90+")</f>
        <v>0-30</v>
      </c>
      <c r="N546">
        <f t="shared" si="17"/>
        <v>4600</v>
      </c>
      <c r="O546" t="str">
        <f>VLOOKUP(K546,Agents!$A$1:$C$11,2,0)</f>
        <v>Sunita Rao</v>
      </c>
      <c r="P546">
        <f t="shared" si="16"/>
        <v>0</v>
      </c>
    </row>
    <row r="547" spans="1:16" x14ac:dyDescent="0.25">
      <c r="A547" s="2" t="s">
        <v>962</v>
      </c>
      <c r="B547" s="2" t="s">
        <v>264</v>
      </c>
      <c r="C547" s="2" t="s">
        <v>79</v>
      </c>
      <c r="D547" s="2" t="s">
        <v>80</v>
      </c>
      <c r="E547" s="4">
        <v>46196</v>
      </c>
      <c r="F547" s="4">
        <v>46208</v>
      </c>
      <c r="G547" s="5">
        <v>14425</v>
      </c>
      <c r="H547" s="5">
        <v>0</v>
      </c>
      <c r="I547" s="2" t="s">
        <v>31</v>
      </c>
      <c r="J547" s="2" t="s">
        <v>72</v>
      </c>
      <c r="K547" t="s">
        <v>48</v>
      </c>
      <c r="L547" s="12">
        <f>MIS_Report!$B$2-F547</f>
        <v>102</v>
      </c>
      <c r="M547" t="str" cm="1">
        <f t="array" ref="M547">_xlfn.IFS(L547&lt;=30,"0-30",L547&lt;=60,"31-60",L547&lt;=90,"61-90",TRUE,"90+")</f>
        <v>90+</v>
      </c>
      <c r="N547">
        <f t="shared" si="17"/>
        <v>0</v>
      </c>
      <c r="O547" t="str">
        <f>VLOOKUP(K547,Agents!$A$1:$C$11,2,0)</f>
        <v>Manish Arora</v>
      </c>
      <c r="P547">
        <f t="shared" si="16"/>
        <v>14425</v>
      </c>
    </row>
    <row r="548" spans="1:16" x14ac:dyDescent="0.25">
      <c r="A548" s="2" t="s">
        <v>963</v>
      </c>
      <c r="B548" s="2" t="s">
        <v>538</v>
      </c>
      <c r="C548" s="2" t="s">
        <v>46</v>
      </c>
      <c r="D548" s="2" t="s">
        <v>55</v>
      </c>
      <c r="E548" s="4">
        <v>46149</v>
      </c>
      <c r="F548" s="4">
        <v>46166</v>
      </c>
      <c r="G548" s="5">
        <v>900</v>
      </c>
      <c r="H548" s="5">
        <v>577.85</v>
      </c>
      <c r="I548" s="2" t="s">
        <v>37</v>
      </c>
      <c r="J548" s="2" t="s">
        <v>1541</v>
      </c>
      <c r="K548" t="s">
        <v>56</v>
      </c>
      <c r="L548" s="12">
        <f>MIS_Report!$B$2-F548</f>
        <v>144</v>
      </c>
      <c r="M548" t="str" cm="1">
        <f t="array" ref="M548">_xlfn.IFS(L548&lt;=30,"0-30",L548&lt;=60,"31-60",L548&lt;=90,"61-90",TRUE,"90+")</f>
        <v>90+</v>
      </c>
      <c r="N548">
        <f t="shared" si="17"/>
        <v>0</v>
      </c>
      <c r="O548" t="str">
        <f>VLOOKUP(K548,Agents!$A$1:$C$11,2,0)</f>
        <v>Manish Arora</v>
      </c>
      <c r="P548">
        <f t="shared" si="16"/>
        <v>0</v>
      </c>
    </row>
    <row r="549" spans="1:16" x14ac:dyDescent="0.25">
      <c r="A549" s="2" t="s">
        <v>964</v>
      </c>
      <c r="B549" s="2" t="s">
        <v>555</v>
      </c>
      <c r="C549" s="2" t="s">
        <v>36</v>
      </c>
      <c r="D549" s="2" t="s">
        <v>61</v>
      </c>
      <c r="E549" s="4">
        <v>46129</v>
      </c>
      <c r="F549" s="4">
        <v>46132</v>
      </c>
      <c r="G549" s="5">
        <v>14125</v>
      </c>
      <c r="H549" s="5">
        <v>11332.55</v>
      </c>
      <c r="I549" s="2" t="s">
        <v>37</v>
      </c>
      <c r="J549" s="2" t="s">
        <v>1541</v>
      </c>
      <c r="K549" t="s">
        <v>43</v>
      </c>
      <c r="L549" s="12">
        <f>MIS_Report!$B$2-F549</f>
        <v>178</v>
      </c>
      <c r="M549" t="str" cm="1">
        <f t="array" ref="M549">_xlfn.IFS(L549&lt;=30,"0-30",L549&lt;=60,"31-60",L549&lt;=90,"61-90",TRUE,"90+")</f>
        <v>90+</v>
      </c>
      <c r="N549">
        <f t="shared" si="17"/>
        <v>0</v>
      </c>
      <c r="O549" t="str">
        <f>VLOOKUP(K549,Agents!$A$1:$C$11,2,0)</f>
        <v>Manish Arora</v>
      </c>
      <c r="P549">
        <f t="shared" si="16"/>
        <v>0</v>
      </c>
    </row>
    <row r="550" spans="1:16" x14ac:dyDescent="0.25">
      <c r="A550" s="2" t="s">
        <v>965</v>
      </c>
      <c r="B550" s="2" t="s">
        <v>966</v>
      </c>
      <c r="C550" s="2" t="s">
        <v>79</v>
      </c>
      <c r="D550" s="2" t="s">
        <v>30</v>
      </c>
      <c r="E550" s="4">
        <v>46084</v>
      </c>
      <c r="F550" s="4">
        <v>46102</v>
      </c>
      <c r="G550" s="5">
        <v>7025</v>
      </c>
      <c r="H550" s="5">
        <v>5994.55</v>
      </c>
      <c r="I550" s="2" t="s">
        <v>37</v>
      </c>
      <c r="J550" s="2" t="s">
        <v>1541</v>
      </c>
      <c r="K550" t="s">
        <v>62</v>
      </c>
      <c r="L550" s="12">
        <f>MIS_Report!$B$2-F550</f>
        <v>208</v>
      </c>
      <c r="M550" t="str" cm="1">
        <f t="array" ref="M550">_xlfn.IFS(L550&lt;=30,"0-30",L550&lt;=60,"31-60",L550&lt;=90,"61-90",TRUE,"90+")</f>
        <v>90+</v>
      </c>
      <c r="N550">
        <f t="shared" si="17"/>
        <v>0</v>
      </c>
      <c r="O550" t="str">
        <f>VLOOKUP(K550,Agents!$A$1:$C$11,2,0)</f>
        <v>Sunita Rao</v>
      </c>
      <c r="P550">
        <f t="shared" si="16"/>
        <v>0</v>
      </c>
    </row>
    <row r="551" spans="1:16" x14ac:dyDescent="0.25">
      <c r="A551" s="2" t="s">
        <v>967</v>
      </c>
      <c r="B551" s="2" t="s">
        <v>726</v>
      </c>
      <c r="C551" s="2" t="s">
        <v>46</v>
      </c>
      <c r="D551" s="2" t="s">
        <v>80</v>
      </c>
      <c r="E551" s="4">
        <v>46205</v>
      </c>
      <c r="F551" s="4">
        <v>46214</v>
      </c>
      <c r="G551" s="5">
        <v>13225</v>
      </c>
      <c r="H551" s="5">
        <v>10432.73</v>
      </c>
      <c r="I551" s="2" t="s">
        <v>37</v>
      </c>
      <c r="J551" s="2" t="s">
        <v>1541</v>
      </c>
      <c r="K551" t="s">
        <v>52</v>
      </c>
      <c r="L551" s="12">
        <f>MIS_Report!$B$2-F551</f>
        <v>96</v>
      </c>
      <c r="M551" t="str" cm="1">
        <f t="array" ref="M551">_xlfn.IFS(L551&lt;=30,"0-30",L551&lt;=60,"31-60",L551&lt;=90,"61-90",TRUE,"90+")</f>
        <v>90+</v>
      </c>
      <c r="N551">
        <f t="shared" si="17"/>
        <v>0</v>
      </c>
      <c r="O551" t="str">
        <f>VLOOKUP(K551,Agents!$A$1:$C$11,2,0)</f>
        <v>Sunita Rao</v>
      </c>
      <c r="P551">
        <f t="shared" si="16"/>
        <v>0</v>
      </c>
    </row>
    <row r="552" spans="1:16" x14ac:dyDescent="0.25">
      <c r="A552" s="2" t="s">
        <v>968</v>
      </c>
      <c r="B552" s="2" t="s">
        <v>728</v>
      </c>
      <c r="C552" s="2" t="s">
        <v>29</v>
      </c>
      <c r="D552" s="2" t="s">
        <v>80</v>
      </c>
      <c r="E552" s="4">
        <v>46014</v>
      </c>
      <c r="F552" s="4">
        <v>46025</v>
      </c>
      <c r="G552" s="5">
        <v>9300</v>
      </c>
      <c r="H552" s="5">
        <v>5855.45</v>
      </c>
      <c r="I552" s="2" t="s">
        <v>37</v>
      </c>
      <c r="J552" s="2" t="s">
        <v>1541</v>
      </c>
      <c r="K552" t="s">
        <v>83</v>
      </c>
      <c r="L552" s="12">
        <f>MIS_Report!$B$2-F552</f>
        <v>285</v>
      </c>
      <c r="M552" t="str" cm="1">
        <f t="array" ref="M552">_xlfn.IFS(L552&lt;=30,"0-30",L552&lt;=60,"31-60",L552&lt;=90,"61-90",TRUE,"90+")</f>
        <v>90+</v>
      </c>
      <c r="N552">
        <f t="shared" si="17"/>
        <v>0</v>
      </c>
      <c r="O552" t="str">
        <f>VLOOKUP(K552,Agents!$A$1:$C$11,2,0)</f>
        <v>Deepak Nair</v>
      </c>
      <c r="P552">
        <f t="shared" si="16"/>
        <v>0</v>
      </c>
    </row>
    <row r="553" spans="1:16" x14ac:dyDescent="0.25">
      <c r="A553" s="2" t="s">
        <v>969</v>
      </c>
      <c r="B553" s="2" t="s">
        <v>58</v>
      </c>
      <c r="C553" s="2" t="s">
        <v>79</v>
      </c>
      <c r="D553" s="2" t="s">
        <v>41</v>
      </c>
      <c r="E553" s="4">
        <v>46277</v>
      </c>
      <c r="F553" s="4">
        <v>46295</v>
      </c>
      <c r="G553" s="5">
        <v>9000</v>
      </c>
      <c r="H553" s="5"/>
      <c r="I553" s="2" t="s">
        <v>42</v>
      </c>
      <c r="J553" s="2" t="s">
        <v>1541</v>
      </c>
      <c r="K553" t="s">
        <v>52</v>
      </c>
      <c r="L553" s="12">
        <f>MIS_Report!$B$2-F553</f>
        <v>15</v>
      </c>
      <c r="M553" t="str" cm="1">
        <f t="array" ref="M553">_xlfn.IFS(L553&lt;=30,"0-30",L553&lt;=60,"31-60",L553&lt;=90,"61-90",TRUE,"90+")</f>
        <v>0-30</v>
      </c>
      <c r="N553">
        <f t="shared" si="17"/>
        <v>9000</v>
      </c>
      <c r="O553" t="str">
        <f>VLOOKUP(K553,Agents!$A$1:$C$11,2,0)</f>
        <v>Sunita Rao</v>
      </c>
      <c r="P553">
        <f t="shared" si="16"/>
        <v>0</v>
      </c>
    </row>
    <row r="554" spans="1:16" x14ac:dyDescent="0.25">
      <c r="A554" s="2" t="s">
        <v>970</v>
      </c>
      <c r="B554" s="2" t="s">
        <v>743</v>
      </c>
      <c r="C554" s="2" t="s">
        <v>79</v>
      </c>
      <c r="D554" s="2" t="s">
        <v>55</v>
      </c>
      <c r="E554" s="4">
        <v>46172</v>
      </c>
      <c r="F554" s="4">
        <v>46175</v>
      </c>
      <c r="G554" s="5">
        <v>11325</v>
      </c>
      <c r="H554" s="5"/>
      <c r="I554" s="2" t="s">
        <v>42</v>
      </c>
      <c r="J554" s="2" t="s">
        <v>1541</v>
      </c>
      <c r="K554" t="s">
        <v>48</v>
      </c>
      <c r="L554" s="12">
        <f>MIS_Report!$B$2-F554</f>
        <v>135</v>
      </c>
      <c r="M554" t="str" cm="1">
        <f t="array" ref="M554">_xlfn.IFS(L554&lt;=30,"0-30",L554&lt;=60,"31-60",L554&lt;=90,"61-90",TRUE,"90+")</f>
        <v>90+</v>
      </c>
      <c r="N554">
        <f t="shared" si="17"/>
        <v>11325</v>
      </c>
      <c r="O554" t="str">
        <f>VLOOKUP(K554,Agents!$A$1:$C$11,2,0)</f>
        <v>Manish Arora</v>
      </c>
      <c r="P554">
        <f t="shared" si="16"/>
        <v>0</v>
      </c>
    </row>
    <row r="555" spans="1:16" x14ac:dyDescent="0.25">
      <c r="A555" s="2" t="s">
        <v>971</v>
      </c>
      <c r="B555" s="2" t="s">
        <v>972</v>
      </c>
      <c r="C555" s="2" t="s">
        <v>36</v>
      </c>
      <c r="D555" s="2" t="s">
        <v>68</v>
      </c>
      <c r="E555" s="4">
        <v>46157</v>
      </c>
      <c r="F555" s="4">
        <v>46175</v>
      </c>
      <c r="G555" s="5">
        <v>1750</v>
      </c>
      <c r="H555" s="5">
        <v>1684.91</v>
      </c>
      <c r="I555" s="2" t="s">
        <v>37</v>
      </c>
      <c r="J555" s="2" t="s">
        <v>1541</v>
      </c>
      <c r="K555" t="s">
        <v>48</v>
      </c>
      <c r="L555" s="12">
        <f>MIS_Report!$B$2-F555</f>
        <v>135</v>
      </c>
      <c r="M555" t="str" cm="1">
        <f t="array" ref="M555">_xlfn.IFS(L555&lt;=30,"0-30",L555&lt;=60,"31-60",L555&lt;=90,"61-90",TRUE,"90+")</f>
        <v>90+</v>
      </c>
      <c r="N555">
        <f t="shared" si="17"/>
        <v>0</v>
      </c>
      <c r="O555" t="str">
        <f>VLOOKUP(K555,Agents!$A$1:$C$11,2,0)</f>
        <v>Manish Arora</v>
      </c>
      <c r="P555">
        <f t="shared" si="16"/>
        <v>0</v>
      </c>
    </row>
    <row r="556" spans="1:16" x14ac:dyDescent="0.25">
      <c r="A556" s="2" t="s">
        <v>973</v>
      </c>
      <c r="B556" s="2" t="s">
        <v>162</v>
      </c>
      <c r="C556" s="2" t="s">
        <v>46</v>
      </c>
      <c r="D556" s="2" t="s">
        <v>41</v>
      </c>
      <c r="E556" s="4">
        <v>46058</v>
      </c>
      <c r="F556" s="4">
        <v>46063</v>
      </c>
      <c r="G556" s="5">
        <v>12200</v>
      </c>
      <c r="H556" s="5">
        <v>0</v>
      </c>
      <c r="I556" s="2" t="s">
        <v>31</v>
      </c>
      <c r="J556" s="2" t="s">
        <v>116</v>
      </c>
      <c r="K556" t="s">
        <v>48</v>
      </c>
      <c r="L556" s="12">
        <f>MIS_Report!$B$2-F556</f>
        <v>247</v>
      </c>
      <c r="M556" t="str" cm="1">
        <f t="array" ref="M556">_xlfn.IFS(L556&lt;=30,"0-30",L556&lt;=60,"31-60",L556&lt;=90,"61-90",TRUE,"90+")</f>
        <v>90+</v>
      </c>
      <c r="N556">
        <f t="shared" si="17"/>
        <v>0</v>
      </c>
      <c r="O556" t="str">
        <f>VLOOKUP(K556,Agents!$A$1:$C$11,2,0)</f>
        <v>Manish Arora</v>
      </c>
      <c r="P556">
        <f t="shared" si="16"/>
        <v>12200</v>
      </c>
    </row>
    <row r="557" spans="1:16" x14ac:dyDescent="0.25">
      <c r="A557" s="2" t="s">
        <v>974</v>
      </c>
      <c r="B557" s="2" t="s">
        <v>975</v>
      </c>
      <c r="C557" s="2" t="s">
        <v>79</v>
      </c>
      <c r="D557" s="2" t="s">
        <v>30</v>
      </c>
      <c r="E557" s="4">
        <v>46277</v>
      </c>
      <c r="F557" s="4">
        <v>46282</v>
      </c>
      <c r="G557" s="5">
        <v>5800</v>
      </c>
      <c r="H557" s="5"/>
      <c r="I557" s="2" t="s">
        <v>42</v>
      </c>
      <c r="J557" s="2" t="s">
        <v>1541</v>
      </c>
      <c r="K557" t="s">
        <v>109</v>
      </c>
      <c r="L557" s="12">
        <f>MIS_Report!$B$2-F557</f>
        <v>28</v>
      </c>
      <c r="M557" t="str" cm="1">
        <f t="array" ref="M557">_xlfn.IFS(L557&lt;=30,"0-30",L557&lt;=60,"31-60",L557&lt;=90,"61-90",TRUE,"90+")</f>
        <v>0-30</v>
      </c>
      <c r="N557">
        <f t="shared" si="17"/>
        <v>5800</v>
      </c>
      <c r="O557" t="str">
        <f>VLOOKUP(K557,Agents!$A$1:$C$11,2,0)</f>
        <v>Deepak Nair</v>
      </c>
      <c r="P557">
        <f t="shared" si="16"/>
        <v>0</v>
      </c>
    </row>
    <row r="558" spans="1:16" x14ac:dyDescent="0.25">
      <c r="A558" s="2" t="s">
        <v>976</v>
      </c>
      <c r="B558" s="2" t="s">
        <v>925</v>
      </c>
      <c r="C558" s="2" t="s">
        <v>36</v>
      </c>
      <c r="D558" s="2" t="s">
        <v>41</v>
      </c>
      <c r="E558" s="4">
        <v>46049</v>
      </c>
      <c r="F558" s="4">
        <v>46064</v>
      </c>
      <c r="G558" s="5">
        <v>11350</v>
      </c>
      <c r="H558" s="5">
        <v>9387.7199999999993</v>
      </c>
      <c r="I558" s="2" t="s">
        <v>37</v>
      </c>
      <c r="J558" s="2" t="s">
        <v>1541</v>
      </c>
      <c r="K558" t="s">
        <v>48</v>
      </c>
      <c r="L558" s="12">
        <f>MIS_Report!$B$2-F558</f>
        <v>246</v>
      </c>
      <c r="M558" t="str" cm="1">
        <f t="array" ref="M558">_xlfn.IFS(L558&lt;=30,"0-30",L558&lt;=60,"31-60",L558&lt;=90,"61-90",TRUE,"90+")</f>
        <v>90+</v>
      </c>
      <c r="N558">
        <f t="shared" si="17"/>
        <v>0</v>
      </c>
      <c r="O558" t="str">
        <f>VLOOKUP(K558,Agents!$A$1:$C$11,2,0)</f>
        <v>Manish Arora</v>
      </c>
      <c r="P558">
        <f t="shared" si="16"/>
        <v>0</v>
      </c>
    </row>
    <row r="559" spans="1:16" x14ac:dyDescent="0.25">
      <c r="A559" s="2" t="s">
        <v>977</v>
      </c>
      <c r="B559" s="2" t="s">
        <v>978</v>
      </c>
      <c r="C559" s="2" t="s">
        <v>46</v>
      </c>
      <c r="D559" s="2" t="s">
        <v>80</v>
      </c>
      <c r="E559" s="4">
        <v>46249</v>
      </c>
      <c r="F559" s="4">
        <v>46265</v>
      </c>
      <c r="G559" s="5">
        <v>5900</v>
      </c>
      <c r="H559" s="5">
        <v>3819.1</v>
      </c>
      <c r="I559" s="2" t="s">
        <v>37</v>
      </c>
      <c r="J559" s="2" t="s">
        <v>1541</v>
      </c>
      <c r="K559" t="s">
        <v>83</v>
      </c>
      <c r="L559" s="12">
        <f>MIS_Report!$B$2-F559</f>
        <v>45</v>
      </c>
      <c r="M559" t="str" cm="1">
        <f t="array" ref="M559">_xlfn.IFS(L559&lt;=30,"0-30",L559&lt;=60,"31-60",L559&lt;=90,"61-90",TRUE,"90+")</f>
        <v>31-60</v>
      </c>
      <c r="N559">
        <f t="shared" si="17"/>
        <v>0</v>
      </c>
      <c r="O559" t="str">
        <f>VLOOKUP(K559,Agents!$A$1:$C$11,2,0)</f>
        <v>Deepak Nair</v>
      </c>
      <c r="P559">
        <f t="shared" si="16"/>
        <v>0</v>
      </c>
    </row>
    <row r="560" spans="1:16" x14ac:dyDescent="0.25">
      <c r="A560" s="2" t="s">
        <v>979</v>
      </c>
      <c r="B560" s="2" t="s">
        <v>980</v>
      </c>
      <c r="C560" s="2" t="s">
        <v>36</v>
      </c>
      <c r="D560" s="2" t="s">
        <v>55</v>
      </c>
      <c r="E560" s="4">
        <v>46210</v>
      </c>
      <c r="F560" s="4">
        <v>46213</v>
      </c>
      <c r="G560" s="5">
        <v>12550</v>
      </c>
      <c r="H560" s="5"/>
      <c r="I560" s="2" t="s">
        <v>42</v>
      </c>
      <c r="J560" s="2" t="s">
        <v>1541</v>
      </c>
      <c r="K560" t="s">
        <v>52</v>
      </c>
      <c r="L560" s="12">
        <f>MIS_Report!$B$2-F560</f>
        <v>97</v>
      </c>
      <c r="M560" t="str" cm="1">
        <f t="array" ref="M560">_xlfn.IFS(L560&lt;=30,"0-30",L560&lt;=60,"31-60",L560&lt;=90,"61-90",TRUE,"90+")</f>
        <v>90+</v>
      </c>
      <c r="N560">
        <f t="shared" si="17"/>
        <v>12550</v>
      </c>
      <c r="O560" t="str">
        <f>VLOOKUP(K560,Agents!$A$1:$C$11,2,0)</f>
        <v>Sunita Rao</v>
      </c>
      <c r="P560">
        <f t="shared" si="16"/>
        <v>0</v>
      </c>
    </row>
    <row r="561" spans="1:16" x14ac:dyDescent="0.25">
      <c r="A561" s="2" t="s">
        <v>981</v>
      </c>
      <c r="B561" s="2" t="s">
        <v>493</v>
      </c>
      <c r="C561" s="2" t="s">
        <v>36</v>
      </c>
      <c r="D561" s="2" t="s">
        <v>61</v>
      </c>
      <c r="E561" s="4">
        <v>46035</v>
      </c>
      <c r="F561" s="4">
        <v>46052</v>
      </c>
      <c r="G561" s="5">
        <v>5325</v>
      </c>
      <c r="H561" s="5">
        <v>4686.47</v>
      </c>
      <c r="I561" s="2" t="s">
        <v>37</v>
      </c>
      <c r="J561" s="2" t="s">
        <v>1541</v>
      </c>
      <c r="K561" t="s">
        <v>38</v>
      </c>
      <c r="L561" s="12">
        <f>MIS_Report!$B$2-F561</f>
        <v>258</v>
      </c>
      <c r="M561" t="str" cm="1">
        <f t="array" ref="M561">_xlfn.IFS(L561&lt;=30,"0-30",L561&lt;=60,"31-60",L561&lt;=90,"61-90",TRUE,"90+")</f>
        <v>90+</v>
      </c>
      <c r="N561">
        <f t="shared" si="17"/>
        <v>0</v>
      </c>
      <c r="O561" t="str">
        <f>VLOOKUP(K561,Agents!$A$1:$C$11,2,0)</f>
        <v>Sunita Rao</v>
      </c>
      <c r="P561">
        <f t="shared" si="16"/>
        <v>0</v>
      </c>
    </row>
    <row r="562" spans="1:16" x14ac:dyDescent="0.25">
      <c r="A562" s="2" t="s">
        <v>982</v>
      </c>
      <c r="B562" s="2" t="s">
        <v>474</v>
      </c>
      <c r="C562" s="2" t="s">
        <v>46</v>
      </c>
      <c r="D562" s="2" t="s">
        <v>55</v>
      </c>
      <c r="E562" s="4">
        <v>46263</v>
      </c>
      <c r="F562" s="4">
        <v>46283</v>
      </c>
      <c r="G562" s="5">
        <v>5725</v>
      </c>
      <c r="H562" s="5"/>
      <c r="I562" s="2" t="s">
        <v>42</v>
      </c>
      <c r="J562" s="2" t="s">
        <v>1541</v>
      </c>
      <c r="K562" t="s">
        <v>56</v>
      </c>
      <c r="L562" s="12">
        <f>MIS_Report!$B$2-F562</f>
        <v>27</v>
      </c>
      <c r="M562" t="str" cm="1">
        <f t="array" ref="M562">_xlfn.IFS(L562&lt;=30,"0-30",L562&lt;=60,"31-60",L562&lt;=90,"61-90",TRUE,"90+")</f>
        <v>0-30</v>
      </c>
      <c r="N562">
        <f t="shared" si="17"/>
        <v>5725</v>
      </c>
      <c r="O562" t="str">
        <f>VLOOKUP(K562,Agents!$A$1:$C$11,2,0)</f>
        <v>Manish Arora</v>
      </c>
      <c r="P562">
        <f t="shared" si="16"/>
        <v>0</v>
      </c>
    </row>
    <row r="563" spans="1:16" x14ac:dyDescent="0.25">
      <c r="A563" s="2" t="s">
        <v>984</v>
      </c>
      <c r="B563" s="2" t="s">
        <v>728</v>
      </c>
      <c r="C563" s="2" t="s">
        <v>29</v>
      </c>
      <c r="D563" s="2" t="s">
        <v>61</v>
      </c>
      <c r="E563" s="4">
        <v>46252</v>
      </c>
      <c r="F563" s="4">
        <v>46269</v>
      </c>
      <c r="G563" s="5">
        <v>3975</v>
      </c>
      <c r="H563" s="5">
        <v>3309.43</v>
      </c>
      <c r="I563" s="2" t="s">
        <v>37</v>
      </c>
      <c r="J563" s="2" t="s">
        <v>1541</v>
      </c>
      <c r="K563" t="s">
        <v>38</v>
      </c>
      <c r="L563" s="12">
        <f>MIS_Report!$B$2-F563</f>
        <v>41</v>
      </c>
      <c r="M563" t="str" cm="1">
        <f t="array" ref="M563">_xlfn.IFS(L563&lt;=30,"0-30",L563&lt;=60,"31-60",L563&lt;=90,"61-90",TRUE,"90+")</f>
        <v>31-60</v>
      </c>
      <c r="N563">
        <f t="shared" si="17"/>
        <v>0</v>
      </c>
      <c r="O563" t="str">
        <f>VLOOKUP(K563,Agents!$A$1:$C$11,2,0)</f>
        <v>Sunita Rao</v>
      </c>
      <c r="P563">
        <f t="shared" si="16"/>
        <v>0</v>
      </c>
    </row>
    <row r="564" spans="1:16" x14ac:dyDescent="0.25">
      <c r="A564" s="2" t="s">
        <v>985</v>
      </c>
      <c r="B564" s="2" t="s">
        <v>590</v>
      </c>
      <c r="C564" s="2" t="s">
        <v>29</v>
      </c>
      <c r="D564" s="2" t="s">
        <v>41</v>
      </c>
      <c r="E564" s="4">
        <v>46043</v>
      </c>
      <c r="F564" s="4">
        <v>46060</v>
      </c>
      <c r="G564" s="5">
        <v>4950</v>
      </c>
      <c r="H564" s="5"/>
      <c r="I564" s="2" t="s">
        <v>42</v>
      </c>
      <c r="J564" s="2" t="s">
        <v>1541</v>
      </c>
      <c r="K564" t="s">
        <v>83</v>
      </c>
      <c r="L564" s="12">
        <f>MIS_Report!$B$2-F564</f>
        <v>250</v>
      </c>
      <c r="M564" t="str" cm="1">
        <f t="array" ref="M564">_xlfn.IFS(L564&lt;=30,"0-30",L564&lt;=60,"31-60",L564&lt;=90,"61-90",TRUE,"90+")</f>
        <v>90+</v>
      </c>
      <c r="N564">
        <f t="shared" si="17"/>
        <v>4950</v>
      </c>
      <c r="O564" t="str">
        <f>VLOOKUP(K564,Agents!$A$1:$C$11,2,0)</f>
        <v>Deepak Nair</v>
      </c>
      <c r="P564">
        <f t="shared" si="16"/>
        <v>0</v>
      </c>
    </row>
    <row r="565" spans="1:16" x14ac:dyDescent="0.25">
      <c r="A565" s="2" t="s">
        <v>986</v>
      </c>
      <c r="B565" s="2" t="s">
        <v>987</v>
      </c>
      <c r="C565" s="2" t="s">
        <v>79</v>
      </c>
      <c r="D565" s="2" t="s">
        <v>80</v>
      </c>
      <c r="E565" s="4">
        <v>46146</v>
      </c>
      <c r="F565" s="4">
        <v>46153</v>
      </c>
      <c r="G565" s="5">
        <v>14975</v>
      </c>
      <c r="H565" s="5">
        <v>9849.5499999999993</v>
      </c>
      <c r="I565" s="2" t="s">
        <v>37</v>
      </c>
      <c r="J565" s="2" t="s">
        <v>1541</v>
      </c>
      <c r="K565" t="s">
        <v>43</v>
      </c>
      <c r="L565" s="12">
        <f>MIS_Report!$B$2-F565</f>
        <v>157</v>
      </c>
      <c r="M565" t="str" cm="1">
        <f t="array" ref="M565">_xlfn.IFS(L565&lt;=30,"0-30",L565&lt;=60,"31-60",L565&lt;=90,"61-90",TRUE,"90+")</f>
        <v>90+</v>
      </c>
      <c r="N565">
        <f t="shared" si="17"/>
        <v>0</v>
      </c>
      <c r="O565" t="str">
        <f>VLOOKUP(K565,Agents!$A$1:$C$11,2,0)</f>
        <v>Manish Arora</v>
      </c>
      <c r="P565">
        <f t="shared" si="16"/>
        <v>0</v>
      </c>
    </row>
    <row r="566" spans="1:16" x14ac:dyDescent="0.25">
      <c r="A566" s="2" t="s">
        <v>988</v>
      </c>
      <c r="B566" s="2" t="s">
        <v>989</v>
      </c>
      <c r="C566" s="2" t="s">
        <v>29</v>
      </c>
      <c r="D566" s="2" t="s">
        <v>41</v>
      </c>
      <c r="E566" s="4">
        <v>46161</v>
      </c>
      <c r="F566" s="4">
        <v>46181</v>
      </c>
      <c r="G566" s="5">
        <v>13250</v>
      </c>
      <c r="H566" s="5">
        <v>8681.2099999999991</v>
      </c>
      <c r="I566" s="2" t="s">
        <v>37</v>
      </c>
      <c r="J566" s="2" t="s">
        <v>1541</v>
      </c>
      <c r="K566" t="s">
        <v>56</v>
      </c>
      <c r="L566" s="12">
        <f>MIS_Report!$B$2-F566</f>
        <v>129</v>
      </c>
      <c r="M566" t="str" cm="1">
        <f t="array" ref="M566">_xlfn.IFS(L566&lt;=30,"0-30",L566&lt;=60,"31-60",L566&lt;=90,"61-90",TRUE,"90+")</f>
        <v>90+</v>
      </c>
      <c r="N566">
        <f t="shared" si="17"/>
        <v>0</v>
      </c>
      <c r="O566" t="str">
        <f>VLOOKUP(K566,Agents!$A$1:$C$11,2,0)</f>
        <v>Manish Arora</v>
      </c>
      <c r="P566">
        <f t="shared" si="16"/>
        <v>0</v>
      </c>
    </row>
    <row r="567" spans="1:16" x14ac:dyDescent="0.25">
      <c r="A567" s="2" t="s">
        <v>990</v>
      </c>
      <c r="B567" s="2" t="s">
        <v>991</v>
      </c>
      <c r="C567" s="2" t="s">
        <v>36</v>
      </c>
      <c r="D567" s="2" t="s">
        <v>55</v>
      </c>
      <c r="E567" s="4">
        <v>46151</v>
      </c>
      <c r="F567" s="4">
        <v>46168</v>
      </c>
      <c r="G567" s="5">
        <v>2500</v>
      </c>
      <c r="H567" s="5">
        <v>1689.13</v>
      </c>
      <c r="I567" s="2" t="s">
        <v>37</v>
      </c>
      <c r="J567" s="2" t="s">
        <v>1541</v>
      </c>
      <c r="K567" t="s">
        <v>38</v>
      </c>
      <c r="L567" s="12">
        <f>MIS_Report!$B$2-F567</f>
        <v>142</v>
      </c>
      <c r="M567" t="str" cm="1">
        <f t="array" ref="M567">_xlfn.IFS(L567&lt;=30,"0-30",L567&lt;=60,"31-60",L567&lt;=90,"61-90",TRUE,"90+")</f>
        <v>90+</v>
      </c>
      <c r="N567">
        <f t="shared" si="17"/>
        <v>0</v>
      </c>
      <c r="O567" t="str">
        <f>VLOOKUP(K567,Agents!$A$1:$C$11,2,0)</f>
        <v>Sunita Rao</v>
      </c>
      <c r="P567">
        <f t="shared" si="16"/>
        <v>0</v>
      </c>
    </row>
    <row r="568" spans="1:16" x14ac:dyDescent="0.25">
      <c r="A568" s="2" t="s">
        <v>992</v>
      </c>
      <c r="B568" s="2" t="s">
        <v>827</v>
      </c>
      <c r="C568" s="2" t="s">
        <v>29</v>
      </c>
      <c r="D568" s="2" t="s">
        <v>30</v>
      </c>
      <c r="E568" s="4">
        <v>46199</v>
      </c>
      <c r="F568" s="4">
        <v>46207</v>
      </c>
      <c r="G568" s="5">
        <v>8200</v>
      </c>
      <c r="H568" s="5">
        <v>0</v>
      </c>
      <c r="I568" s="2" t="s">
        <v>31</v>
      </c>
      <c r="J568" s="2" t="s">
        <v>47</v>
      </c>
      <c r="K568" t="s">
        <v>52</v>
      </c>
      <c r="L568" s="12">
        <f>MIS_Report!$B$2-F568</f>
        <v>103</v>
      </c>
      <c r="M568" t="str" cm="1">
        <f t="array" ref="M568">_xlfn.IFS(L568&lt;=30,"0-30",L568&lt;=60,"31-60",L568&lt;=90,"61-90",TRUE,"90+")</f>
        <v>90+</v>
      </c>
      <c r="N568">
        <f t="shared" si="17"/>
        <v>0</v>
      </c>
      <c r="O568" t="str">
        <f>VLOOKUP(K568,Agents!$A$1:$C$11,2,0)</f>
        <v>Sunita Rao</v>
      </c>
      <c r="P568">
        <f t="shared" si="16"/>
        <v>8200</v>
      </c>
    </row>
    <row r="569" spans="1:16" x14ac:dyDescent="0.25">
      <c r="A569" s="2" t="s">
        <v>993</v>
      </c>
      <c r="B569" s="2" t="s">
        <v>994</v>
      </c>
      <c r="C569" s="2" t="s">
        <v>46</v>
      </c>
      <c r="D569" s="2" t="s">
        <v>80</v>
      </c>
      <c r="E569" s="4">
        <v>46124</v>
      </c>
      <c r="F569" s="4">
        <v>46141</v>
      </c>
      <c r="G569" s="5">
        <v>5400</v>
      </c>
      <c r="H569" s="5">
        <v>3828.7</v>
      </c>
      <c r="I569" s="2" t="s">
        <v>37</v>
      </c>
      <c r="J569" s="2" t="s">
        <v>1541</v>
      </c>
      <c r="K569" t="s">
        <v>52</v>
      </c>
      <c r="L569" s="12">
        <f>MIS_Report!$B$2-F569</f>
        <v>169</v>
      </c>
      <c r="M569" t="str" cm="1">
        <f t="array" ref="M569">_xlfn.IFS(L569&lt;=30,"0-30",L569&lt;=60,"31-60",L569&lt;=90,"61-90",TRUE,"90+")</f>
        <v>90+</v>
      </c>
      <c r="N569">
        <f t="shared" si="17"/>
        <v>0</v>
      </c>
      <c r="O569" t="str">
        <f>VLOOKUP(K569,Agents!$A$1:$C$11,2,0)</f>
        <v>Sunita Rao</v>
      </c>
      <c r="P569">
        <f t="shared" si="16"/>
        <v>0</v>
      </c>
    </row>
    <row r="570" spans="1:16" x14ac:dyDescent="0.25">
      <c r="A570" s="2" t="s">
        <v>995</v>
      </c>
      <c r="B570" s="2" t="s">
        <v>659</v>
      </c>
      <c r="C570" s="2" t="s">
        <v>29</v>
      </c>
      <c r="D570" s="2" t="s">
        <v>55</v>
      </c>
      <c r="E570" s="4">
        <v>46088</v>
      </c>
      <c r="F570" s="4">
        <v>46095</v>
      </c>
      <c r="G570" s="5">
        <v>9275</v>
      </c>
      <c r="H570" s="5"/>
      <c r="I570" s="2" t="s">
        <v>42</v>
      </c>
      <c r="J570" s="2" t="s">
        <v>1541</v>
      </c>
      <c r="K570" t="s">
        <v>62</v>
      </c>
      <c r="L570" s="12">
        <f>MIS_Report!$B$2-F570</f>
        <v>215</v>
      </c>
      <c r="M570" t="str" cm="1">
        <f t="array" ref="M570">_xlfn.IFS(L570&lt;=30,"0-30",L570&lt;=60,"31-60",L570&lt;=90,"61-90",TRUE,"90+")</f>
        <v>90+</v>
      </c>
      <c r="N570">
        <f t="shared" si="17"/>
        <v>9275</v>
      </c>
      <c r="O570" t="str">
        <f>VLOOKUP(K570,Agents!$A$1:$C$11,2,0)</f>
        <v>Sunita Rao</v>
      </c>
      <c r="P570">
        <f t="shared" si="16"/>
        <v>0</v>
      </c>
    </row>
    <row r="571" spans="1:16" x14ac:dyDescent="0.25">
      <c r="A571" s="2" t="s">
        <v>996</v>
      </c>
      <c r="B571" s="2" t="s">
        <v>129</v>
      </c>
      <c r="C571" s="2" t="s">
        <v>36</v>
      </c>
      <c r="D571" s="2" t="s">
        <v>68</v>
      </c>
      <c r="E571" s="4">
        <v>46027</v>
      </c>
      <c r="F571" s="4">
        <v>46038</v>
      </c>
      <c r="G571" s="5">
        <v>12525</v>
      </c>
      <c r="H571" s="5">
        <v>10261.31</v>
      </c>
      <c r="I571" s="2" t="s">
        <v>37</v>
      </c>
      <c r="J571" s="2" t="s">
        <v>1541</v>
      </c>
      <c r="K571" t="s">
        <v>65</v>
      </c>
      <c r="L571" s="12">
        <f>MIS_Report!$B$2-F571</f>
        <v>272</v>
      </c>
      <c r="M571" t="str" cm="1">
        <f t="array" ref="M571">_xlfn.IFS(L571&lt;=30,"0-30",L571&lt;=60,"31-60",L571&lt;=90,"61-90",TRUE,"90+")</f>
        <v>90+</v>
      </c>
      <c r="N571">
        <f t="shared" si="17"/>
        <v>0</v>
      </c>
      <c r="O571" t="str">
        <f>VLOOKUP(K571,Agents!$A$1:$C$11,2,0)</f>
        <v>Deepak Nair</v>
      </c>
      <c r="P571">
        <f t="shared" si="16"/>
        <v>0</v>
      </c>
    </row>
    <row r="572" spans="1:16" x14ac:dyDescent="0.25">
      <c r="A572" s="2" t="s">
        <v>997</v>
      </c>
      <c r="B572" s="2" t="s">
        <v>341</v>
      </c>
      <c r="C572" s="2" t="s">
        <v>79</v>
      </c>
      <c r="D572" s="2" t="s">
        <v>41</v>
      </c>
      <c r="E572" s="4">
        <v>46010</v>
      </c>
      <c r="F572" s="4">
        <v>46028</v>
      </c>
      <c r="G572" s="5">
        <v>14375</v>
      </c>
      <c r="H572" s="5">
        <v>11319.7</v>
      </c>
      <c r="I572" s="2" t="s">
        <v>37</v>
      </c>
      <c r="J572" s="2" t="s">
        <v>1541</v>
      </c>
      <c r="K572" t="s">
        <v>109</v>
      </c>
      <c r="L572" s="12">
        <f>MIS_Report!$B$2-F572</f>
        <v>282</v>
      </c>
      <c r="M572" t="str" cm="1">
        <f t="array" ref="M572">_xlfn.IFS(L572&lt;=30,"0-30",L572&lt;=60,"31-60",L572&lt;=90,"61-90",TRUE,"90+")</f>
        <v>90+</v>
      </c>
      <c r="N572">
        <f t="shared" si="17"/>
        <v>0</v>
      </c>
      <c r="O572" t="str">
        <f>VLOOKUP(K572,Agents!$A$1:$C$11,2,0)</f>
        <v>Deepak Nair</v>
      </c>
      <c r="P572">
        <f t="shared" si="16"/>
        <v>0</v>
      </c>
    </row>
    <row r="573" spans="1:16" x14ac:dyDescent="0.25">
      <c r="A573" s="2" t="s">
        <v>998</v>
      </c>
      <c r="B573" s="2" t="s">
        <v>999</v>
      </c>
      <c r="C573" s="2" t="s">
        <v>29</v>
      </c>
      <c r="D573" s="2" t="s">
        <v>30</v>
      </c>
      <c r="E573" s="4">
        <v>46172</v>
      </c>
      <c r="F573" s="4">
        <v>46182</v>
      </c>
      <c r="G573" s="5">
        <v>9650</v>
      </c>
      <c r="H573" s="5">
        <v>6214.54</v>
      </c>
      <c r="I573" s="2" t="s">
        <v>37</v>
      </c>
      <c r="J573" s="2" t="s">
        <v>1541</v>
      </c>
      <c r="K573" t="s">
        <v>65</v>
      </c>
      <c r="L573" s="12">
        <f>MIS_Report!$B$2-F573</f>
        <v>128</v>
      </c>
      <c r="M573" t="str" cm="1">
        <f t="array" ref="M573">_xlfn.IFS(L573&lt;=30,"0-30",L573&lt;=60,"31-60",L573&lt;=90,"61-90",TRUE,"90+")</f>
        <v>90+</v>
      </c>
      <c r="N573">
        <f t="shared" si="17"/>
        <v>0</v>
      </c>
      <c r="O573" t="str">
        <f>VLOOKUP(K573,Agents!$A$1:$C$11,2,0)</f>
        <v>Deepak Nair</v>
      </c>
      <c r="P573">
        <f t="shared" si="16"/>
        <v>0</v>
      </c>
    </row>
    <row r="574" spans="1:16" x14ac:dyDescent="0.25">
      <c r="A574" s="2" t="s">
        <v>1000</v>
      </c>
      <c r="B574" s="2" t="s">
        <v>1001</v>
      </c>
      <c r="C574" s="2" t="s">
        <v>29</v>
      </c>
      <c r="D574" s="2" t="s">
        <v>30</v>
      </c>
      <c r="E574" s="4">
        <v>46194</v>
      </c>
      <c r="F574" s="4">
        <v>46200</v>
      </c>
      <c r="G574" s="5">
        <v>10275</v>
      </c>
      <c r="H574" s="5"/>
      <c r="I574" s="2" t="s">
        <v>42</v>
      </c>
      <c r="J574" s="2" t="s">
        <v>1541</v>
      </c>
      <c r="K574" t="s">
        <v>109</v>
      </c>
      <c r="L574" s="12">
        <f>MIS_Report!$B$2-F574</f>
        <v>110</v>
      </c>
      <c r="M574" t="str" cm="1">
        <f t="array" ref="M574">_xlfn.IFS(L574&lt;=30,"0-30",L574&lt;=60,"31-60",L574&lt;=90,"61-90",TRUE,"90+")</f>
        <v>90+</v>
      </c>
      <c r="N574">
        <f t="shared" si="17"/>
        <v>10275</v>
      </c>
      <c r="O574" t="str">
        <f>VLOOKUP(K574,Agents!$A$1:$C$11,2,0)</f>
        <v>Deepak Nair</v>
      </c>
      <c r="P574">
        <f t="shared" si="16"/>
        <v>0</v>
      </c>
    </row>
    <row r="575" spans="1:16" x14ac:dyDescent="0.25">
      <c r="A575" s="2" t="s">
        <v>1002</v>
      </c>
      <c r="B575" s="2" t="s">
        <v>643</v>
      </c>
      <c r="C575" s="2" t="s">
        <v>29</v>
      </c>
      <c r="D575" s="2" t="s">
        <v>80</v>
      </c>
      <c r="E575" s="4">
        <v>46086</v>
      </c>
      <c r="F575" s="4">
        <v>46105</v>
      </c>
      <c r="G575" s="5">
        <v>13250</v>
      </c>
      <c r="H575" s="5">
        <v>12802.07</v>
      </c>
      <c r="I575" s="2" t="s">
        <v>37</v>
      </c>
      <c r="J575" s="2" t="s">
        <v>1541</v>
      </c>
      <c r="K575" t="s">
        <v>48</v>
      </c>
      <c r="L575" s="12">
        <f>MIS_Report!$B$2-F575</f>
        <v>205</v>
      </c>
      <c r="M575" t="str" cm="1">
        <f t="array" ref="M575">_xlfn.IFS(L575&lt;=30,"0-30",L575&lt;=60,"31-60",L575&lt;=90,"61-90",TRUE,"90+")</f>
        <v>90+</v>
      </c>
      <c r="N575">
        <f t="shared" si="17"/>
        <v>0</v>
      </c>
      <c r="O575" t="str">
        <f>VLOOKUP(K575,Agents!$A$1:$C$11,2,0)</f>
        <v>Manish Arora</v>
      </c>
      <c r="P575">
        <f t="shared" si="16"/>
        <v>0</v>
      </c>
    </row>
    <row r="576" spans="1:16" x14ac:dyDescent="0.25">
      <c r="A576" s="2" t="s">
        <v>1003</v>
      </c>
      <c r="B576" s="2" t="s">
        <v>763</v>
      </c>
      <c r="C576" s="2" t="s">
        <v>29</v>
      </c>
      <c r="D576" s="2" t="s">
        <v>94</v>
      </c>
      <c r="E576" s="4">
        <v>46127</v>
      </c>
      <c r="F576" s="4">
        <v>46131</v>
      </c>
      <c r="G576" s="5">
        <v>6225</v>
      </c>
      <c r="H576" s="5">
        <v>5603.47</v>
      </c>
      <c r="I576" s="2" t="s">
        <v>37</v>
      </c>
      <c r="J576" s="2" t="s">
        <v>1541</v>
      </c>
      <c r="K576" t="s">
        <v>33</v>
      </c>
      <c r="L576" s="12">
        <f>MIS_Report!$B$2-F576</f>
        <v>179</v>
      </c>
      <c r="M576" t="str" cm="1">
        <f t="array" ref="M576">_xlfn.IFS(L576&lt;=30,"0-30",L576&lt;=60,"31-60",L576&lt;=90,"61-90",TRUE,"90+")</f>
        <v>90+</v>
      </c>
      <c r="N576">
        <f t="shared" si="17"/>
        <v>0</v>
      </c>
      <c r="O576" t="str">
        <f>VLOOKUP(K576,Agents!$A$1:$C$11,2,0)</f>
        <v>Manish Arora</v>
      </c>
      <c r="P576">
        <f t="shared" si="16"/>
        <v>0</v>
      </c>
    </row>
    <row r="577" spans="1:16" x14ac:dyDescent="0.25">
      <c r="A577" s="2" t="s">
        <v>1004</v>
      </c>
      <c r="B577" s="2" t="s">
        <v>1005</v>
      </c>
      <c r="C577" s="2" t="s">
        <v>79</v>
      </c>
      <c r="D577" s="2" t="s">
        <v>30</v>
      </c>
      <c r="E577" s="4">
        <v>46131</v>
      </c>
      <c r="F577" s="4">
        <v>46136</v>
      </c>
      <c r="G577" s="5">
        <v>2000</v>
      </c>
      <c r="H577" s="5"/>
      <c r="I577" s="2" t="s">
        <v>42</v>
      </c>
      <c r="J577" s="2" t="s">
        <v>1541</v>
      </c>
      <c r="K577" t="s">
        <v>65</v>
      </c>
      <c r="L577" s="12">
        <f>MIS_Report!$B$2-F577</f>
        <v>174</v>
      </c>
      <c r="M577" t="str" cm="1">
        <f t="array" ref="M577">_xlfn.IFS(L577&lt;=30,"0-30",L577&lt;=60,"31-60",L577&lt;=90,"61-90",TRUE,"90+")</f>
        <v>90+</v>
      </c>
      <c r="N577">
        <f t="shared" si="17"/>
        <v>2000</v>
      </c>
      <c r="O577" t="str">
        <f>VLOOKUP(K577,Agents!$A$1:$C$11,2,0)</f>
        <v>Deepak Nair</v>
      </c>
      <c r="P577">
        <f t="shared" si="16"/>
        <v>0</v>
      </c>
    </row>
    <row r="578" spans="1:16" x14ac:dyDescent="0.25">
      <c r="A578" s="2" t="s">
        <v>1006</v>
      </c>
      <c r="B578" s="2" t="s">
        <v>555</v>
      </c>
      <c r="C578" s="2" t="s">
        <v>36</v>
      </c>
      <c r="D578" s="2" t="s">
        <v>80</v>
      </c>
      <c r="E578" s="4">
        <v>46154</v>
      </c>
      <c r="F578" s="4">
        <v>46173</v>
      </c>
      <c r="G578" s="5">
        <v>8125</v>
      </c>
      <c r="H578" s="5">
        <v>5104.33</v>
      </c>
      <c r="I578" s="2" t="s">
        <v>37</v>
      </c>
      <c r="J578" s="2" t="s">
        <v>1541</v>
      </c>
      <c r="K578" t="s">
        <v>62</v>
      </c>
      <c r="L578" s="12">
        <f>MIS_Report!$B$2-F578</f>
        <v>137</v>
      </c>
      <c r="M578" t="str" cm="1">
        <f t="array" ref="M578">_xlfn.IFS(L578&lt;=30,"0-30",L578&lt;=60,"31-60",L578&lt;=90,"61-90",TRUE,"90+")</f>
        <v>90+</v>
      </c>
      <c r="N578">
        <f t="shared" si="17"/>
        <v>0</v>
      </c>
      <c r="O578" t="str">
        <f>VLOOKUP(K578,Agents!$A$1:$C$11,2,0)</f>
        <v>Sunita Rao</v>
      </c>
      <c r="P578">
        <f t="shared" si="16"/>
        <v>0</v>
      </c>
    </row>
    <row r="579" spans="1:16" x14ac:dyDescent="0.25">
      <c r="A579" s="2" t="s">
        <v>1007</v>
      </c>
      <c r="B579" s="2" t="s">
        <v>707</v>
      </c>
      <c r="C579" s="2" t="s">
        <v>46</v>
      </c>
      <c r="D579" s="2" t="s">
        <v>55</v>
      </c>
      <c r="E579" s="4">
        <v>46144</v>
      </c>
      <c r="F579" s="4">
        <v>46163</v>
      </c>
      <c r="G579" s="5">
        <v>7450</v>
      </c>
      <c r="H579" s="5">
        <v>0</v>
      </c>
      <c r="I579" s="2" t="s">
        <v>31</v>
      </c>
      <c r="J579" s="2" t="s">
        <v>312</v>
      </c>
      <c r="K579" t="s">
        <v>56</v>
      </c>
      <c r="L579" s="12">
        <f>MIS_Report!$B$2-F579</f>
        <v>147</v>
      </c>
      <c r="M579" t="str" cm="1">
        <f t="array" ref="M579">_xlfn.IFS(L579&lt;=30,"0-30",L579&lt;=60,"31-60",L579&lt;=90,"61-90",TRUE,"90+")</f>
        <v>90+</v>
      </c>
      <c r="N579">
        <f t="shared" si="17"/>
        <v>0</v>
      </c>
      <c r="O579" t="str">
        <f>VLOOKUP(K579,Agents!$A$1:$C$11,2,0)</f>
        <v>Manish Arora</v>
      </c>
      <c r="P579">
        <f t="shared" ref="P579:P642" si="18">IF(I579="Denied",G579,0)</f>
        <v>7450</v>
      </c>
    </row>
    <row r="580" spans="1:16" x14ac:dyDescent="0.25">
      <c r="A580" s="2" t="s">
        <v>1008</v>
      </c>
      <c r="B580" s="2" t="s">
        <v>1009</v>
      </c>
      <c r="C580" s="2" t="s">
        <v>36</v>
      </c>
      <c r="D580" s="2" t="s">
        <v>71</v>
      </c>
      <c r="E580" s="4">
        <v>46052</v>
      </c>
      <c r="F580" s="4">
        <v>46067</v>
      </c>
      <c r="G580" s="5">
        <v>12100</v>
      </c>
      <c r="H580" s="5"/>
      <c r="I580" s="2" t="s">
        <v>42</v>
      </c>
      <c r="J580" s="2" t="s">
        <v>1541</v>
      </c>
      <c r="K580" t="s">
        <v>52</v>
      </c>
      <c r="L580" s="12">
        <f>MIS_Report!$B$2-F580</f>
        <v>243</v>
      </c>
      <c r="M580" t="str" cm="1">
        <f t="array" ref="M580">_xlfn.IFS(L580&lt;=30,"0-30",L580&lt;=60,"31-60",L580&lt;=90,"61-90",TRUE,"90+")</f>
        <v>90+</v>
      </c>
      <c r="N580">
        <f t="shared" si="17"/>
        <v>12100</v>
      </c>
      <c r="O580" t="str">
        <f>VLOOKUP(K580,Agents!$A$1:$C$11,2,0)</f>
        <v>Sunita Rao</v>
      </c>
      <c r="P580">
        <f t="shared" si="18"/>
        <v>0</v>
      </c>
    </row>
    <row r="581" spans="1:16" x14ac:dyDescent="0.25">
      <c r="A581" s="2" t="s">
        <v>1010</v>
      </c>
      <c r="B581" s="2" t="s">
        <v>779</v>
      </c>
      <c r="C581" s="2" t="s">
        <v>46</v>
      </c>
      <c r="D581" s="2" t="s">
        <v>41</v>
      </c>
      <c r="E581" s="4">
        <v>46045</v>
      </c>
      <c r="F581" s="4">
        <v>46065</v>
      </c>
      <c r="G581" s="5">
        <v>2525</v>
      </c>
      <c r="H581" s="5">
        <v>0</v>
      </c>
      <c r="I581" s="2" t="s">
        <v>31</v>
      </c>
      <c r="J581" s="2" t="s">
        <v>271</v>
      </c>
      <c r="K581" t="s">
        <v>83</v>
      </c>
      <c r="L581" s="12">
        <f>MIS_Report!$B$2-F581</f>
        <v>245</v>
      </c>
      <c r="M581" t="str" cm="1">
        <f t="array" ref="M581">_xlfn.IFS(L581&lt;=30,"0-30",L581&lt;=60,"31-60",L581&lt;=90,"61-90",TRUE,"90+")</f>
        <v>90+</v>
      </c>
      <c r="N581">
        <f t="shared" ref="N581:N644" si="19">IF(I581="Pending",G581-H581,0)</f>
        <v>0</v>
      </c>
      <c r="O581" t="str">
        <f>VLOOKUP(K581,Agents!$A$1:$C$11,2,0)</f>
        <v>Deepak Nair</v>
      </c>
      <c r="P581">
        <f t="shared" si="18"/>
        <v>2525</v>
      </c>
    </row>
    <row r="582" spans="1:16" x14ac:dyDescent="0.25">
      <c r="A582" s="2" t="s">
        <v>1011</v>
      </c>
      <c r="B582" s="2" t="s">
        <v>501</v>
      </c>
      <c r="C582" s="2" t="s">
        <v>79</v>
      </c>
      <c r="D582" s="2" t="s">
        <v>71</v>
      </c>
      <c r="E582" s="4">
        <v>46035</v>
      </c>
      <c r="F582" s="4">
        <v>46054</v>
      </c>
      <c r="G582" s="5">
        <v>2400</v>
      </c>
      <c r="H582" s="5">
        <v>0</v>
      </c>
      <c r="I582" s="2" t="s">
        <v>31</v>
      </c>
      <c r="J582" s="2" t="s">
        <v>116</v>
      </c>
      <c r="K582" t="s">
        <v>56</v>
      </c>
      <c r="L582" s="12">
        <f>MIS_Report!$B$2-F582</f>
        <v>256</v>
      </c>
      <c r="M582" t="str" cm="1">
        <f t="array" ref="M582">_xlfn.IFS(L582&lt;=30,"0-30",L582&lt;=60,"31-60",L582&lt;=90,"61-90",TRUE,"90+")</f>
        <v>90+</v>
      </c>
      <c r="N582">
        <f t="shared" si="19"/>
        <v>0</v>
      </c>
      <c r="O582" t="str">
        <f>VLOOKUP(K582,Agents!$A$1:$C$11,2,0)</f>
        <v>Manish Arora</v>
      </c>
      <c r="P582">
        <f t="shared" si="18"/>
        <v>2400</v>
      </c>
    </row>
    <row r="583" spans="1:16" x14ac:dyDescent="0.25">
      <c r="A583" s="2" t="s">
        <v>1012</v>
      </c>
      <c r="B583" s="2" t="s">
        <v>201</v>
      </c>
      <c r="C583" s="2" t="s">
        <v>36</v>
      </c>
      <c r="D583" s="2" t="s">
        <v>80</v>
      </c>
      <c r="E583" s="4">
        <v>46133</v>
      </c>
      <c r="F583" s="4">
        <v>46145</v>
      </c>
      <c r="G583" s="5">
        <v>14050</v>
      </c>
      <c r="H583" s="5">
        <v>11430.32</v>
      </c>
      <c r="I583" s="2" t="s">
        <v>37</v>
      </c>
      <c r="J583" s="2" t="s">
        <v>1541</v>
      </c>
      <c r="K583" t="s">
        <v>56</v>
      </c>
      <c r="L583" s="12">
        <f>MIS_Report!$B$2-F583</f>
        <v>165</v>
      </c>
      <c r="M583" t="str" cm="1">
        <f t="array" ref="M583">_xlfn.IFS(L583&lt;=30,"0-30",L583&lt;=60,"31-60",L583&lt;=90,"61-90",TRUE,"90+")</f>
        <v>90+</v>
      </c>
      <c r="N583">
        <f t="shared" si="19"/>
        <v>0</v>
      </c>
      <c r="O583" t="str">
        <f>VLOOKUP(K583,Agents!$A$1:$C$11,2,0)</f>
        <v>Manish Arora</v>
      </c>
      <c r="P583">
        <f t="shared" si="18"/>
        <v>0</v>
      </c>
    </row>
    <row r="584" spans="1:16" x14ac:dyDescent="0.25">
      <c r="A584" s="2" t="s">
        <v>1013</v>
      </c>
      <c r="B584" s="2" t="s">
        <v>308</v>
      </c>
      <c r="C584" s="2" t="s">
        <v>79</v>
      </c>
      <c r="D584" s="2" t="s">
        <v>30</v>
      </c>
      <c r="E584" s="4">
        <v>46175</v>
      </c>
      <c r="F584" s="4">
        <v>46183</v>
      </c>
      <c r="G584" s="5">
        <v>10900</v>
      </c>
      <c r="H584" s="5"/>
      <c r="I584" s="2" t="s">
        <v>42</v>
      </c>
      <c r="J584" s="2" t="s">
        <v>1541</v>
      </c>
      <c r="K584" t="s">
        <v>56</v>
      </c>
      <c r="L584" s="12">
        <f>MIS_Report!$B$2-F584</f>
        <v>127</v>
      </c>
      <c r="M584" t="str" cm="1">
        <f t="array" ref="M584">_xlfn.IFS(L584&lt;=30,"0-30",L584&lt;=60,"31-60",L584&lt;=90,"61-90",TRUE,"90+")</f>
        <v>90+</v>
      </c>
      <c r="N584">
        <f t="shared" si="19"/>
        <v>10900</v>
      </c>
      <c r="O584" t="str">
        <f>VLOOKUP(K584,Agents!$A$1:$C$11,2,0)</f>
        <v>Manish Arora</v>
      </c>
      <c r="P584">
        <f t="shared" si="18"/>
        <v>0</v>
      </c>
    </row>
    <row r="585" spans="1:16" x14ac:dyDescent="0.25">
      <c r="A585" s="2" t="s">
        <v>1014</v>
      </c>
      <c r="B585" s="2" t="s">
        <v>1015</v>
      </c>
      <c r="C585" s="2" t="s">
        <v>79</v>
      </c>
      <c r="D585" s="2" t="s">
        <v>94</v>
      </c>
      <c r="E585" s="4">
        <v>46050</v>
      </c>
      <c r="F585" s="4">
        <v>46057</v>
      </c>
      <c r="G585" s="5">
        <v>13450</v>
      </c>
      <c r="H585" s="5">
        <v>12524.22</v>
      </c>
      <c r="I585" s="2" t="s">
        <v>37</v>
      </c>
      <c r="J585" s="2" t="s">
        <v>1541</v>
      </c>
      <c r="K585" t="s">
        <v>33</v>
      </c>
      <c r="L585" s="12">
        <f>MIS_Report!$B$2-F585</f>
        <v>253</v>
      </c>
      <c r="M585" t="str" cm="1">
        <f t="array" ref="M585">_xlfn.IFS(L585&lt;=30,"0-30",L585&lt;=60,"31-60",L585&lt;=90,"61-90",TRUE,"90+")</f>
        <v>90+</v>
      </c>
      <c r="N585">
        <f t="shared" si="19"/>
        <v>0</v>
      </c>
      <c r="O585" t="str">
        <f>VLOOKUP(K585,Agents!$A$1:$C$11,2,0)</f>
        <v>Manish Arora</v>
      </c>
      <c r="P585">
        <f t="shared" si="18"/>
        <v>0</v>
      </c>
    </row>
    <row r="586" spans="1:16" x14ac:dyDescent="0.25">
      <c r="A586" s="2" t="s">
        <v>1016</v>
      </c>
      <c r="B586" s="2" t="s">
        <v>316</v>
      </c>
      <c r="C586" s="2" t="s">
        <v>46</v>
      </c>
      <c r="D586" s="2" t="s">
        <v>68</v>
      </c>
      <c r="E586" s="4">
        <v>46123</v>
      </c>
      <c r="F586" s="4">
        <v>46140</v>
      </c>
      <c r="G586" s="5">
        <v>5700</v>
      </c>
      <c r="H586" s="5">
        <v>3709.99</v>
      </c>
      <c r="I586" s="2" t="s">
        <v>37</v>
      </c>
      <c r="J586" s="2" t="s">
        <v>1541</v>
      </c>
      <c r="K586" t="s">
        <v>38</v>
      </c>
      <c r="L586" s="12">
        <f>MIS_Report!$B$2-F586</f>
        <v>170</v>
      </c>
      <c r="M586" t="str" cm="1">
        <f t="array" ref="M586">_xlfn.IFS(L586&lt;=30,"0-30",L586&lt;=60,"31-60",L586&lt;=90,"61-90",TRUE,"90+")</f>
        <v>90+</v>
      </c>
      <c r="N586">
        <f t="shared" si="19"/>
        <v>0</v>
      </c>
      <c r="O586" t="str">
        <f>VLOOKUP(K586,Agents!$A$1:$C$11,2,0)</f>
        <v>Sunita Rao</v>
      </c>
      <c r="P586">
        <f t="shared" si="18"/>
        <v>0</v>
      </c>
    </row>
    <row r="587" spans="1:16" x14ac:dyDescent="0.25">
      <c r="A587" s="2" t="s">
        <v>1017</v>
      </c>
      <c r="B587" s="2" t="s">
        <v>1018</v>
      </c>
      <c r="C587" s="2" t="s">
        <v>36</v>
      </c>
      <c r="D587" s="2" t="s">
        <v>71</v>
      </c>
      <c r="E587" s="4">
        <v>46081</v>
      </c>
      <c r="F587" s="4">
        <v>46087</v>
      </c>
      <c r="G587" s="5">
        <v>7150</v>
      </c>
      <c r="H587" s="5">
        <v>4284.91</v>
      </c>
      <c r="I587" s="2" t="s">
        <v>37</v>
      </c>
      <c r="J587" s="2" t="s">
        <v>1541</v>
      </c>
      <c r="K587" t="s">
        <v>38</v>
      </c>
      <c r="L587" s="12">
        <f>MIS_Report!$B$2-F587</f>
        <v>223</v>
      </c>
      <c r="M587" t="str" cm="1">
        <f t="array" ref="M587">_xlfn.IFS(L587&lt;=30,"0-30",L587&lt;=60,"31-60",L587&lt;=90,"61-90",TRUE,"90+")</f>
        <v>90+</v>
      </c>
      <c r="N587">
        <f t="shared" si="19"/>
        <v>0</v>
      </c>
      <c r="O587" t="str">
        <f>VLOOKUP(K587,Agents!$A$1:$C$11,2,0)</f>
        <v>Sunita Rao</v>
      </c>
      <c r="P587">
        <f t="shared" si="18"/>
        <v>0</v>
      </c>
    </row>
    <row r="588" spans="1:16" x14ac:dyDescent="0.25">
      <c r="A588" s="2" t="s">
        <v>1019</v>
      </c>
      <c r="B588" s="2" t="s">
        <v>480</v>
      </c>
      <c r="C588" s="2" t="s">
        <v>29</v>
      </c>
      <c r="D588" s="2" t="s">
        <v>68</v>
      </c>
      <c r="E588" s="4">
        <v>46083</v>
      </c>
      <c r="F588" s="4">
        <v>46088</v>
      </c>
      <c r="G588" s="5">
        <v>13875</v>
      </c>
      <c r="H588" s="5">
        <v>13249.7</v>
      </c>
      <c r="I588" s="2" t="s">
        <v>37</v>
      </c>
      <c r="J588" s="2" t="s">
        <v>1541</v>
      </c>
      <c r="K588" t="s">
        <v>38</v>
      </c>
      <c r="L588" s="12">
        <f>MIS_Report!$B$2-F588</f>
        <v>222</v>
      </c>
      <c r="M588" t="str" cm="1">
        <f t="array" ref="M588">_xlfn.IFS(L588&lt;=30,"0-30",L588&lt;=60,"31-60",L588&lt;=90,"61-90",TRUE,"90+")</f>
        <v>90+</v>
      </c>
      <c r="N588">
        <f t="shared" si="19"/>
        <v>0</v>
      </c>
      <c r="O588" t="str">
        <f>VLOOKUP(K588,Agents!$A$1:$C$11,2,0)</f>
        <v>Sunita Rao</v>
      </c>
      <c r="P588">
        <f t="shared" si="18"/>
        <v>0</v>
      </c>
    </row>
    <row r="589" spans="1:16" x14ac:dyDescent="0.25">
      <c r="A589" s="2" t="s">
        <v>1020</v>
      </c>
      <c r="B589" s="2" t="s">
        <v>631</v>
      </c>
      <c r="C589" s="2" t="s">
        <v>36</v>
      </c>
      <c r="D589" s="2" t="s">
        <v>41</v>
      </c>
      <c r="E589" s="4">
        <v>46180</v>
      </c>
      <c r="F589" s="4">
        <v>46194</v>
      </c>
      <c r="G589" s="5">
        <v>13150</v>
      </c>
      <c r="H589" s="5">
        <v>9405.8700000000008</v>
      </c>
      <c r="I589" s="2" t="s">
        <v>37</v>
      </c>
      <c r="J589" s="2" t="s">
        <v>1541</v>
      </c>
      <c r="K589" t="s">
        <v>38</v>
      </c>
      <c r="L589" s="12">
        <f>MIS_Report!$B$2-F589</f>
        <v>116</v>
      </c>
      <c r="M589" t="str" cm="1">
        <f t="array" ref="M589">_xlfn.IFS(L589&lt;=30,"0-30",L589&lt;=60,"31-60",L589&lt;=90,"61-90",TRUE,"90+")</f>
        <v>90+</v>
      </c>
      <c r="N589">
        <f t="shared" si="19"/>
        <v>0</v>
      </c>
      <c r="O589" t="str">
        <f>VLOOKUP(K589,Agents!$A$1:$C$11,2,0)</f>
        <v>Sunita Rao</v>
      </c>
      <c r="P589">
        <f t="shared" si="18"/>
        <v>0</v>
      </c>
    </row>
    <row r="590" spans="1:16" x14ac:dyDescent="0.25">
      <c r="A590" s="2" t="s">
        <v>1021</v>
      </c>
      <c r="B590" s="2" t="s">
        <v>1022</v>
      </c>
      <c r="C590" s="2" t="s">
        <v>46</v>
      </c>
      <c r="D590" s="2" t="s">
        <v>80</v>
      </c>
      <c r="E590" s="4">
        <v>46252</v>
      </c>
      <c r="F590" s="4">
        <v>46269</v>
      </c>
      <c r="G590" s="5">
        <v>5950</v>
      </c>
      <c r="H590" s="5"/>
      <c r="I590" s="2" t="s">
        <v>42</v>
      </c>
      <c r="J590" s="2" t="s">
        <v>1541</v>
      </c>
      <c r="K590" t="s">
        <v>65</v>
      </c>
      <c r="L590" s="12">
        <f>MIS_Report!$B$2-F590</f>
        <v>41</v>
      </c>
      <c r="M590" t="str" cm="1">
        <f t="array" ref="M590">_xlfn.IFS(L590&lt;=30,"0-30",L590&lt;=60,"31-60",L590&lt;=90,"61-90",TRUE,"90+")</f>
        <v>31-60</v>
      </c>
      <c r="N590">
        <f t="shared" si="19"/>
        <v>5950</v>
      </c>
      <c r="O590" t="str">
        <f>VLOOKUP(K590,Agents!$A$1:$C$11,2,0)</f>
        <v>Deepak Nair</v>
      </c>
      <c r="P590">
        <f t="shared" si="18"/>
        <v>0</v>
      </c>
    </row>
    <row r="591" spans="1:16" x14ac:dyDescent="0.25">
      <c r="A591" s="2" t="s">
        <v>1023</v>
      </c>
      <c r="B591" s="2" t="s">
        <v>987</v>
      </c>
      <c r="C591" s="2" t="s">
        <v>79</v>
      </c>
      <c r="D591" s="2" t="s">
        <v>61</v>
      </c>
      <c r="E591" s="4">
        <v>46147</v>
      </c>
      <c r="F591" s="4">
        <v>46152</v>
      </c>
      <c r="G591" s="5">
        <v>11900</v>
      </c>
      <c r="H591" s="5">
        <v>6691.64</v>
      </c>
      <c r="I591" s="2" t="s">
        <v>37</v>
      </c>
      <c r="J591" s="2" t="s">
        <v>1541</v>
      </c>
      <c r="K591" t="s">
        <v>38</v>
      </c>
      <c r="L591" s="12">
        <f>MIS_Report!$B$2-F591</f>
        <v>158</v>
      </c>
      <c r="M591" t="str" cm="1">
        <f t="array" ref="M591">_xlfn.IFS(L591&lt;=30,"0-30",L591&lt;=60,"31-60",L591&lt;=90,"61-90",TRUE,"90+")</f>
        <v>90+</v>
      </c>
      <c r="N591">
        <f t="shared" si="19"/>
        <v>0</v>
      </c>
      <c r="O591" t="str">
        <f>VLOOKUP(K591,Agents!$A$1:$C$11,2,0)</f>
        <v>Sunita Rao</v>
      </c>
      <c r="P591">
        <f t="shared" si="18"/>
        <v>0</v>
      </c>
    </row>
    <row r="592" spans="1:16" x14ac:dyDescent="0.25">
      <c r="A592" s="2" t="s">
        <v>1024</v>
      </c>
      <c r="B592" s="2" t="s">
        <v>707</v>
      </c>
      <c r="C592" s="2" t="s">
        <v>79</v>
      </c>
      <c r="D592" s="2" t="s">
        <v>80</v>
      </c>
      <c r="E592" s="4">
        <v>46034</v>
      </c>
      <c r="F592" s="4">
        <v>46043</v>
      </c>
      <c r="G592" s="5">
        <v>6375</v>
      </c>
      <c r="H592" s="5"/>
      <c r="I592" s="2" t="s">
        <v>42</v>
      </c>
      <c r="J592" s="2" t="s">
        <v>1541</v>
      </c>
      <c r="K592" t="s">
        <v>33</v>
      </c>
      <c r="L592" s="12">
        <f>MIS_Report!$B$2-F592</f>
        <v>267</v>
      </c>
      <c r="M592" t="str" cm="1">
        <f t="array" ref="M592">_xlfn.IFS(L592&lt;=30,"0-30",L592&lt;=60,"31-60",L592&lt;=90,"61-90",TRUE,"90+")</f>
        <v>90+</v>
      </c>
      <c r="N592">
        <f t="shared" si="19"/>
        <v>6375</v>
      </c>
      <c r="O592" t="str">
        <f>VLOOKUP(K592,Agents!$A$1:$C$11,2,0)</f>
        <v>Manish Arora</v>
      </c>
      <c r="P592">
        <f t="shared" si="18"/>
        <v>0</v>
      </c>
    </row>
    <row r="593" spans="1:16" x14ac:dyDescent="0.25">
      <c r="A593" s="2" t="s">
        <v>1025</v>
      </c>
      <c r="B593" s="2" t="s">
        <v>1026</v>
      </c>
      <c r="C593" s="2" t="s">
        <v>79</v>
      </c>
      <c r="D593" s="2" t="s">
        <v>80</v>
      </c>
      <c r="E593" s="4">
        <v>46021</v>
      </c>
      <c r="F593" s="4">
        <v>46028</v>
      </c>
      <c r="G593" s="5">
        <v>1200</v>
      </c>
      <c r="H593" s="5">
        <v>934.59</v>
      </c>
      <c r="I593" s="2" t="s">
        <v>37</v>
      </c>
      <c r="J593" s="2" t="s">
        <v>1541</v>
      </c>
      <c r="K593" t="s">
        <v>48</v>
      </c>
      <c r="L593" s="12">
        <f>MIS_Report!$B$2-F593</f>
        <v>282</v>
      </c>
      <c r="M593" t="str" cm="1">
        <f t="array" ref="M593">_xlfn.IFS(L593&lt;=30,"0-30",L593&lt;=60,"31-60",L593&lt;=90,"61-90",TRUE,"90+")</f>
        <v>90+</v>
      </c>
      <c r="N593">
        <f t="shared" si="19"/>
        <v>0</v>
      </c>
      <c r="O593" t="str">
        <f>VLOOKUP(K593,Agents!$A$1:$C$11,2,0)</f>
        <v>Manish Arora</v>
      </c>
      <c r="P593">
        <f t="shared" si="18"/>
        <v>0</v>
      </c>
    </row>
    <row r="594" spans="1:16" x14ac:dyDescent="0.25">
      <c r="A594" s="2" t="s">
        <v>1027</v>
      </c>
      <c r="B594" s="2" t="s">
        <v>634</v>
      </c>
      <c r="C594" s="2" t="s">
        <v>29</v>
      </c>
      <c r="D594" s="2" t="s">
        <v>61</v>
      </c>
      <c r="E594" s="4">
        <v>46027</v>
      </c>
      <c r="F594" s="4">
        <v>46031</v>
      </c>
      <c r="G594" s="5">
        <v>975</v>
      </c>
      <c r="H594" s="5"/>
      <c r="I594" s="2" t="s">
        <v>42</v>
      </c>
      <c r="J594" s="2" t="s">
        <v>1541</v>
      </c>
      <c r="K594" t="s">
        <v>52</v>
      </c>
      <c r="L594" s="12">
        <f>MIS_Report!$B$2-F594</f>
        <v>279</v>
      </c>
      <c r="M594" t="str" cm="1">
        <f t="array" ref="M594">_xlfn.IFS(L594&lt;=30,"0-30",L594&lt;=60,"31-60",L594&lt;=90,"61-90",TRUE,"90+")</f>
        <v>90+</v>
      </c>
      <c r="N594">
        <f t="shared" si="19"/>
        <v>975</v>
      </c>
      <c r="O594" t="str">
        <f>VLOOKUP(K594,Agents!$A$1:$C$11,2,0)</f>
        <v>Sunita Rao</v>
      </c>
      <c r="P594">
        <f t="shared" si="18"/>
        <v>0</v>
      </c>
    </row>
    <row r="595" spans="1:16" x14ac:dyDescent="0.25">
      <c r="A595" s="2" t="s">
        <v>1028</v>
      </c>
      <c r="B595" s="2" t="s">
        <v>214</v>
      </c>
      <c r="C595" s="2" t="s">
        <v>29</v>
      </c>
      <c r="D595" s="2" t="s">
        <v>61</v>
      </c>
      <c r="E595" s="4">
        <v>46195</v>
      </c>
      <c r="F595" s="4">
        <v>46202</v>
      </c>
      <c r="G595" s="5">
        <v>650</v>
      </c>
      <c r="H595" s="5"/>
      <c r="I595" s="2" t="s">
        <v>42</v>
      </c>
      <c r="J595" s="2" t="s">
        <v>1541</v>
      </c>
      <c r="K595" t="s">
        <v>33</v>
      </c>
      <c r="L595" s="12">
        <f>MIS_Report!$B$2-F595</f>
        <v>108</v>
      </c>
      <c r="M595" t="str" cm="1">
        <f t="array" ref="M595">_xlfn.IFS(L595&lt;=30,"0-30",L595&lt;=60,"31-60",L595&lt;=90,"61-90",TRUE,"90+")</f>
        <v>90+</v>
      </c>
      <c r="N595">
        <f t="shared" si="19"/>
        <v>650</v>
      </c>
      <c r="O595" t="str">
        <f>VLOOKUP(K595,Agents!$A$1:$C$11,2,0)</f>
        <v>Manish Arora</v>
      </c>
      <c r="P595">
        <f t="shared" si="18"/>
        <v>0</v>
      </c>
    </row>
    <row r="596" spans="1:16" x14ac:dyDescent="0.25">
      <c r="A596" s="2" t="s">
        <v>1029</v>
      </c>
      <c r="B596" s="2" t="s">
        <v>1030</v>
      </c>
      <c r="C596" s="2" t="s">
        <v>46</v>
      </c>
      <c r="D596" s="2" t="s">
        <v>68</v>
      </c>
      <c r="E596" s="4">
        <v>46188</v>
      </c>
      <c r="F596" s="4">
        <v>46194</v>
      </c>
      <c r="G596" s="5">
        <v>7975</v>
      </c>
      <c r="H596" s="5">
        <v>5269.83</v>
      </c>
      <c r="I596" s="2" t="s">
        <v>37</v>
      </c>
      <c r="J596" s="2" t="s">
        <v>1541</v>
      </c>
      <c r="K596" t="s">
        <v>52</v>
      </c>
      <c r="L596" s="12">
        <f>MIS_Report!$B$2-F596</f>
        <v>116</v>
      </c>
      <c r="M596" t="str" cm="1">
        <f t="array" ref="M596">_xlfn.IFS(L596&lt;=30,"0-30",L596&lt;=60,"31-60",L596&lt;=90,"61-90",TRUE,"90+")</f>
        <v>90+</v>
      </c>
      <c r="N596">
        <f t="shared" si="19"/>
        <v>0</v>
      </c>
      <c r="O596" t="str">
        <f>VLOOKUP(K596,Agents!$A$1:$C$11,2,0)</f>
        <v>Sunita Rao</v>
      </c>
      <c r="P596">
        <f t="shared" si="18"/>
        <v>0</v>
      </c>
    </row>
    <row r="597" spans="1:16" x14ac:dyDescent="0.25">
      <c r="A597" s="2" t="s">
        <v>1031</v>
      </c>
      <c r="B597" s="2" t="s">
        <v>1032</v>
      </c>
      <c r="C597" s="2" t="s">
        <v>79</v>
      </c>
      <c r="D597" s="2" t="s">
        <v>71</v>
      </c>
      <c r="E597" s="4">
        <v>46047</v>
      </c>
      <c r="F597" s="4">
        <v>46057</v>
      </c>
      <c r="G597" s="5">
        <v>13800</v>
      </c>
      <c r="H597" s="5">
        <v>10610.82</v>
      </c>
      <c r="I597" s="2" t="s">
        <v>37</v>
      </c>
      <c r="J597" s="2" t="s">
        <v>1541</v>
      </c>
      <c r="K597" t="s">
        <v>83</v>
      </c>
      <c r="L597" s="12">
        <f>MIS_Report!$B$2-F597</f>
        <v>253</v>
      </c>
      <c r="M597" t="str" cm="1">
        <f t="array" ref="M597">_xlfn.IFS(L597&lt;=30,"0-30",L597&lt;=60,"31-60",L597&lt;=90,"61-90",TRUE,"90+")</f>
        <v>90+</v>
      </c>
      <c r="N597">
        <f t="shared" si="19"/>
        <v>0</v>
      </c>
      <c r="O597" t="str">
        <f>VLOOKUP(K597,Agents!$A$1:$C$11,2,0)</f>
        <v>Deepak Nair</v>
      </c>
      <c r="P597">
        <f t="shared" si="18"/>
        <v>0</v>
      </c>
    </row>
    <row r="598" spans="1:16" x14ac:dyDescent="0.25">
      <c r="A598" s="2" t="s">
        <v>1033</v>
      </c>
      <c r="B598" s="2" t="s">
        <v>1034</v>
      </c>
      <c r="C598" s="2" t="s">
        <v>46</v>
      </c>
      <c r="D598" s="2" t="s">
        <v>68</v>
      </c>
      <c r="E598" s="4">
        <v>46142</v>
      </c>
      <c r="F598" s="4">
        <v>46146</v>
      </c>
      <c r="G598" s="5">
        <v>675</v>
      </c>
      <c r="H598" s="5">
        <v>434.39</v>
      </c>
      <c r="I598" s="2" t="s">
        <v>37</v>
      </c>
      <c r="J598" s="2" t="s">
        <v>1541</v>
      </c>
      <c r="K598" t="s">
        <v>56</v>
      </c>
      <c r="L598" s="12">
        <f>MIS_Report!$B$2-F598</f>
        <v>164</v>
      </c>
      <c r="M598" t="str" cm="1">
        <f t="array" ref="M598">_xlfn.IFS(L598&lt;=30,"0-30",L598&lt;=60,"31-60",L598&lt;=90,"61-90",TRUE,"90+")</f>
        <v>90+</v>
      </c>
      <c r="N598">
        <f t="shared" si="19"/>
        <v>0</v>
      </c>
      <c r="O598" t="str">
        <f>VLOOKUP(K598,Agents!$A$1:$C$11,2,0)</f>
        <v>Manish Arora</v>
      </c>
      <c r="P598">
        <f t="shared" si="18"/>
        <v>0</v>
      </c>
    </row>
    <row r="599" spans="1:16" x14ac:dyDescent="0.25">
      <c r="A599" s="2" t="s">
        <v>1035</v>
      </c>
      <c r="B599" s="2" t="s">
        <v>1036</v>
      </c>
      <c r="C599" s="2" t="s">
        <v>36</v>
      </c>
      <c r="D599" s="2" t="s">
        <v>55</v>
      </c>
      <c r="E599" s="4">
        <v>46162</v>
      </c>
      <c r="F599" s="4">
        <v>46175</v>
      </c>
      <c r="G599" s="5">
        <v>14100</v>
      </c>
      <c r="H599" s="5">
        <v>13523.02</v>
      </c>
      <c r="I599" s="2" t="s">
        <v>37</v>
      </c>
      <c r="J599" s="2" t="s">
        <v>1541</v>
      </c>
      <c r="K599" t="s">
        <v>43</v>
      </c>
      <c r="L599" s="12">
        <f>MIS_Report!$B$2-F599</f>
        <v>135</v>
      </c>
      <c r="M599" t="str" cm="1">
        <f t="array" ref="M599">_xlfn.IFS(L599&lt;=30,"0-30",L599&lt;=60,"31-60",L599&lt;=90,"61-90",TRUE,"90+")</f>
        <v>90+</v>
      </c>
      <c r="N599">
        <f t="shared" si="19"/>
        <v>0</v>
      </c>
      <c r="O599" t="str">
        <f>VLOOKUP(K599,Agents!$A$1:$C$11,2,0)</f>
        <v>Manish Arora</v>
      </c>
      <c r="P599">
        <f t="shared" si="18"/>
        <v>0</v>
      </c>
    </row>
    <row r="600" spans="1:16" x14ac:dyDescent="0.25">
      <c r="A600" s="2" t="s">
        <v>1037</v>
      </c>
      <c r="B600" s="2" t="s">
        <v>201</v>
      </c>
      <c r="C600" s="2" t="s">
        <v>29</v>
      </c>
      <c r="D600" s="2" t="s">
        <v>80</v>
      </c>
      <c r="E600" s="4">
        <v>46098</v>
      </c>
      <c r="F600" s="4">
        <v>46112</v>
      </c>
      <c r="G600" s="5">
        <v>8500</v>
      </c>
      <c r="H600" s="5">
        <v>7099.71</v>
      </c>
      <c r="I600" s="2" t="s">
        <v>37</v>
      </c>
      <c r="J600" s="2" t="s">
        <v>1541</v>
      </c>
      <c r="K600" t="s">
        <v>65</v>
      </c>
      <c r="L600" s="12">
        <f>MIS_Report!$B$2-F600</f>
        <v>198</v>
      </c>
      <c r="M600" t="str" cm="1">
        <f t="array" ref="M600">_xlfn.IFS(L600&lt;=30,"0-30",L600&lt;=60,"31-60",L600&lt;=90,"61-90",TRUE,"90+")</f>
        <v>90+</v>
      </c>
      <c r="N600">
        <f t="shared" si="19"/>
        <v>0</v>
      </c>
      <c r="O600" t="str">
        <f>VLOOKUP(K600,Agents!$A$1:$C$11,2,0)</f>
        <v>Deepak Nair</v>
      </c>
      <c r="P600">
        <f t="shared" si="18"/>
        <v>0</v>
      </c>
    </row>
    <row r="601" spans="1:16" x14ac:dyDescent="0.25">
      <c r="A601" s="2" t="s">
        <v>1038</v>
      </c>
      <c r="B601" s="2" t="s">
        <v>276</v>
      </c>
      <c r="C601" s="2" t="s">
        <v>29</v>
      </c>
      <c r="D601" s="2" t="s">
        <v>71</v>
      </c>
      <c r="E601" s="4">
        <v>46086</v>
      </c>
      <c r="F601" s="4">
        <v>46090</v>
      </c>
      <c r="G601" s="5">
        <v>7025</v>
      </c>
      <c r="H601" s="5">
        <v>0</v>
      </c>
      <c r="I601" s="2" t="s">
        <v>31</v>
      </c>
      <c r="J601" s="2" t="s">
        <v>116</v>
      </c>
      <c r="K601" t="s">
        <v>109</v>
      </c>
      <c r="L601" s="12">
        <f>MIS_Report!$B$2-F601</f>
        <v>220</v>
      </c>
      <c r="M601" t="str" cm="1">
        <f t="array" ref="M601">_xlfn.IFS(L601&lt;=30,"0-30",L601&lt;=60,"31-60",L601&lt;=90,"61-90",TRUE,"90+")</f>
        <v>90+</v>
      </c>
      <c r="N601">
        <f t="shared" si="19"/>
        <v>0</v>
      </c>
      <c r="O601" t="str">
        <f>VLOOKUP(K601,Agents!$A$1:$C$11,2,0)</f>
        <v>Deepak Nair</v>
      </c>
      <c r="P601">
        <f t="shared" si="18"/>
        <v>7025</v>
      </c>
    </row>
    <row r="602" spans="1:16" x14ac:dyDescent="0.25">
      <c r="A602" s="2" t="s">
        <v>1039</v>
      </c>
      <c r="B602" s="2" t="s">
        <v>1040</v>
      </c>
      <c r="C602" s="2" t="s">
        <v>29</v>
      </c>
      <c r="D602" s="2" t="s">
        <v>55</v>
      </c>
      <c r="E602" s="4">
        <v>46068</v>
      </c>
      <c r="F602" s="4">
        <v>46087</v>
      </c>
      <c r="G602" s="5">
        <v>9950</v>
      </c>
      <c r="H602" s="5"/>
      <c r="I602" s="2" t="s">
        <v>42</v>
      </c>
      <c r="J602" s="2" t="s">
        <v>1541</v>
      </c>
      <c r="K602" t="s">
        <v>62</v>
      </c>
      <c r="L602" s="12">
        <f>MIS_Report!$B$2-F602</f>
        <v>223</v>
      </c>
      <c r="M602" t="str" cm="1">
        <f t="array" ref="M602">_xlfn.IFS(L602&lt;=30,"0-30",L602&lt;=60,"31-60",L602&lt;=90,"61-90",TRUE,"90+")</f>
        <v>90+</v>
      </c>
      <c r="N602">
        <f t="shared" si="19"/>
        <v>9950</v>
      </c>
      <c r="O602" t="str">
        <f>VLOOKUP(K602,Agents!$A$1:$C$11,2,0)</f>
        <v>Sunita Rao</v>
      </c>
      <c r="P602">
        <f t="shared" si="18"/>
        <v>0</v>
      </c>
    </row>
    <row r="603" spans="1:16" x14ac:dyDescent="0.25">
      <c r="A603" s="2" t="s">
        <v>1041</v>
      </c>
      <c r="B603" s="2" t="s">
        <v>1042</v>
      </c>
      <c r="C603" s="2" t="s">
        <v>46</v>
      </c>
      <c r="D603" s="2" t="s">
        <v>80</v>
      </c>
      <c r="E603" s="4">
        <v>46289</v>
      </c>
      <c r="F603" s="4">
        <v>46294</v>
      </c>
      <c r="G603" s="5">
        <v>7000</v>
      </c>
      <c r="H603" s="5"/>
      <c r="I603" s="2" t="s">
        <v>42</v>
      </c>
      <c r="J603" s="2" t="s">
        <v>1541</v>
      </c>
      <c r="K603" t="s">
        <v>43</v>
      </c>
      <c r="L603" s="12">
        <f>MIS_Report!$B$2-F603</f>
        <v>16</v>
      </c>
      <c r="M603" t="str" cm="1">
        <f t="array" ref="M603">_xlfn.IFS(L603&lt;=30,"0-30",L603&lt;=60,"31-60",L603&lt;=90,"61-90",TRUE,"90+")</f>
        <v>0-30</v>
      </c>
      <c r="N603">
        <f t="shared" si="19"/>
        <v>7000</v>
      </c>
      <c r="O603" t="str">
        <f>VLOOKUP(K603,Agents!$A$1:$C$11,2,0)</f>
        <v>Manish Arora</v>
      </c>
      <c r="P603">
        <f t="shared" si="18"/>
        <v>0</v>
      </c>
    </row>
    <row r="604" spans="1:16" x14ac:dyDescent="0.25">
      <c r="A604" s="2" t="s">
        <v>1043</v>
      </c>
      <c r="B604" s="2" t="s">
        <v>609</v>
      </c>
      <c r="C604" s="2" t="s">
        <v>29</v>
      </c>
      <c r="D604" s="2" t="s">
        <v>68</v>
      </c>
      <c r="E604" s="4">
        <v>46071</v>
      </c>
      <c r="F604" s="4">
        <v>46089</v>
      </c>
      <c r="G604" s="5">
        <v>9400</v>
      </c>
      <c r="H604" s="5">
        <v>9124.8700000000008</v>
      </c>
      <c r="I604" s="2" t="s">
        <v>37</v>
      </c>
      <c r="J604" s="2" t="s">
        <v>1541</v>
      </c>
      <c r="K604" t="s">
        <v>52</v>
      </c>
      <c r="L604" s="12">
        <f>MIS_Report!$B$2-F604</f>
        <v>221</v>
      </c>
      <c r="M604" t="str" cm="1">
        <f t="array" ref="M604">_xlfn.IFS(L604&lt;=30,"0-30",L604&lt;=60,"31-60",L604&lt;=90,"61-90",TRUE,"90+")</f>
        <v>90+</v>
      </c>
      <c r="N604">
        <f t="shared" si="19"/>
        <v>0</v>
      </c>
      <c r="O604" t="str">
        <f>VLOOKUP(K604,Agents!$A$1:$C$11,2,0)</f>
        <v>Sunita Rao</v>
      </c>
      <c r="P604">
        <f t="shared" si="18"/>
        <v>0</v>
      </c>
    </row>
    <row r="605" spans="1:16" x14ac:dyDescent="0.25">
      <c r="A605" s="2" t="s">
        <v>1044</v>
      </c>
      <c r="B605" s="2" t="s">
        <v>751</v>
      </c>
      <c r="C605" s="2" t="s">
        <v>46</v>
      </c>
      <c r="D605" s="2" t="s">
        <v>41</v>
      </c>
      <c r="E605" s="4">
        <v>46200</v>
      </c>
      <c r="F605" s="4">
        <v>46210</v>
      </c>
      <c r="G605" s="5">
        <v>2025</v>
      </c>
      <c r="H605" s="5"/>
      <c r="I605" s="2" t="s">
        <v>42</v>
      </c>
      <c r="J605" s="2" t="s">
        <v>1541</v>
      </c>
      <c r="K605" t="s">
        <v>56</v>
      </c>
      <c r="L605" s="12">
        <f>MIS_Report!$B$2-F605</f>
        <v>100</v>
      </c>
      <c r="M605" t="str" cm="1">
        <f t="array" ref="M605">_xlfn.IFS(L605&lt;=30,"0-30",L605&lt;=60,"31-60",L605&lt;=90,"61-90",TRUE,"90+")</f>
        <v>90+</v>
      </c>
      <c r="N605">
        <f t="shared" si="19"/>
        <v>2025</v>
      </c>
      <c r="O605" t="str">
        <f>VLOOKUP(K605,Agents!$A$1:$C$11,2,0)</f>
        <v>Manish Arora</v>
      </c>
      <c r="P605">
        <f t="shared" si="18"/>
        <v>0</v>
      </c>
    </row>
    <row r="606" spans="1:16" x14ac:dyDescent="0.25">
      <c r="A606" s="2" t="s">
        <v>1045</v>
      </c>
      <c r="B606" s="2" t="s">
        <v>659</v>
      </c>
      <c r="C606" s="2" t="s">
        <v>36</v>
      </c>
      <c r="D606" s="2" t="s">
        <v>41</v>
      </c>
      <c r="E606" s="4">
        <v>46055</v>
      </c>
      <c r="F606" s="4">
        <v>46067</v>
      </c>
      <c r="G606" s="5">
        <v>7025</v>
      </c>
      <c r="H606" s="5">
        <v>5249.12</v>
      </c>
      <c r="I606" s="2" t="s">
        <v>37</v>
      </c>
      <c r="J606" s="2" t="s">
        <v>1541</v>
      </c>
      <c r="K606" t="s">
        <v>38</v>
      </c>
      <c r="L606" s="12">
        <f>MIS_Report!$B$2-F606</f>
        <v>243</v>
      </c>
      <c r="M606" t="str" cm="1">
        <f t="array" ref="M606">_xlfn.IFS(L606&lt;=30,"0-30",L606&lt;=60,"31-60",L606&lt;=90,"61-90",TRUE,"90+")</f>
        <v>90+</v>
      </c>
      <c r="N606">
        <f t="shared" si="19"/>
        <v>0</v>
      </c>
      <c r="O606" t="str">
        <f>VLOOKUP(K606,Agents!$A$1:$C$11,2,0)</f>
        <v>Sunita Rao</v>
      </c>
      <c r="P606">
        <f t="shared" si="18"/>
        <v>0</v>
      </c>
    </row>
    <row r="607" spans="1:16" x14ac:dyDescent="0.25">
      <c r="A607" s="2" t="s">
        <v>1046</v>
      </c>
      <c r="B607" s="2" t="s">
        <v>276</v>
      </c>
      <c r="C607" s="2" t="s">
        <v>36</v>
      </c>
      <c r="D607" s="2" t="s">
        <v>61</v>
      </c>
      <c r="E607" s="4">
        <v>46200</v>
      </c>
      <c r="F607" s="4">
        <v>46217</v>
      </c>
      <c r="G607" s="5">
        <v>8425</v>
      </c>
      <c r="H607" s="5">
        <v>0</v>
      </c>
      <c r="I607" s="2" t="s">
        <v>31</v>
      </c>
      <c r="J607" s="2" t="s">
        <v>32</v>
      </c>
      <c r="K607" t="s">
        <v>65</v>
      </c>
      <c r="L607" s="12">
        <f>MIS_Report!$B$2-F607</f>
        <v>93</v>
      </c>
      <c r="M607" t="str" cm="1">
        <f t="array" ref="M607">_xlfn.IFS(L607&lt;=30,"0-30",L607&lt;=60,"31-60",L607&lt;=90,"61-90",TRUE,"90+")</f>
        <v>90+</v>
      </c>
      <c r="N607">
        <f t="shared" si="19"/>
        <v>0</v>
      </c>
      <c r="O607" t="str">
        <f>VLOOKUP(K607,Agents!$A$1:$C$11,2,0)</f>
        <v>Deepak Nair</v>
      </c>
      <c r="P607">
        <f t="shared" si="18"/>
        <v>8425</v>
      </c>
    </row>
    <row r="608" spans="1:16" x14ac:dyDescent="0.25">
      <c r="A608" s="2" t="s">
        <v>1047</v>
      </c>
      <c r="B608" s="2" t="s">
        <v>362</v>
      </c>
      <c r="C608" s="2" t="s">
        <v>36</v>
      </c>
      <c r="D608" s="2" t="s">
        <v>94</v>
      </c>
      <c r="E608" s="4">
        <v>46119</v>
      </c>
      <c r="F608" s="4">
        <v>46132</v>
      </c>
      <c r="G608" s="5">
        <v>10500</v>
      </c>
      <c r="H608" s="5">
        <v>7700.5</v>
      </c>
      <c r="I608" s="2" t="s">
        <v>37</v>
      </c>
      <c r="J608" s="2" t="s">
        <v>1541</v>
      </c>
      <c r="K608" t="s">
        <v>33</v>
      </c>
      <c r="L608" s="12">
        <f>MIS_Report!$B$2-F608</f>
        <v>178</v>
      </c>
      <c r="M608" t="str" cm="1">
        <f t="array" ref="M608">_xlfn.IFS(L608&lt;=30,"0-30",L608&lt;=60,"31-60",L608&lt;=90,"61-90",TRUE,"90+")</f>
        <v>90+</v>
      </c>
      <c r="N608">
        <f t="shared" si="19"/>
        <v>0</v>
      </c>
      <c r="O608" t="str">
        <f>VLOOKUP(K608,Agents!$A$1:$C$11,2,0)</f>
        <v>Manish Arora</v>
      </c>
      <c r="P608">
        <f t="shared" si="18"/>
        <v>0</v>
      </c>
    </row>
    <row r="609" spans="1:16" x14ac:dyDescent="0.25">
      <c r="A609" s="2" t="s">
        <v>1048</v>
      </c>
      <c r="B609" s="2" t="s">
        <v>436</v>
      </c>
      <c r="C609" s="2" t="s">
        <v>79</v>
      </c>
      <c r="D609" s="2" t="s">
        <v>61</v>
      </c>
      <c r="E609" s="4">
        <v>46207</v>
      </c>
      <c r="F609" s="4">
        <v>46213</v>
      </c>
      <c r="G609" s="5">
        <v>6525</v>
      </c>
      <c r="H609" s="5"/>
      <c r="I609" s="2" t="s">
        <v>42</v>
      </c>
      <c r="J609" s="2" t="s">
        <v>1541</v>
      </c>
      <c r="K609" t="s">
        <v>48</v>
      </c>
      <c r="L609" s="12">
        <f>MIS_Report!$B$2-F609</f>
        <v>97</v>
      </c>
      <c r="M609" t="str" cm="1">
        <f t="array" ref="M609">_xlfn.IFS(L609&lt;=30,"0-30",L609&lt;=60,"31-60",L609&lt;=90,"61-90",TRUE,"90+")</f>
        <v>90+</v>
      </c>
      <c r="N609">
        <f t="shared" si="19"/>
        <v>6525</v>
      </c>
      <c r="O609" t="str">
        <f>VLOOKUP(K609,Agents!$A$1:$C$11,2,0)</f>
        <v>Manish Arora</v>
      </c>
      <c r="P609">
        <f t="shared" si="18"/>
        <v>0</v>
      </c>
    </row>
    <row r="610" spans="1:16" x14ac:dyDescent="0.25">
      <c r="A610" s="2" t="s">
        <v>1049</v>
      </c>
      <c r="B610" s="2" t="s">
        <v>681</v>
      </c>
      <c r="C610" s="2" t="s">
        <v>29</v>
      </c>
      <c r="D610" s="2" t="s">
        <v>41</v>
      </c>
      <c r="E610" s="4">
        <v>46072</v>
      </c>
      <c r="F610" s="4">
        <v>46088</v>
      </c>
      <c r="G610" s="5">
        <v>4325</v>
      </c>
      <c r="H610" s="5">
        <v>3032.55</v>
      </c>
      <c r="I610" s="2" t="s">
        <v>37</v>
      </c>
      <c r="J610" s="2" t="s">
        <v>1541</v>
      </c>
      <c r="K610" t="s">
        <v>43</v>
      </c>
      <c r="L610" s="12">
        <f>MIS_Report!$B$2-F610</f>
        <v>222</v>
      </c>
      <c r="M610" t="str" cm="1">
        <f t="array" ref="M610">_xlfn.IFS(L610&lt;=30,"0-30",L610&lt;=60,"31-60",L610&lt;=90,"61-90",TRUE,"90+")</f>
        <v>90+</v>
      </c>
      <c r="N610">
        <f t="shared" si="19"/>
        <v>0</v>
      </c>
      <c r="O610" t="str">
        <f>VLOOKUP(K610,Agents!$A$1:$C$11,2,0)</f>
        <v>Manish Arora</v>
      </c>
      <c r="P610">
        <f t="shared" si="18"/>
        <v>0</v>
      </c>
    </row>
    <row r="611" spans="1:16" x14ac:dyDescent="0.25">
      <c r="A611" s="2" t="s">
        <v>1050</v>
      </c>
      <c r="B611" s="2" t="s">
        <v>1051</v>
      </c>
      <c r="C611" s="2" t="s">
        <v>46</v>
      </c>
      <c r="D611" s="2" t="s">
        <v>80</v>
      </c>
      <c r="E611" s="4">
        <v>46222</v>
      </c>
      <c r="F611" s="4">
        <v>46233</v>
      </c>
      <c r="G611" s="5">
        <v>1700</v>
      </c>
      <c r="H611" s="5"/>
      <c r="I611" s="2" t="s">
        <v>42</v>
      </c>
      <c r="J611" s="2" t="s">
        <v>1541</v>
      </c>
      <c r="K611" t="s">
        <v>48</v>
      </c>
      <c r="L611" s="12">
        <f>MIS_Report!$B$2-F611</f>
        <v>77</v>
      </c>
      <c r="M611" t="str" cm="1">
        <f t="array" ref="M611">_xlfn.IFS(L611&lt;=30,"0-30",L611&lt;=60,"31-60",L611&lt;=90,"61-90",TRUE,"90+")</f>
        <v>61-90</v>
      </c>
      <c r="N611">
        <f t="shared" si="19"/>
        <v>1700</v>
      </c>
      <c r="O611" t="str">
        <f>VLOOKUP(K611,Agents!$A$1:$C$11,2,0)</f>
        <v>Manish Arora</v>
      </c>
      <c r="P611">
        <f t="shared" si="18"/>
        <v>0</v>
      </c>
    </row>
    <row r="612" spans="1:16" x14ac:dyDescent="0.25">
      <c r="A612" s="2" t="s">
        <v>1052</v>
      </c>
      <c r="B612" s="2" t="s">
        <v>594</v>
      </c>
      <c r="C612" s="2" t="s">
        <v>46</v>
      </c>
      <c r="D612" s="2" t="s">
        <v>30</v>
      </c>
      <c r="E612" s="4">
        <v>46232</v>
      </c>
      <c r="F612" s="4">
        <v>46244</v>
      </c>
      <c r="G612" s="5">
        <v>13225</v>
      </c>
      <c r="H612" s="5"/>
      <c r="I612" s="2" t="s">
        <v>42</v>
      </c>
      <c r="J612" s="2" t="s">
        <v>1541</v>
      </c>
      <c r="K612" t="s">
        <v>52</v>
      </c>
      <c r="L612" s="12">
        <f>MIS_Report!$B$2-F612</f>
        <v>66</v>
      </c>
      <c r="M612" t="str" cm="1">
        <f t="array" ref="M612">_xlfn.IFS(L612&lt;=30,"0-30",L612&lt;=60,"31-60",L612&lt;=90,"61-90",TRUE,"90+")</f>
        <v>61-90</v>
      </c>
      <c r="N612">
        <f t="shared" si="19"/>
        <v>13225</v>
      </c>
      <c r="O612" t="str">
        <f>VLOOKUP(K612,Agents!$A$1:$C$11,2,0)</f>
        <v>Sunita Rao</v>
      </c>
      <c r="P612">
        <f t="shared" si="18"/>
        <v>0</v>
      </c>
    </row>
    <row r="613" spans="1:16" x14ac:dyDescent="0.25">
      <c r="A613" s="2" t="s">
        <v>1053</v>
      </c>
      <c r="B613" s="2" t="s">
        <v>1054</v>
      </c>
      <c r="C613" s="2" t="s">
        <v>29</v>
      </c>
      <c r="D613" s="2" t="s">
        <v>68</v>
      </c>
      <c r="E613" s="4">
        <v>46134</v>
      </c>
      <c r="F613" s="4">
        <v>46148</v>
      </c>
      <c r="G613" s="5">
        <v>13750</v>
      </c>
      <c r="H613" s="5">
        <v>11031.67</v>
      </c>
      <c r="I613" s="2" t="s">
        <v>37</v>
      </c>
      <c r="J613" s="2" t="s">
        <v>1541</v>
      </c>
      <c r="K613" t="s">
        <v>38</v>
      </c>
      <c r="L613" s="12">
        <f>MIS_Report!$B$2-F613</f>
        <v>162</v>
      </c>
      <c r="M613" t="str" cm="1">
        <f t="array" ref="M613">_xlfn.IFS(L613&lt;=30,"0-30",L613&lt;=60,"31-60",L613&lt;=90,"61-90",TRUE,"90+")</f>
        <v>90+</v>
      </c>
      <c r="N613">
        <f t="shared" si="19"/>
        <v>0</v>
      </c>
      <c r="O613" t="str">
        <f>VLOOKUP(K613,Agents!$A$1:$C$11,2,0)</f>
        <v>Sunita Rao</v>
      </c>
      <c r="P613">
        <f t="shared" si="18"/>
        <v>0</v>
      </c>
    </row>
    <row r="614" spans="1:16" x14ac:dyDescent="0.25">
      <c r="A614" s="2" t="s">
        <v>1055</v>
      </c>
      <c r="B614" s="2" t="s">
        <v>398</v>
      </c>
      <c r="C614" s="2" t="s">
        <v>36</v>
      </c>
      <c r="D614" s="2" t="s">
        <v>41</v>
      </c>
      <c r="E614" s="4">
        <v>46288</v>
      </c>
      <c r="F614" s="4">
        <v>46299</v>
      </c>
      <c r="G614" s="5">
        <v>5625</v>
      </c>
      <c r="H614" s="5"/>
      <c r="I614" s="2" t="s">
        <v>42</v>
      </c>
      <c r="J614" s="2" t="s">
        <v>1541</v>
      </c>
      <c r="K614" t="s">
        <v>109</v>
      </c>
      <c r="L614" s="12">
        <f>MIS_Report!$B$2-F614</f>
        <v>11</v>
      </c>
      <c r="M614" t="str" cm="1">
        <f t="array" ref="M614">_xlfn.IFS(L614&lt;=30,"0-30",L614&lt;=60,"31-60",L614&lt;=90,"61-90",TRUE,"90+")</f>
        <v>0-30</v>
      </c>
      <c r="N614">
        <f t="shared" si="19"/>
        <v>5625</v>
      </c>
      <c r="O614" t="str">
        <f>VLOOKUP(K614,Agents!$A$1:$C$11,2,0)</f>
        <v>Deepak Nair</v>
      </c>
      <c r="P614">
        <f t="shared" si="18"/>
        <v>0</v>
      </c>
    </row>
    <row r="615" spans="1:16" x14ac:dyDescent="0.25">
      <c r="A615" s="2" t="s">
        <v>1056</v>
      </c>
      <c r="B615" s="2" t="s">
        <v>178</v>
      </c>
      <c r="C615" s="2" t="s">
        <v>29</v>
      </c>
      <c r="D615" s="2" t="s">
        <v>94</v>
      </c>
      <c r="E615" s="4">
        <v>46250</v>
      </c>
      <c r="F615" s="4">
        <v>46262</v>
      </c>
      <c r="G615" s="5">
        <v>7150</v>
      </c>
      <c r="H615" s="5"/>
      <c r="I615" s="2" t="s">
        <v>42</v>
      </c>
      <c r="J615" s="2" t="s">
        <v>1541</v>
      </c>
      <c r="K615" t="s">
        <v>52</v>
      </c>
      <c r="L615" s="12">
        <f>MIS_Report!$B$2-F615</f>
        <v>48</v>
      </c>
      <c r="M615" t="str" cm="1">
        <f t="array" ref="M615">_xlfn.IFS(L615&lt;=30,"0-30",L615&lt;=60,"31-60",L615&lt;=90,"61-90",TRUE,"90+")</f>
        <v>31-60</v>
      </c>
      <c r="N615">
        <f t="shared" si="19"/>
        <v>7150</v>
      </c>
      <c r="O615" t="str">
        <f>VLOOKUP(K615,Agents!$A$1:$C$11,2,0)</f>
        <v>Sunita Rao</v>
      </c>
      <c r="P615">
        <f t="shared" si="18"/>
        <v>0</v>
      </c>
    </row>
    <row r="616" spans="1:16" x14ac:dyDescent="0.25">
      <c r="A616" s="2" t="s">
        <v>1057</v>
      </c>
      <c r="B616" s="2" t="s">
        <v>1058</v>
      </c>
      <c r="C616" s="2" t="s">
        <v>46</v>
      </c>
      <c r="D616" s="2" t="s">
        <v>94</v>
      </c>
      <c r="E616" s="4">
        <v>46193</v>
      </c>
      <c r="F616" s="4">
        <v>46198</v>
      </c>
      <c r="G616" s="5">
        <v>8725</v>
      </c>
      <c r="H616" s="5">
        <v>8487.49</v>
      </c>
      <c r="I616" s="2" t="s">
        <v>37</v>
      </c>
      <c r="J616" s="2" t="s">
        <v>1541</v>
      </c>
      <c r="K616" t="s">
        <v>56</v>
      </c>
      <c r="L616" s="12">
        <f>MIS_Report!$B$2-F616</f>
        <v>112</v>
      </c>
      <c r="M616" t="str" cm="1">
        <f t="array" ref="M616">_xlfn.IFS(L616&lt;=30,"0-30",L616&lt;=60,"31-60",L616&lt;=90,"61-90",TRUE,"90+")</f>
        <v>90+</v>
      </c>
      <c r="N616">
        <f t="shared" si="19"/>
        <v>0</v>
      </c>
      <c r="O616" t="str">
        <f>VLOOKUP(K616,Agents!$A$1:$C$11,2,0)</f>
        <v>Manish Arora</v>
      </c>
      <c r="P616">
        <f t="shared" si="18"/>
        <v>0</v>
      </c>
    </row>
    <row r="617" spans="1:16" x14ac:dyDescent="0.25">
      <c r="A617" s="2" t="s">
        <v>1059</v>
      </c>
      <c r="B617" s="2" t="s">
        <v>647</v>
      </c>
      <c r="C617" s="2" t="s">
        <v>79</v>
      </c>
      <c r="D617" s="2" t="s">
        <v>94</v>
      </c>
      <c r="E617" s="4">
        <v>46054</v>
      </c>
      <c r="F617" s="4">
        <v>46063</v>
      </c>
      <c r="G617" s="5">
        <v>13800</v>
      </c>
      <c r="H617" s="5">
        <v>13264.04</v>
      </c>
      <c r="I617" s="2" t="s">
        <v>37</v>
      </c>
      <c r="J617" s="2" t="s">
        <v>1541</v>
      </c>
      <c r="K617" t="s">
        <v>33</v>
      </c>
      <c r="L617" s="12">
        <f>MIS_Report!$B$2-F617</f>
        <v>247</v>
      </c>
      <c r="M617" t="str" cm="1">
        <f t="array" ref="M617">_xlfn.IFS(L617&lt;=30,"0-30",L617&lt;=60,"31-60",L617&lt;=90,"61-90",TRUE,"90+")</f>
        <v>90+</v>
      </c>
      <c r="N617">
        <f t="shared" si="19"/>
        <v>0</v>
      </c>
      <c r="O617" t="str">
        <f>VLOOKUP(K617,Agents!$A$1:$C$11,2,0)</f>
        <v>Manish Arora</v>
      </c>
      <c r="P617">
        <f t="shared" si="18"/>
        <v>0</v>
      </c>
    </row>
    <row r="618" spans="1:16" x14ac:dyDescent="0.25">
      <c r="A618" s="2" t="s">
        <v>1060</v>
      </c>
      <c r="B618" s="2" t="s">
        <v>1058</v>
      </c>
      <c r="C618" s="2" t="s">
        <v>36</v>
      </c>
      <c r="D618" s="2" t="s">
        <v>71</v>
      </c>
      <c r="E618" s="4">
        <v>46163</v>
      </c>
      <c r="F618" s="4">
        <v>46173</v>
      </c>
      <c r="G618" s="5">
        <v>9650</v>
      </c>
      <c r="H618" s="5">
        <v>5433.67</v>
      </c>
      <c r="I618" s="2" t="s">
        <v>37</v>
      </c>
      <c r="J618" s="2" t="s">
        <v>1541</v>
      </c>
      <c r="K618" t="s">
        <v>38</v>
      </c>
      <c r="L618" s="12">
        <f>MIS_Report!$B$2-F618</f>
        <v>137</v>
      </c>
      <c r="M618" t="str" cm="1">
        <f t="array" ref="M618">_xlfn.IFS(L618&lt;=30,"0-30",L618&lt;=60,"31-60",L618&lt;=90,"61-90",TRUE,"90+")</f>
        <v>90+</v>
      </c>
      <c r="N618">
        <f t="shared" si="19"/>
        <v>0</v>
      </c>
      <c r="O618" t="str">
        <f>VLOOKUP(K618,Agents!$A$1:$C$11,2,0)</f>
        <v>Sunita Rao</v>
      </c>
      <c r="P618">
        <f t="shared" si="18"/>
        <v>0</v>
      </c>
    </row>
    <row r="619" spans="1:16" x14ac:dyDescent="0.25">
      <c r="A619" s="2" t="s">
        <v>1061</v>
      </c>
      <c r="B619" s="2" t="s">
        <v>318</v>
      </c>
      <c r="C619" s="2" t="s">
        <v>46</v>
      </c>
      <c r="D619" s="2" t="s">
        <v>94</v>
      </c>
      <c r="E619" s="4">
        <v>46145</v>
      </c>
      <c r="F619" s="4">
        <v>46165</v>
      </c>
      <c r="G619" s="5">
        <v>3475</v>
      </c>
      <c r="H619" s="5">
        <v>2520.79</v>
      </c>
      <c r="I619" s="2" t="s">
        <v>37</v>
      </c>
      <c r="J619" s="2" t="s">
        <v>1541</v>
      </c>
      <c r="K619" t="s">
        <v>52</v>
      </c>
      <c r="L619" s="12">
        <f>MIS_Report!$B$2-F619</f>
        <v>145</v>
      </c>
      <c r="M619" t="str" cm="1">
        <f t="array" ref="M619">_xlfn.IFS(L619&lt;=30,"0-30",L619&lt;=60,"31-60",L619&lt;=90,"61-90",TRUE,"90+")</f>
        <v>90+</v>
      </c>
      <c r="N619">
        <f t="shared" si="19"/>
        <v>0</v>
      </c>
      <c r="O619" t="str">
        <f>VLOOKUP(K619,Agents!$A$1:$C$11,2,0)</f>
        <v>Sunita Rao</v>
      </c>
      <c r="P619">
        <f t="shared" si="18"/>
        <v>0</v>
      </c>
    </row>
    <row r="620" spans="1:16" x14ac:dyDescent="0.25">
      <c r="A620" s="2" t="s">
        <v>1062</v>
      </c>
      <c r="B620" s="2" t="s">
        <v>187</v>
      </c>
      <c r="C620" s="2" t="s">
        <v>79</v>
      </c>
      <c r="D620" s="2" t="s">
        <v>80</v>
      </c>
      <c r="E620" s="4">
        <v>46049</v>
      </c>
      <c r="F620" s="4">
        <v>46067</v>
      </c>
      <c r="G620" s="5">
        <v>3275</v>
      </c>
      <c r="H620" s="5"/>
      <c r="I620" s="2" t="s">
        <v>42</v>
      </c>
      <c r="J620" s="2" t="s">
        <v>1541</v>
      </c>
      <c r="K620" t="s">
        <v>43</v>
      </c>
      <c r="L620" s="12">
        <f>MIS_Report!$B$2-F620</f>
        <v>243</v>
      </c>
      <c r="M620" t="str" cm="1">
        <f t="array" ref="M620">_xlfn.IFS(L620&lt;=30,"0-30",L620&lt;=60,"31-60",L620&lt;=90,"61-90",TRUE,"90+")</f>
        <v>90+</v>
      </c>
      <c r="N620">
        <f t="shared" si="19"/>
        <v>3275</v>
      </c>
      <c r="O620" t="str">
        <f>VLOOKUP(K620,Agents!$A$1:$C$11,2,0)</f>
        <v>Manish Arora</v>
      </c>
      <c r="P620">
        <f t="shared" si="18"/>
        <v>0</v>
      </c>
    </row>
    <row r="621" spans="1:16" x14ac:dyDescent="0.25">
      <c r="A621" s="2" t="s">
        <v>1063</v>
      </c>
      <c r="B621" s="2" t="s">
        <v>239</v>
      </c>
      <c r="C621" s="2" t="s">
        <v>36</v>
      </c>
      <c r="D621" s="2" t="s">
        <v>80</v>
      </c>
      <c r="E621" s="4">
        <v>46280</v>
      </c>
      <c r="F621" s="4">
        <v>46284</v>
      </c>
      <c r="G621" s="5">
        <v>725</v>
      </c>
      <c r="H621" s="5"/>
      <c r="I621" s="2" t="s">
        <v>42</v>
      </c>
      <c r="J621" s="2" t="s">
        <v>1541</v>
      </c>
      <c r="K621" t="s">
        <v>65</v>
      </c>
      <c r="L621" s="12">
        <f>MIS_Report!$B$2-F621</f>
        <v>26</v>
      </c>
      <c r="M621" t="str" cm="1">
        <f t="array" ref="M621">_xlfn.IFS(L621&lt;=30,"0-30",L621&lt;=60,"31-60",L621&lt;=90,"61-90",TRUE,"90+")</f>
        <v>0-30</v>
      </c>
      <c r="N621">
        <f t="shared" si="19"/>
        <v>725</v>
      </c>
      <c r="O621" t="str">
        <f>VLOOKUP(K621,Agents!$A$1:$C$11,2,0)</f>
        <v>Deepak Nair</v>
      </c>
      <c r="P621">
        <f t="shared" si="18"/>
        <v>0</v>
      </c>
    </row>
    <row r="622" spans="1:16" x14ac:dyDescent="0.25">
      <c r="A622" s="2" t="s">
        <v>1064</v>
      </c>
      <c r="B622" s="2" t="s">
        <v>1065</v>
      </c>
      <c r="C622" s="2" t="s">
        <v>36</v>
      </c>
      <c r="D622" s="2" t="s">
        <v>41</v>
      </c>
      <c r="E622" s="4">
        <v>46080</v>
      </c>
      <c r="F622" s="4">
        <v>46084</v>
      </c>
      <c r="G622" s="5">
        <v>9125</v>
      </c>
      <c r="H622" s="5">
        <v>7221.98</v>
      </c>
      <c r="I622" s="2" t="s">
        <v>37</v>
      </c>
      <c r="J622" s="2" t="s">
        <v>1541</v>
      </c>
      <c r="K622" t="s">
        <v>43</v>
      </c>
      <c r="L622" s="12">
        <f>MIS_Report!$B$2-F622</f>
        <v>226</v>
      </c>
      <c r="M622" t="str" cm="1">
        <f t="array" ref="M622">_xlfn.IFS(L622&lt;=30,"0-30",L622&lt;=60,"31-60",L622&lt;=90,"61-90",TRUE,"90+")</f>
        <v>90+</v>
      </c>
      <c r="N622">
        <f t="shared" si="19"/>
        <v>0</v>
      </c>
      <c r="O622" t="str">
        <f>VLOOKUP(K622,Agents!$A$1:$C$11,2,0)</f>
        <v>Manish Arora</v>
      </c>
      <c r="P622">
        <f t="shared" si="18"/>
        <v>0</v>
      </c>
    </row>
    <row r="623" spans="1:16" x14ac:dyDescent="0.25">
      <c r="A623" s="2" t="s">
        <v>1066</v>
      </c>
      <c r="B623" s="2" t="s">
        <v>991</v>
      </c>
      <c r="C623" s="2" t="s">
        <v>29</v>
      </c>
      <c r="D623" s="2" t="s">
        <v>71</v>
      </c>
      <c r="E623" s="4">
        <v>46072</v>
      </c>
      <c r="F623" s="4">
        <v>46092</v>
      </c>
      <c r="G623" s="5">
        <v>5450</v>
      </c>
      <c r="H623" s="5">
        <v>4820.99</v>
      </c>
      <c r="I623" s="2" t="s">
        <v>37</v>
      </c>
      <c r="J623" s="2" t="s">
        <v>1541</v>
      </c>
      <c r="K623" t="s">
        <v>83</v>
      </c>
      <c r="L623" s="12">
        <f>MIS_Report!$B$2-F623</f>
        <v>218</v>
      </c>
      <c r="M623" t="str" cm="1">
        <f t="array" ref="M623">_xlfn.IFS(L623&lt;=30,"0-30",L623&lt;=60,"31-60",L623&lt;=90,"61-90",TRUE,"90+")</f>
        <v>90+</v>
      </c>
      <c r="N623">
        <f t="shared" si="19"/>
        <v>0</v>
      </c>
      <c r="O623" t="str">
        <f>VLOOKUP(K623,Agents!$A$1:$C$11,2,0)</f>
        <v>Deepak Nair</v>
      </c>
      <c r="P623">
        <f t="shared" si="18"/>
        <v>0</v>
      </c>
    </row>
    <row r="624" spans="1:16" x14ac:dyDescent="0.25">
      <c r="A624" s="2" t="s">
        <v>1067</v>
      </c>
      <c r="B624" s="2" t="s">
        <v>1068</v>
      </c>
      <c r="C624" s="2" t="s">
        <v>36</v>
      </c>
      <c r="D624" s="2" t="s">
        <v>71</v>
      </c>
      <c r="E624" s="4">
        <v>46180</v>
      </c>
      <c r="F624" s="4">
        <v>46185</v>
      </c>
      <c r="G624" s="5">
        <v>14625</v>
      </c>
      <c r="H624" s="5"/>
      <c r="I624" s="2" t="s">
        <v>42</v>
      </c>
      <c r="J624" s="2" t="s">
        <v>1541</v>
      </c>
      <c r="K624" t="s">
        <v>109</v>
      </c>
      <c r="L624" s="12">
        <f>MIS_Report!$B$2-F624</f>
        <v>125</v>
      </c>
      <c r="M624" t="str" cm="1">
        <f t="array" ref="M624">_xlfn.IFS(L624&lt;=30,"0-30",L624&lt;=60,"31-60",L624&lt;=90,"61-90",TRUE,"90+")</f>
        <v>90+</v>
      </c>
      <c r="N624">
        <f t="shared" si="19"/>
        <v>14625</v>
      </c>
      <c r="O624" t="str">
        <f>VLOOKUP(K624,Agents!$A$1:$C$11,2,0)</f>
        <v>Deepak Nair</v>
      </c>
      <c r="P624">
        <f t="shared" si="18"/>
        <v>0</v>
      </c>
    </row>
    <row r="625" spans="1:16" x14ac:dyDescent="0.25">
      <c r="A625" s="2" t="s">
        <v>1069</v>
      </c>
      <c r="B625" s="2" t="s">
        <v>104</v>
      </c>
      <c r="C625" s="2" t="s">
        <v>36</v>
      </c>
      <c r="D625" s="2" t="s">
        <v>41</v>
      </c>
      <c r="E625" s="4">
        <v>46024</v>
      </c>
      <c r="F625" s="4">
        <v>46040</v>
      </c>
      <c r="G625" s="5">
        <v>14950</v>
      </c>
      <c r="H625" s="5"/>
      <c r="I625" s="2" t="s">
        <v>42</v>
      </c>
      <c r="J625" s="2" t="s">
        <v>1541</v>
      </c>
      <c r="K625" t="s">
        <v>65</v>
      </c>
      <c r="L625" s="12">
        <f>MIS_Report!$B$2-F625</f>
        <v>270</v>
      </c>
      <c r="M625" t="str" cm="1">
        <f t="array" ref="M625">_xlfn.IFS(L625&lt;=30,"0-30",L625&lt;=60,"31-60",L625&lt;=90,"61-90",TRUE,"90+")</f>
        <v>90+</v>
      </c>
      <c r="N625">
        <f t="shared" si="19"/>
        <v>14950</v>
      </c>
      <c r="O625" t="str">
        <f>VLOOKUP(K625,Agents!$A$1:$C$11,2,0)</f>
        <v>Deepak Nair</v>
      </c>
      <c r="P625">
        <f t="shared" si="18"/>
        <v>0</v>
      </c>
    </row>
    <row r="626" spans="1:16" x14ac:dyDescent="0.25">
      <c r="A626" s="2" t="s">
        <v>1070</v>
      </c>
      <c r="B626" s="2" t="s">
        <v>1071</v>
      </c>
      <c r="C626" s="2" t="s">
        <v>79</v>
      </c>
      <c r="D626" s="2" t="s">
        <v>80</v>
      </c>
      <c r="E626" s="4">
        <v>46155</v>
      </c>
      <c r="F626" s="4">
        <v>46173</v>
      </c>
      <c r="G626" s="5">
        <v>12475</v>
      </c>
      <c r="H626" s="5"/>
      <c r="I626" s="2" t="s">
        <v>42</v>
      </c>
      <c r="J626" s="2" t="s">
        <v>1541</v>
      </c>
      <c r="K626" t="s">
        <v>56</v>
      </c>
      <c r="L626" s="12">
        <f>MIS_Report!$B$2-F626</f>
        <v>137</v>
      </c>
      <c r="M626" t="str" cm="1">
        <f t="array" ref="M626">_xlfn.IFS(L626&lt;=30,"0-30",L626&lt;=60,"31-60",L626&lt;=90,"61-90",TRUE,"90+")</f>
        <v>90+</v>
      </c>
      <c r="N626">
        <f t="shared" si="19"/>
        <v>12475</v>
      </c>
      <c r="O626" t="str">
        <f>VLOOKUP(K626,Agents!$A$1:$C$11,2,0)</f>
        <v>Manish Arora</v>
      </c>
      <c r="P626">
        <f t="shared" si="18"/>
        <v>0</v>
      </c>
    </row>
    <row r="627" spans="1:16" x14ac:dyDescent="0.25">
      <c r="A627" s="2" t="s">
        <v>1072</v>
      </c>
      <c r="B627" s="2" t="s">
        <v>45</v>
      </c>
      <c r="C627" s="2" t="s">
        <v>46</v>
      </c>
      <c r="D627" s="2" t="s">
        <v>41</v>
      </c>
      <c r="E627" s="4">
        <v>46244</v>
      </c>
      <c r="F627" s="4">
        <v>46249</v>
      </c>
      <c r="G627" s="5">
        <v>11350</v>
      </c>
      <c r="H627" s="5">
        <v>6815.92</v>
      </c>
      <c r="I627" s="2" t="s">
        <v>37</v>
      </c>
      <c r="J627" s="2" t="s">
        <v>1541</v>
      </c>
      <c r="K627" t="s">
        <v>33</v>
      </c>
      <c r="L627" s="12">
        <f>MIS_Report!$B$2-F627</f>
        <v>61</v>
      </c>
      <c r="M627" t="str" cm="1">
        <f t="array" ref="M627">_xlfn.IFS(L627&lt;=30,"0-30",L627&lt;=60,"31-60",L627&lt;=90,"61-90",TRUE,"90+")</f>
        <v>61-90</v>
      </c>
      <c r="N627">
        <f t="shared" si="19"/>
        <v>0</v>
      </c>
      <c r="O627" t="str">
        <f>VLOOKUP(K627,Agents!$A$1:$C$11,2,0)</f>
        <v>Manish Arora</v>
      </c>
      <c r="P627">
        <f t="shared" si="18"/>
        <v>0</v>
      </c>
    </row>
    <row r="628" spans="1:16" x14ac:dyDescent="0.25">
      <c r="A628" s="2" t="s">
        <v>1073</v>
      </c>
      <c r="B628" s="2" t="s">
        <v>1074</v>
      </c>
      <c r="C628" s="2" t="s">
        <v>29</v>
      </c>
      <c r="D628" s="2" t="s">
        <v>71</v>
      </c>
      <c r="E628" s="4">
        <v>46038</v>
      </c>
      <c r="F628" s="4">
        <v>46044</v>
      </c>
      <c r="G628" s="5">
        <v>7625</v>
      </c>
      <c r="H628" s="5"/>
      <c r="I628" s="2" t="s">
        <v>42</v>
      </c>
      <c r="J628" s="2" t="s">
        <v>1541</v>
      </c>
      <c r="K628" t="s">
        <v>83</v>
      </c>
      <c r="L628" s="12">
        <f>MIS_Report!$B$2-F628</f>
        <v>266</v>
      </c>
      <c r="M628" t="str" cm="1">
        <f t="array" ref="M628">_xlfn.IFS(L628&lt;=30,"0-30",L628&lt;=60,"31-60",L628&lt;=90,"61-90",TRUE,"90+")</f>
        <v>90+</v>
      </c>
      <c r="N628">
        <f t="shared" si="19"/>
        <v>7625</v>
      </c>
      <c r="O628" t="str">
        <f>VLOOKUP(K628,Agents!$A$1:$C$11,2,0)</f>
        <v>Deepak Nair</v>
      </c>
      <c r="P628">
        <f t="shared" si="18"/>
        <v>0</v>
      </c>
    </row>
    <row r="629" spans="1:16" x14ac:dyDescent="0.25">
      <c r="A629" s="2" t="s">
        <v>1075</v>
      </c>
      <c r="B629" s="2" t="s">
        <v>1076</v>
      </c>
      <c r="C629" s="2" t="s">
        <v>46</v>
      </c>
      <c r="D629" s="2" t="s">
        <v>41</v>
      </c>
      <c r="E629" s="4">
        <v>46276</v>
      </c>
      <c r="F629" s="4">
        <v>46294</v>
      </c>
      <c r="G629" s="5">
        <v>13600</v>
      </c>
      <c r="H629" s="5"/>
      <c r="I629" s="2" t="s">
        <v>42</v>
      </c>
      <c r="J629" s="2" t="s">
        <v>1541</v>
      </c>
      <c r="K629" t="s">
        <v>56</v>
      </c>
      <c r="L629" s="12">
        <f>MIS_Report!$B$2-F629</f>
        <v>16</v>
      </c>
      <c r="M629" t="str" cm="1">
        <f t="array" ref="M629">_xlfn.IFS(L629&lt;=30,"0-30",L629&lt;=60,"31-60",L629&lt;=90,"61-90",TRUE,"90+")</f>
        <v>0-30</v>
      </c>
      <c r="N629">
        <f t="shared" si="19"/>
        <v>13600</v>
      </c>
      <c r="O629" t="str">
        <f>VLOOKUP(K629,Agents!$A$1:$C$11,2,0)</f>
        <v>Manish Arora</v>
      </c>
      <c r="P629">
        <f t="shared" si="18"/>
        <v>0</v>
      </c>
    </row>
    <row r="630" spans="1:16" x14ac:dyDescent="0.25">
      <c r="A630" s="2" t="s">
        <v>1077</v>
      </c>
      <c r="B630" s="2" t="s">
        <v>1071</v>
      </c>
      <c r="C630" s="2" t="s">
        <v>46</v>
      </c>
      <c r="D630" s="2" t="s">
        <v>41</v>
      </c>
      <c r="E630" s="4">
        <v>46139</v>
      </c>
      <c r="F630" s="4">
        <v>46148</v>
      </c>
      <c r="G630" s="5">
        <v>5050</v>
      </c>
      <c r="H630" s="5"/>
      <c r="I630" s="2" t="s">
        <v>42</v>
      </c>
      <c r="J630" s="2" t="s">
        <v>1541</v>
      </c>
      <c r="K630" t="s">
        <v>33</v>
      </c>
      <c r="L630" s="12">
        <f>MIS_Report!$B$2-F630</f>
        <v>162</v>
      </c>
      <c r="M630" t="str" cm="1">
        <f t="array" ref="M630">_xlfn.IFS(L630&lt;=30,"0-30",L630&lt;=60,"31-60",L630&lt;=90,"61-90",TRUE,"90+")</f>
        <v>90+</v>
      </c>
      <c r="N630">
        <f t="shared" si="19"/>
        <v>5050</v>
      </c>
      <c r="O630" t="str">
        <f>VLOOKUP(K630,Agents!$A$1:$C$11,2,0)</f>
        <v>Manish Arora</v>
      </c>
      <c r="P630">
        <f t="shared" si="18"/>
        <v>0</v>
      </c>
    </row>
    <row r="631" spans="1:16" x14ac:dyDescent="0.25">
      <c r="A631" s="2" t="s">
        <v>1078</v>
      </c>
      <c r="B631" s="2" t="s">
        <v>345</v>
      </c>
      <c r="C631" s="2" t="s">
        <v>29</v>
      </c>
      <c r="D631" s="2" t="s">
        <v>80</v>
      </c>
      <c r="E631" s="4">
        <v>46206</v>
      </c>
      <c r="F631" s="4">
        <v>46214</v>
      </c>
      <c r="G631" s="5">
        <v>12525</v>
      </c>
      <c r="H631" s="5"/>
      <c r="I631" s="2" t="s">
        <v>42</v>
      </c>
      <c r="J631" s="2" t="s">
        <v>1541</v>
      </c>
      <c r="K631" t="s">
        <v>56</v>
      </c>
      <c r="L631" s="12">
        <f>MIS_Report!$B$2-F631</f>
        <v>96</v>
      </c>
      <c r="M631" t="str" cm="1">
        <f t="array" ref="M631">_xlfn.IFS(L631&lt;=30,"0-30",L631&lt;=60,"31-60",L631&lt;=90,"61-90",TRUE,"90+")</f>
        <v>90+</v>
      </c>
      <c r="N631">
        <f t="shared" si="19"/>
        <v>12525</v>
      </c>
      <c r="O631" t="str">
        <f>VLOOKUP(K631,Agents!$A$1:$C$11,2,0)</f>
        <v>Manish Arora</v>
      </c>
      <c r="P631">
        <f t="shared" si="18"/>
        <v>0</v>
      </c>
    </row>
    <row r="632" spans="1:16" x14ac:dyDescent="0.25">
      <c r="A632" s="2" t="s">
        <v>1079</v>
      </c>
      <c r="B632" s="2" t="s">
        <v>147</v>
      </c>
      <c r="C632" s="2" t="s">
        <v>79</v>
      </c>
      <c r="D632" s="2" t="s">
        <v>94</v>
      </c>
      <c r="E632" s="4">
        <v>46068</v>
      </c>
      <c r="F632" s="4">
        <v>46084</v>
      </c>
      <c r="G632" s="5">
        <v>13950</v>
      </c>
      <c r="H632" s="5">
        <v>0</v>
      </c>
      <c r="I632" s="2" t="s">
        <v>31</v>
      </c>
      <c r="J632" s="2" t="s">
        <v>47</v>
      </c>
      <c r="K632" t="s">
        <v>48</v>
      </c>
      <c r="L632" s="12">
        <f>MIS_Report!$B$2-F632</f>
        <v>226</v>
      </c>
      <c r="M632" t="str" cm="1">
        <f t="array" ref="M632">_xlfn.IFS(L632&lt;=30,"0-30",L632&lt;=60,"31-60",L632&lt;=90,"61-90",TRUE,"90+")</f>
        <v>90+</v>
      </c>
      <c r="N632">
        <f t="shared" si="19"/>
        <v>0</v>
      </c>
      <c r="O632" t="str">
        <f>VLOOKUP(K632,Agents!$A$1:$C$11,2,0)</f>
        <v>Manish Arora</v>
      </c>
      <c r="P632">
        <f t="shared" si="18"/>
        <v>13950</v>
      </c>
    </row>
    <row r="633" spans="1:16" x14ac:dyDescent="0.25">
      <c r="A633" s="2" t="s">
        <v>1080</v>
      </c>
      <c r="B633" s="2" t="s">
        <v>360</v>
      </c>
      <c r="C633" s="2" t="s">
        <v>29</v>
      </c>
      <c r="D633" s="2" t="s">
        <v>30</v>
      </c>
      <c r="E633" s="4">
        <v>46182</v>
      </c>
      <c r="F633" s="4">
        <v>46186</v>
      </c>
      <c r="G633" s="5">
        <v>1775</v>
      </c>
      <c r="H633" s="5">
        <v>1734.94</v>
      </c>
      <c r="I633" s="2" t="s">
        <v>37</v>
      </c>
      <c r="J633" s="2" t="s">
        <v>1541</v>
      </c>
      <c r="K633" t="s">
        <v>38</v>
      </c>
      <c r="L633" s="12">
        <f>MIS_Report!$B$2-F633</f>
        <v>124</v>
      </c>
      <c r="M633" t="str" cm="1">
        <f t="array" ref="M633">_xlfn.IFS(L633&lt;=30,"0-30",L633&lt;=60,"31-60",L633&lt;=90,"61-90",TRUE,"90+")</f>
        <v>90+</v>
      </c>
      <c r="N633">
        <f t="shared" si="19"/>
        <v>0</v>
      </c>
      <c r="O633" t="str">
        <f>VLOOKUP(K633,Agents!$A$1:$C$11,2,0)</f>
        <v>Sunita Rao</v>
      </c>
      <c r="P633">
        <f t="shared" si="18"/>
        <v>0</v>
      </c>
    </row>
    <row r="634" spans="1:16" x14ac:dyDescent="0.25">
      <c r="A634" s="2" t="s">
        <v>1081</v>
      </c>
      <c r="B634" s="2" t="s">
        <v>525</v>
      </c>
      <c r="C634" s="2" t="s">
        <v>36</v>
      </c>
      <c r="D634" s="2" t="s">
        <v>61</v>
      </c>
      <c r="E634" s="4">
        <v>46036</v>
      </c>
      <c r="F634" s="4">
        <v>46056</v>
      </c>
      <c r="G634" s="5">
        <v>12525</v>
      </c>
      <c r="H634" s="5">
        <v>7090.02</v>
      </c>
      <c r="I634" s="2" t="s">
        <v>37</v>
      </c>
      <c r="J634" s="2" t="s">
        <v>1541</v>
      </c>
      <c r="K634" t="s">
        <v>33</v>
      </c>
      <c r="L634" s="12">
        <f>MIS_Report!$B$2-F634</f>
        <v>254</v>
      </c>
      <c r="M634" t="str" cm="1">
        <f t="array" ref="M634">_xlfn.IFS(L634&lt;=30,"0-30",L634&lt;=60,"31-60",L634&lt;=90,"61-90",TRUE,"90+")</f>
        <v>90+</v>
      </c>
      <c r="N634">
        <f t="shared" si="19"/>
        <v>0</v>
      </c>
      <c r="O634" t="str">
        <f>VLOOKUP(K634,Agents!$A$1:$C$11,2,0)</f>
        <v>Manish Arora</v>
      </c>
      <c r="P634">
        <f t="shared" si="18"/>
        <v>0</v>
      </c>
    </row>
    <row r="635" spans="1:16" x14ac:dyDescent="0.25">
      <c r="A635" s="2" t="s">
        <v>1082</v>
      </c>
      <c r="B635" s="2" t="s">
        <v>1083</v>
      </c>
      <c r="C635" s="2" t="s">
        <v>79</v>
      </c>
      <c r="D635" s="2" t="s">
        <v>61</v>
      </c>
      <c r="E635" s="4">
        <v>46020</v>
      </c>
      <c r="F635" s="4">
        <v>46034</v>
      </c>
      <c r="G635" s="5">
        <v>850</v>
      </c>
      <c r="H635" s="5">
        <v>704.94</v>
      </c>
      <c r="I635" s="2" t="s">
        <v>37</v>
      </c>
      <c r="J635" s="2" t="s">
        <v>1541</v>
      </c>
      <c r="K635" t="s">
        <v>109</v>
      </c>
      <c r="L635" s="12">
        <f>MIS_Report!$B$2-F635</f>
        <v>276</v>
      </c>
      <c r="M635" t="str" cm="1">
        <f t="array" ref="M635">_xlfn.IFS(L635&lt;=30,"0-30",L635&lt;=60,"31-60",L635&lt;=90,"61-90",TRUE,"90+")</f>
        <v>90+</v>
      </c>
      <c r="N635">
        <f t="shared" si="19"/>
        <v>0</v>
      </c>
      <c r="O635" t="str">
        <f>VLOOKUP(K635,Agents!$A$1:$C$11,2,0)</f>
        <v>Deepak Nair</v>
      </c>
      <c r="P635">
        <f t="shared" si="18"/>
        <v>0</v>
      </c>
    </row>
    <row r="636" spans="1:16" x14ac:dyDescent="0.25">
      <c r="A636" s="2" t="s">
        <v>1084</v>
      </c>
      <c r="B636" s="2" t="s">
        <v>1085</v>
      </c>
      <c r="C636" s="2" t="s">
        <v>29</v>
      </c>
      <c r="D636" s="2" t="s">
        <v>61</v>
      </c>
      <c r="E636" s="4">
        <v>46189</v>
      </c>
      <c r="F636" s="4">
        <v>46205</v>
      </c>
      <c r="G636" s="5">
        <v>11300</v>
      </c>
      <c r="H636" s="5">
        <v>8603.68</v>
      </c>
      <c r="I636" s="2" t="s">
        <v>37</v>
      </c>
      <c r="J636" s="2" t="s">
        <v>1541</v>
      </c>
      <c r="K636" t="s">
        <v>65</v>
      </c>
      <c r="L636" s="12">
        <f>MIS_Report!$B$2-F636</f>
        <v>105</v>
      </c>
      <c r="M636" t="str" cm="1">
        <f t="array" ref="M636">_xlfn.IFS(L636&lt;=30,"0-30",L636&lt;=60,"31-60",L636&lt;=90,"61-90",TRUE,"90+")</f>
        <v>90+</v>
      </c>
      <c r="N636">
        <f t="shared" si="19"/>
        <v>0</v>
      </c>
      <c r="O636" t="str">
        <f>VLOOKUP(K636,Agents!$A$1:$C$11,2,0)</f>
        <v>Deepak Nair</v>
      </c>
      <c r="P636">
        <f t="shared" si="18"/>
        <v>0</v>
      </c>
    </row>
    <row r="637" spans="1:16" x14ac:dyDescent="0.25">
      <c r="A637" s="2" t="s">
        <v>1086</v>
      </c>
      <c r="B637" s="2" t="s">
        <v>1087</v>
      </c>
      <c r="C637" s="2" t="s">
        <v>79</v>
      </c>
      <c r="D637" s="2" t="s">
        <v>41</v>
      </c>
      <c r="E637" s="4">
        <v>46170</v>
      </c>
      <c r="F637" s="4">
        <v>46185</v>
      </c>
      <c r="G637" s="5">
        <v>13600</v>
      </c>
      <c r="H637" s="5">
        <v>9858.69</v>
      </c>
      <c r="I637" s="2" t="s">
        <v>37</v>
      </c>
      <c r="J637" s="2" t="s">
        <v>1541</v>
      </c>
      <c r="K637" t="s">
        <v>43</v>
      </c>
      <c r="L637" s="12">
        <f>MIS_Report!$B$2-F637</f>
        <v>125</v>
      </c>
      <c r="M637" t="str" cm="1">
        <f t="array" ref="M637">_xlfn.IFS(L637&lt;=30,"0-30",L637&lt;=60,"31-60",L637&lt;=90,"61-90",TRUE,"90+")</f>
        <v>90+</v>
      </c>
      <c r="N637">
        <f t="shared" si="19"/>
        <v>0</v>
      </c>
      <c r="O637" t="str">
        <f>VLOOKUP(K637,Agents!$A$1:$C$11,2,0)</f>
        <v>Manish Arora</v>
      </c>
      <c r="P637">
        <f t="shared" si="18"/>
        <v>0</v>
      </c>
    </row>
    <row r="638" spans="1:16" x14ac:dyDescent="0.25">
      <c r="A638" s="2" t="s">
        <v>1088</v>
      </c>
      <c r="B638" s="2" t="s">
        <v>108</v>
      </c>
      <c r="C638" s="2" t="s">
        <v>79</v>
      </c>
      <c r="D638" s="2" t="s">
        <v>1538</v>
      </c>
      <c r="E638" s="4">
        <v>46203</v>
      </c>
      <c r="F638" s="4">
        <v>46221</v>
      </c>
      <c r="G638" s="5">
        <v>11925</v>
      </c>
      <c r="H638" s="5"/>
      <c r="I638" s="2" t="s">
        <v>42</v>
      </c>
      <c r="J638" s="2" t="s">
        <v>1541</v>
      </c>
      <c r="K638" t="s">
        <v>83</v>
      </c>
      <c r="L638" s="12">
        <f>MIS_Report!$B$2-F638</f>
        <v>89</v>
      </c>
      <c r="M638" t="str" cm="1">
        <f t="array" ref="M638">_xlfn.IFS(L638&lt;=30,"0-30",L638&lt;=60,"31-60",L638&lt;=90,"61-90",TRUE,"90+")</f>
        <v>61-90</v>
      </c>
      <c r="N638">
        <f t="shared" si="19"/>
        <v>11925</v>
      </c>
      <c r="O638" t="str">
        <f>VLOOKUP(K638,Agents!$A$1:$C$11,2,0)</f>
        <v>Deepak Nair</v>
      </c>
      <c r="P638">
        <f t="shared" si="18"/>
        <v>0</v>
      </c>
    </row>
    <row r="639" spans="1:16" x14ac:dyDescent="0.25">
      <c r="A639" s="2" t="s">
        <v>1089</v>
      </c>
      <c r="B639" s="2" t="s">
        <v>471</v>
      </c>
      <c r="C639" s="2" t="s">
        <v>79</v>
      </c>
      <c r="D639" s="2" t="s">
        <v>80</v>
      </c>
      <c r="E639" s="4">
        <v>46271</v>
      </c>
      <c r="F639" s="4">
        <v>46279</v>
      </c>
      <c r="G639" s="5">
        <v>14825</v>
      </c>
      <c r="H639" s="5">
        <v>12043.87</v>
      </c>
      <c r="I639" s="2" t="s">
        <v>37</v>
      </c>
      <c r="J639" s="2" t="s">
        <v>1541</v>
      </c>
      <c r="K639" t="s">
        <v>56</v>
      </c>
      <c r="L639" s="12">
        <f>MIS_Report!$B$2-F639</f>
        <v>31</v>
      </c>
      <c r="M639" t="str" cm="1">
        <f t="array" ref="M639">_xlfn.IFS(L639&lt;=30,"0-30",L639&lt;=60,"31-60",L639&lt;=90,"61-90",TRUE,"90+")</f>
        <v>31-60</v>
      </c>
      <c r="N639">
        <f t="shared" si="19"/>
        <v>0</v>
      </c>
      <c r="O639" t="str">
        <f>VLOOKUP(K639,Agents!$A$1:$C$11,2,0)</f>
        <v>Manish Arora</v>
      </c>
      <c r="P639">
        <f t="shared" si="18"/>
        <v>0</v>
      </c>
    </row>
    <row r="640" spans="1:16" x14ac:dyDescent="0.25">
      <c r="A640" s="2" t="s">
        <v>1090</v>
      </c>
      <c r="B640" s="2" t="s">
        <v>771</v>
      </c>
      <c r="C640" s="2" t="s">
        <v>79</v>
      </c>
      <c r="D640" s="2" t="s">
        <v>30</v>
      </c>
      <c r="E640" s="4">
        <v>46136</v>
      </c>
      <c r="F640" s="4">
        <v>46154</v>
      </c>
      <c r="G640" s="5">
        <v>6975</v>
      </c>
      <c r="H640" s="5">
        <v>0</v>
      </c>
      <c r="I640" s="2" t="s">
        <v>31</v>
      </c>
      <c r="J640" s="2" t="s">
        <v>271</v>
      </c>
      <c r="K640" t="s">
        <v>33</v>
      </c>
      <c r="L640" s="12">
        <f>MIS_Report!$B$2-F640</f>
        <v>156</v>
      </c>
      <c r="M640" t="str" cm="1">
        <f t="array" ref="M640">_xlfn.IFS(L640&lt;=30,"0-30",L640&lt;=60,"31-60",L640&lt;=90,"61-90",TRUE,"90+")</f>
        <v>90+</v>
      </c>
      <c r="N640">
        <f t="shared" si="19"/>
        <v>0</v>
      </c>
      <c r="O640" t="str">
        <f>VLOOKUP(K640,Agents!$A$1:$C$11,2,0)</f>
        <v>Manish Arora</v>
      </c>
      <c r="P640">
        <f t="shared" si="18"/>
        <v>6975</v>
      </c>
    </row>
    <row r="641" spans="1:16" x14ac:dyDescent="0.25">
      <c r="A641" s="2" t="s">
        <v>1091</v>
      </c>
      <c r="B641" s="2" t="s">
        <v>1092</v>
      </c>
      <c r="C641" s="2" t="s">
        <v>29</v>
      </c>
      <c r="D641" s="2" t="s">
        <v>71</v>
      </c>
      <c r="E641" s="4">
        <v>46241</v>
      </c>
      <c r="F641" s="4">
        <v>46255</v>
      </c>
      <c r="G641" s="5">
        <v>11975</v>
      </c>
      <c r="H641" s="5">
        <v>9016.16</v>
      </c>
      <c r="I641" s="2" t="s">
        <v>37</v>
      </c>
      <c r="J641" s="2" t="s">
        <v>1541</v>
      </c>
      <c r="K641" t="s">
        <v>83</v>
      </c>
      <c r="L641" s="12">
        <f>MIS_Report!$B$2-F641</f>
        <v>55</v>
      </c>
      <c r="M641" t="str" cm="1">
        <f t="array" ref="M641">_xlfn.IFS(L641&lt;=30,"0-30",L641&lt;=60,"31-60",L641&lt;=90,"61-90",TRUE,"90+")</f>
        <v>31-60</v>
      </c>
      <c r="N641">
        <f t="shared" si="19"/>
        <v>0</v>
      </c>
      <c r="O641" t="str">
        <f>VLOOKUP(K641,Agents!$A$1:$C$11,2,0)</f>
        <v>Deepak Nair</v>
      </c>
      <c r="P641">
        <f t="shared" si="18"/>
        <v>0</v>
      </c>
    </row>
    <row r="642" spans="1:16" x14ac:dyDescent="0.25">
      <c r="A642" s="2" t="s">
        <v>1093</v>
      </c>
      <c r="B642" s="2" t="s">
        <v>197</v>
      </c>
      <c r="C642" s="2" t="s">
        <v>29</v>
      </c>
      <c r="D642" s="2" t="s">
        <v>94</v>
      </c>
      <c r="E642" s="4">
        <v>46061</v>
      </c>
      <c r="F642" s="4">
        <v>46069</v>
      </c>
      <c r="G642" s="5">
        <v>8950</v>
      </c>
      <c r="H642" s="5">
        <v>7000.29</v>
      </c>
      <c r="I642" s="2" t="s">
        <v>37</v>
      </c>
      <c r="J642" s="2" t="s">
        <v>1541</v>
      </c>
      <c r="K642" t="s">
        <v>83</v>
      </c>
      <c r="L642" s="12">
        <f>MIS_Report!$B$2-F642</f>
        <v>241</v>
      </c>
      <c r="M642" t="str" cm="1">
        <f t="array" ref="M642">_xlfn.IFS(L642&lt;=30,"0-30",L642&lt;=60,"31-60",L642&lt;=90,"61-90",TRUE,"90+")</f>
        <v>90+</v>
      </c>
      <c r="N642">
        <f t="shared" si="19"/>
        <v>0</v>
      </c>
      <c r="O642" t="str">
        <f>VLOOKUP(K642,Agents!$A$1:$C$11,2,0)</f>
        <v>Deepak Nair</v>
      </c>
      <c r="P642">
        <f t="shared" si="18"/>
        <v>0</v>
      </c>
    </row>
    <row r="643" spans="1:16" x14ac:dyDescent="0.25">
      <c r="A643" s="2" t="s">
        <v>1094</v>
      </c>
      <c r="B643" s="2" t="s">
        <v>1030</v>
      </c>
      <c r="C643" s="2" t="s">
        <v>29</v>
      </c>
      <c r="D643" s="2" t="s">
        <v>68</v>
      </c>
      <c r="E643" s="4">
        <v>46148</v>
      </c>
      <c r="F643" s="4">
        <v>46151</v>
      </c>
      <c r="G643" s="5">
        <v>1525</v>
      </c>
      <c r="H643" s="5">
        <v>1413.62</v>
      </c>
      <c r="I643" s="2" t="s">
        <v>37</v>
      </c>
      <c r="J643" s="2" t="s">
        <v>1541</v>
      </c>
      <c r="K643" t="s">
        <v>83</v>
      </c>
      <c r="L643" s="12">
        <f>MIS_Report!$B$2-F643</f>
        <v>159</v>
      </c>
      <c r="M643" t="str" cm="1">
        <f t="array" ref="M643">_xlfn.IFS(L643&lt;=30,"0-30",L643&lt;=60,"31-60",L643&lt;=90,"61-90",TRUE,"90+")</f>
        <v>90+</v>
      </c>
      <c r="N643">
        <f t="shared" si="19"/>
        <v>0</v>
      </c>
      <c r="O643" t="str">
        <f>VLOOKUP(K643,Agents!$A$1:$C$11,2,0)</f>
        <v>Deepak Nair</v>
      </c>
      <c r="P643">
        <f t="shared" ref="P643:P706" si="20">IF(I643="Denied",G643,0)</f>
        <v>0</v>
      </c>
    </row>
    <row r="644" spans="1:16" x14ac:dyDescent="0.25">
      <c r="A644" s="2" t="s">
        <v>1095</v>
      </c>
      <c r="B644" s="2" t="s">
        <v>743</v>
      </c>
      <c r="C644" s="2" t="s">
        <v>29</v>
      </c>
      <c r="D644" s="2" t="s">
        <v>30</v>
      </c>
      <c r="E644" s="4">
        <v>46183</v>
      </c>
      <c r="F644" s="4">
        <v>46202</v>
      </c>
      <c r="G644" s="5">
        <v>3775</v>
      </c>
      <c r="H644" s="5">
        <v>2410.6799999999998</v>
      </c>
      <c r="I644" s="2" t="s">
        <v>37</v>
      </c>
      <c r="J644" s="2" t="s">
        <v>1541</v>
      </c>
      <c r="K644" t="s">
        <v>62</v>
      </c>
      <c r="L644" s="12">
        <f>MIS_Report!$B$2-F644</f>
        <v>108</v>
      </c>
      <c r="M644" t="str" cm="1">
        <f t="array" ref="M644">_xlfn.IFS(L644&lt;=30,"0-30",L644&lt;=60,"31-60",L644&lt;=90,"61-90",TRUE,"90+")</f>
        <v>90+</v>
      </c>
      <c r="N644">
        <f t="shared" si="19"/>
        <v>0</v>
      </c>
      <c r="O644" t="str">
        <f>VLOOKUP(K644,Agents!$A$1:$C$11,2,0)</f>
        <v>Sunita Rao</v>
      </c>
      <c r="P644">
        <f t="shared" si="20"/>
        <v>0</v>
      </c>
    </row>
    <row r="645" spans="1:16" x14ac:dyDescent="0.25">
      <c r="A645" s="2" t="s">
        <v>1096</v>
      </c>
      <c r="B645" s="2" t="s">
        <v>812</v>
      </c>
      <c r="C645" s="2" t="s">
        <v>46</v>
      </c>
      <c r="D645" s="2" t="s">
        <v>30</v>
      </c>
      <c r="E645" s="4">
        <v>46003</v>
      </c>
      <c r="F645" s="4">
        <v>46023</v>
      </c>
      <c r="G645" s="5">
        <v>14275</v>
      </c>
      <c r="H645" s="5">
        <v>9667.18</v>
      </c>
      <c r="I645" s="2" t="s">
        <v>37</v>
      </c>
      <c r="J645" s="2" t="s">
        <v>1541</v>
      </c>
      <c r="K645" t="s">
        <v>33</v>
      </c>
      <c r="L645" s="12">
        <f>MIS_Report!$B$2-F645</f>
        <v>287</v>
      </c>
      <c r="M645" t="str" cm="1">
        <f t="array" ref="M645">_xlfn.IFS(L645&lt;=30,"0-30",L645&lt;=60,"31-60",L645&lt;=90,"61-90",TRUE,"90+")</f>
        <v>90+</v>
      </c>
      <c r="N645">
        <f t="shared" ref="N645:N708" si="21">IF(I645="Pending",G645-H645,0)</f>
        <v>0</v>
      </c>
      <c r="O645" t="str">
        <f>VLOOKUP(K645,Agents!$A$1:$C$11,2,0)</f>
        <v>Manish Arora</v>
      </c>
      <c r="P645">
        <f t="shared" si="20"/>
        <v>0</v>
      </c>
    </row>
    <row r="646" spans="1:16" x14ac:dyDescent="0.25">
      <c r="A646" s="2" t="s">
        <v>1097</v>
      </c>
      <c r="B646" s="2" t="s">
        <v>358</v>
      </c>
      <c r="C646" s="2" t="s">
        <v>79</v>
      </c>
      <c r="D646" s="2" t="s">
        <v>61</v>
      </c>
      <c r="E646" s="4">
        <v>46243</v>
      </c>
      <c r="F646" s="4">
        <v>46260</v>
      </c>
      <c r="G646" s="5">
        <v>775</v>
      </c>
      <c r="H646" s="5">
        <v>619.51</v>
      </c>
      <c r="I646" s="2" t="s">
        <v>37</v>
      </c>
      <c r="J646" s="2" t="s">
        <v>1541</v>
      </c>
      <c r="K646" t="s">
        <v>38</v>
      </c>
      <c r="L646" s="12">
        <f>MIS_Report!$B$2-F646</f>
        <v>50</v>
      </c>
      <c r="M646" t="str" cm="1">
        <f t="array" ref="M646">_xlfn.IFS(L646&lt;=30,"0-30",L646&lt;=60,"31-60",L646&lt;=90,"61-90",TRUE,"90+")</f>
        <v>31-60</v>
      </c>
      <c r="N646">
        <f t="shared" si="21"/>
        <v>0</v>
      </c>
      <c r="O646" t="str">
        <f>VLOOKUP(K646,Agents!$A$1:$C$11,2,0)</f>
        <v>Sunita Rao</v>
      </c>
      <c r="P646">
        <f t="shared" si="20"/>
        <v>0</v>
      </c>
    </row>
    <row r="647" spans="1:16" x14ac:dyDescent="0.25">
      <c r="A647" s="2" t="s">
        <v>1098</v>
      </c>
      <c r="B647" s="2" t="s">
        <v>1099</v>
      </c>
      <c r="C647" s="2" t="s">
        <v>46</v>
      </c>
      <c r="D647" s="2" t="s">
        <v>94</v>
      </c>
      <c r="E647" s="4">
        <v>46295</v>
      </c>
      <c r="F647" s="4">
        <v>46298</v>
      </c>
      <c r="G647" s="5">
        <v>10375</v>
      </c>
      <c r="H647" s="5"/>
      <c r="I647" s="2" t="s">
        <v>42</v>
      </c>
      <c r="J647" s="2" t="s">
        <v>1541</v>
      </c>
      <c r="K647" t="s">
        <v>48</v>
      </c>
      <c r="L647" s="12">
        <f>MIS_Report!$B$2-F647</f>
        <v>12</v>
      </c>
      <c r="M647" t="str" cm="1">
        <f t="array" ref="M647">_xlfn.IFS(L647&lt;=30,"0-30",L647&lt;=60,"31-60",L647&lt;=90,"61-90",TRUE,"90+")</f>
        <v>0-30</v>
      </c>
      <c r="N647">
        <f t="shared" si="21"/>
        <v>10375</v>
      </c>
      <c r="O647" t="str">
        <f>VLOOKUP(K647,Agents!$A$1:$C$11,2,0)</f>
        <v>Manish Arora</v>
      </c>
      <c r="P647">
        <f t="shared" si="20"/>
        <v>0</v>
      </c>
    </row>
    <row r="648" spans="1:16" x14ac:dyDescent="0.25">
      <c r="A648" s="2" t="s">
        <v>1100</v>
      </c>
      <c r="B648" s="2" t="s">
        <v>681</v>
      </c>
      <c r="C648" s="2" t="s">
        <v>46</v>
      </c>
      <c r="D648" s="2" t="s">
        <v>30</v>
      </c>
      <c r="E648" s="4">
        <v>46236</v>
      </c>
      <c r="F648" s="4">
        <v>46249</v>
      </c>
      <c r="G648" s="5">
        <v>8300</v>
      </c>
      <c r="H648" s="5"/>
      <c r="I648" s="2" t="s">
        <v>42</v>
      </c>
      <c r="J648" s="2" t="s">
        <v>1541</v>
      </c>
      <c r="K648" t="s">
        <v>38</v>
      </c>
      <c r="L648" s="12">
        <f>MIS_Report!$B$2-F648</f>
        <v>61</v>
      </c>
      <c r="M648" t="str" cm="1">
        <f t="array" ref="M648">_xlfn.IFS(L648&lt;=30,"0-30",L648&lt;=60,"31-60",L648&lt;=90,"61-90",TRUE,"90+")</f>
        <v>61-90</v>
      </c>
      <c r="N648">
        <f t="shared" si="21"/>
        <v>8300</v>
      </c>
      <c r="O648" t="str">
        <f>VLOOKUP(K648,Agents!$A$1:$C$11,2,0)</f>
        <v>Sunita Rao</v>
      </c>
      <c r="P648">
        <f t="shared" si="20"/>
        <v>0</v>
      </c>
    </row>
    <row r="649" spans="1:16" x14ac:dyDescent="0.25">
      <c r="A649" s="2" t="s">
        <v>1101</v>
      </c>
      <c r="B649" s="2" t="s">
        <v>393</v>
      </c>
      <c r="C649" s="2" t="s">
        <v>29</v>
      </c>
      <c r="D649" s="2" t="s">
        <v>94</v>
      </c>
      <c r="E649" s="4">
        <v>46192</v>
      </c>
      <c r="F649" s="4">
        <v>46200</v>
      </c>
      <c r="G649" s="5">
        <v>13000</v>
      </c>
      <c r="H649" s="5">
        <v>9615.52</v>
      </c>
      <c r="I649" s="2" t="s">
        <v>37</v>
      </c>
      <c r="J649" s="2" t="s">
        <v>1541</v>
      </c>
      <c r="K649" t="s">
        <v>62</v>
      </c>
      <c r="L649" s="12">
        <f>MIS_Report!$B$2-F649</f>
        <v>110</v>
      </c>
      <c r="M649" t="str" cm="1">
        <f t="array" ref="M649">_xlfn.IFS(L649&lt;=30,"0-30",L649&lt;=60,"31-60",L649&lt;=90,"61-90",TRUE,"90+")</f>
        <v>90+</v>
      </c>
      <c r="N649">
        <f t="shared" si="21"/>
        <v>0</v>
      </c>
      <c r="O649" t="str">
        <f>VLOOKUP(K649,Agents!$A$1:$C$11,2,0)</f>
        <v>Sunita Rao</v>
      </c>
      <c r="P649">
        <f t="shared" si="20"/>
        <v>0</v>
      </c>
    </row>
    <row r="650" spans="1:16" x14ac:dyDescent="0.25">
      <c r="A650" s="2" t="s">
        <v>1102</v>
      </c>
      <c r="B650" s="2" t="s">
        <v>904</v>
      </c>
      <c r="C650" s="2" t="s">
        <v>46</v>
      </c>
      <c r="D650" s="2" t="s">
        <v>55</v>
      </c>
      <c r="E650" s="4">
        <v>46251</v>
      </c>
      <c r="F650" s="4">
        <v>46268</v>
      </c>
      <c r="G650" s="5">
        <v>10200</v>
      </c>
      <c r="H650" s="5">
        <v>6054.54</v>
      </c>
      <c r="I650" s="2" t="s">
        <v>37</v>
      </c>
      <c r="J650" s="2" t="s">
        <v>1541</v>
      </c>
      <c r="K650" t="s">
        <v>48</v>
      </c>
      <c r="L650" s="12">
        <f>MIS_Report!$B$2-F650</f>
        <v>42</v>
      </c>
      <c r="M650" t="str" cm="1">
        <f t="array" ref="M650">_xlfn.IFS(L650&lt;=30,"0-30",L650&lt;=60,"31-60",L650&lt;=90,"61-90",TRUE,"90+")</f>
        <v>31-60</v>
      </c>
      <c r="N650">
        <f t="shared" si="21"/>
        <v>0</v>
      </c>
      <c r="O650" t="str">
        <f>VLOOKUP(K650,Agents!$A$1:$C$11,2,0)</f>
        <v>Manish Arora</v>
      </c>
      <c r="P650">
        <f t="shared" si="20"/>
        <v>0</v>
      </c>
    </row>
    <row r="651" spans="1:16" x14ac:dyDescent="0.25">
      <c r="A651" s="2" t="s">
        <v>1103</v>
      </c>
      <c r="B651" s="2" t="s">
        <v>483</v>
      </c>
      <c r="C651" s="2" t="s">
        <v>46</v>
      </c>
      <c r="D651" s="2" t="s">
        <v>68</v>
      </c>
      <c r="E651" s="4">
        <v>46088</v>
      </c>
      <c r="F651" s="4">
        <v>46108</v>
      </c>
      <c r="G651" s="5">
        <v>7925</v>
      </c>
      <c r="H651" s="5">
        <v>5977.42</v>
      </c>
      <c r="I651" s="2" t="s">
        <v>37</v>
      </c>
      <c r="J651" s="2" t="s">
        <v>1541</v>
      </c>
      <c r="K651" t="s">
        <v>83</v>
      </c>
      <c r="L651" s="12">
        <f>MIS_Report!$B$2-F651</f>
        <v>202</v>
      </c>
      <c r="M651" t="str" cm="1">
        <f t="array" ref="M651">_xlfn.IFS(L651&lt;=30,"0-30",L651&lt;=60,"31-60",L651&lt;=90,"61-90",TRUE,"90+")</f>
        <v>90+</v>
      </c>
      <c r="N651">
        <f t="shared" si="21"/>
        <v>0</v>
      </c>
      <c r="O651" t="str">
        <f>VLOOKUP(K651,Agents!$A$1:$C$11,2,0)</f>
        <v>Deepak Nair</v>
      </c>
      <c r="P651">
        <f t="shared" si="20"/>
        <v>0</v>
      </c>
    </row>
    <row r="652" spans="1:16" x14ac:dyDescent="0.25">
      <c r="A652" s="2" t="s">
        <v>1104</v>
      </c>
      <c r="B652" s="2" t="s">
        <v>994</v>
      </c>
      <c r="C652" s="2" t="s">
        <v>36</v>
      </c>
      <c r="D652" s="2" t="s">
        <v>94</v>
      </c>
      <c r="E652" s="4">
        <v>46097</v>
      </c>
      <c r="F652" s="4">
        <v>46112</v>
      </c>
      <c r="G652" s="5">
        <v>10450</v>
      </c>
      <c r="H652" s="5">
        <v>6719.5</v>
      </c>
      <c r="I652" s="2" t="s">
        <v>37</v>
      </c>
      <c r="J652" s="2" t="s">
        <v>1541</v>
      </c>
      <c r="K652" t="s">
        <v>48</v>
      </c>
      <c r="L652" s="12">
        <f>MIS_Report!$B$2-F652</f>
        <v>198</v>
      </c>
      <c r="M652" t="str" cm="1">
        <f t="array" ref="M652">_xlfn.IFS(L652&lt;=30,"0-30",L652&lt;=60,"31-60",L652&lt;=90,"61-90",TRUE,"90+")</f>
        <v>90+</v>
      </c>
      <c r="N652">
        <f t="shared" si="21"/>
        <v>0</v>
      </c>
      <c r="O652" t="str">
        <f>VLOOKUP(K652,Agents!$A$1:$C$11,2,0)</f>
        <v>Manish Arora</v>
      </c>
      <c r="P652">
        <f t="shared" si="20"/>
        <v>0</v>
      </c>
    </row>
    <row r="653" spans="1:16" x14ac:dyDescent="0.25">
      <c r="A653" s="2" t="s">
        <v>1105</v>
      </c>
      <c r="B653" s="2" t="s">
        <v>1087</v>
      </c>
      <c r="C653" s="2" t="s">
        <v>46</v>
      </c>
      <c r="D653" s="2" t="s">
        <v>61</v>
      </c>
      <c r="E653" s="4">
        <v>46280</v>
      </c>
      <c r="F653" s="4">
        <v>46290</v>
      </c>
      <c r="G653" s="5">
        <v>3625</v>
      </c>
      <c r="H653" s="5"/>
      <c r="I653" s="2" t="s">
        <v>42</v>
      </c>
      <c r="J653" s="2" t="s">
        <v>1541</v>
      </c>
      <c r="K653" t="s">
        <v>48</v>
      </c>
      <c r="L653" s="12">
        <f>MIS_Report!$B$2-F653</f>
        <v>20</v>
      </c>
      <c r="M653" t="str" cm="1">
        <f t="array" ref="M653">_xlfn.IFS(L653&lt;=30,"0-30",L653&lt;=60,"31-60",L653&lt;=90,"61-90",TRUE,"90+")</f>
        <v>0-30</v>
      </c>
      <c r="N653">
        <f t="shared" si="21"/>
        <v>3625</v>
      </c>
      <c r="O653" t="str">
        <f>VLOOKUP(K653,Agents!$A$1:$C$11,2,0)</f>
        <v>Manish Arora</v>
      </c>
      <c r="P653">
        <f t="shared" si="20"/>
        <v>0</v>
      </c>
    </row>
    <row r="654" spans="1:16" x14ac:dyDescent="0.25">
      <c r="A654" s="2" t="s">
        <v>1106</v>
      </c>
      <c r="B654" s="2" t="s">
        <v>582</v>
      </c>
      <c r="C654" s="2" t="s">
        <v>29</v>
      </c>
      <c r="D654" s="2" t="s">
        <v>80</v>
      </c>
      <c r="E654" s="4">
        <v>46286</v>
      </c>
      <c r="F654" s="4">
        <v>46297</v>
      </c>
      <c r="G654" s="5">
        <v>14025</v>
      </c>
      <c r="H654" s="5"/>
      <c r="I654" s="2" t="s">
        <v>42</v>
      </c>
      <c r="J654" s="2" t="s">
        <v>1541</v>
      </c>
      <c r="K654" t="s">
        <v>38</v>
      </c>
      <c r="L654" s="12">
        <f>MIS_Report!$B$2-F654</f>
        <v>13</v>
      </c>
      <c r="M654" t="str" cm="1">
        <f t="array" ref="M654">_xlfn.IFS(L654&lt;=30,"0-30",L654&lt;=60,"31-60",L654&lt;=90,"61-90",TRUE,"90+")</f>
        <v>0-30</v>
      </c>
      <c r="N654">
        <f t="shared" si="21"/>
        <v>14025</v>
      </c>
      <c r="O654" t="str">
        <f>VLOOKUP(K654,Agents!$A$1:$C$11,2,0)</f>
        <v>Sunita Rao</v>
      </c>
      <c r="P654">
        <f t="shared" si="20"/>
        <v>0</v>
      </c>
    </row>
    <row r="655" spans="1:16" x14ac:dyDescent="0.25">
      <c r="A655" s="2" t="s">
        <v>1107</v>
      </c>
      <c r="B655" s="2" t="s">
        <v>654</v>
      </c>
      <c r="C655" s="2" t="s">
        <v>29</v>
      </c>
      <c r="D655" s="2" t="s">
        <v>41</v>
      </c>
      <c r="E655" s="4">
        <v>46262</v>
      </c>
      <c r="F655" s="4">
        <v>46280</v>
      </c>
      <c r="G655" s="5">
        <v>8025</v>
      </c>
      <c r="H655" s="5"/>
      <c r="I655" s="2" t="s">
        <v>42</v>
      </c>
      <c r="J655" s="2" t="s">
        <v>1541</v>
      </c>
      <c r="K655" t="s">
        <v>65</v>
      </c>
      <c r="L655" s="12">
        <f>MIS_Report!$B$2-F655</f>
        <v>30</v>
      </c>
      <c r="M655" t="str" cm="1">
        <f t="array" ref="M655">_xlfn.IFS(L655&lt;=30,"0-30",L655&lt;=60,"31-60",L655&lt;=90,"61-90",TRUE,"90+")</f>
        <v>0-30</v>
      </c>
      <c r="N655">
        <f t="shared" si="21"/>
        <v>8025</v>
      </c>
      <c r="O655" t="str">
        <f>VLOOKUP(K655,Agents!$A$1:$C$11,2,0)</f>
        <v>Deepak Nair</v>
      </c>
      <c r="P655">
        <f t="shared" si="20"/>
        <v>0</v>
      </c>
    </row>
    <row r="656" spans="1:16" x14ac:dyDescent="0.25">
      <c r="A656" s="2" t="s">
        <v>1108</v>
      </c>
      <c r="B656" s="2" t="s">
        <v>564</v>
      </c>
      <c r="C656" s="2" t="s">
        <v>46</v>
      </c>
      <c r="D656" s="2" t="s">
        <v>30</v>
      </c>
      <c r="E656" s="4">
        <v>46044</v>
      </c>
      <c r="F656" s="4">
        <v>46049</v>
      </c>
      <c r="G656" s="5">
        <v>6300</v>
      </c>
      <c r="H656" s="5"/>
      <c r="I656" s="2" t="s">
        <v>42</v>
      </c>
      <c r="J656" s="2" t="s">
        <v>1541</v>
      </c>
      <c r="K656" t="s">
        <v>65</v>
      </c>
      <c r="L656" s="12">
        <f>MIS_Report!$B$2-F656</f>
        <v>261</v>
      </c>
      <c r="M656" t="str" cm="1">
        <f t="array" ref="M656">_xlfn.IFS(L656&lt;=30,"0-30",L656&lt;=60,"31-60",L656&lt;=90,"61-90",TRUE,"90+")</f>
        <v>90+</v>
      </c>
      <c r="N656">
        <f t="shared" si="21"/>
        <v>6300</v>
      </c>
      <c r="O656" t="str">
        <f>VLOOKUP(K656,Agents!$A$1:$C$11,2,0)</f>
        <v>Deepak Nair</v>
      </c>
      <c r="P656">
        <f t="shared" si="20"/>
        <v>0</v>
      </c>
    </row>
    <row r="657" spans="1:16" x14ac:dyDescent="0.25">
      <c r="A657" s="2" t="s">
        <v>1109</v>
      </c>
      <c r="B657" s="2" t="s">
        <v>239</v>
      </c>
      <c r="C657" s="2" t="s">
        <v>46</v>
      </c>
      <c r="D657" s="2" t="s">
        <v>41</v>
      </c>
      <c r="E657" s="4">
        <v>46271</v>
      </c>
      <c r="F657" s="4">
        <v>46280</v>
      </c>
      <c r="G657" s="5">
        <v>4225</v>
      </c>
      <c r="H657" s="5"/>
      <c r="I657" s="2" t="s">
        <v>42</v>
      </c>
      <c r="J657" s="2" t="s">
        <v>1541</v>
      </c>
      <c r="K657" t="s">
        <v>65</v>
      </c>
      <c r="L657" s="12">
        <f>MIS_Report!$B$2-F657</f>
        <v>30</v>
      </c>
      <c r="M657" t="str" cm="1">
        <f t="array" ref="M657">_xlfn.IFS(L657&lt;=30,"0-30",L657&lt;=60,"31-60",L657&lt;=90,"61-90",TRUE,"90+")</f>
        <v>0-30</v>
      </c>
      <c r="N657">
        <f t="shared" si="21"/>
        <v>4225</v>
      </c>
      <c r="O657" t="str">
        <f>VLOOKUP(K657,Agents!$A$1:$C$11,2,0)</f>
        <v>Deepak Nair</v>
      </c>
      <c r="P657">
        <f t="shared" si="20"/>
        <v>0</v>
      </c>
    </row>
    <row r="658" spans="1:16" x14ac:dyDescent="0.25">
      <c r="A658" s="2" t="s">
        <v>1110</v>
      </c>
      <c r="B658" s="2" t="s">
        <v>840</v>
      </c>
      <c r="C658" s="2" t="s">
        <v>36</v>
      </c>
      <c r="D658" s="2" t="s">
        <v>41</v>
      </c>
      <c r="E658" s="4">
        <v>46073</v>
      </c>
      <c r="F658" s="4">
        <v>46090</v>
      </c>
      <c r="G658" s="5">
        <v>7200</v>
      </c>
      <c r="H658" s="5">
        <v>6991.83</v>
      </c>
      <c r="I658" s="2" t="s">
        <v>37</v>
      </c>
      <c r="J658" s="2" t="s">
        <v>1541</v>
      </c>
      <c r="K658" t="s">
        <v>43</v>
      </c>
      <c r="L658" s="12">
        <f>MIS_Report!$B$2-F658</f>
        <v>220</v>
      </c>
      <c r="M658" t="str" cm="1">
        <f t="array" ref="M658">_xlfn.IFS(L658&lt;=30,"0-30",L658&lt;=60,"31-60",L658&lt;=90,"61-90",TRUE,"90+")</f>
        <v>90+</v>
      </c>
      <c r="N658">
        <f t="shared" si="21"/>
        <v>0</v>
      </c>
      <c r="O658" t="str">
        <f>VLOOKUP(K658,Agents!$A$1:$C$11,2,0)</f>
        <v>Manish Arora</v>
      </c>
      <c r="P658">
        <f t="shared" si="20"/>
        <v>0</v>
      </c>
    </row>
    <row r="659" spans="1:16" x14ac:dyDescent="0.25">
      <c r="A659" s="2" t="s">
        <v>1111</v>
      </c>
      <c r="B659" s="2" t="s">
        <v>1112</v>
      </c>
      <c r="C659" s="2" t="s">
        <v>29</v>
      </c>
      <c r="D659" s="2" t="s">
        <v>1538</v>
      </c>
      <c r="E659" s="4">
        <v>46179</v>
      </c>
      <c r="F659" s="4">
        <v>46189</v>
      </c>
      <c r="G659" s="5">
        <v>11525</v>
      </c>
      <c r="H659" s="5">
        <v>10718.64</v>
      </c>
      <c r="I659" s="2" t="s">
        <v>37</v>
      </c>
      <c r="J659" s="2" t="s">
        <v>1541</v>
      </c>
      <c r="K659" t="s">
        <v>56</v>
      </c>
      <c r="L659" s="12">
        <f>MIS_Report!$B$2-F659</f>
        <v>121</v>
      </c>
      <c r="M659" t="str" cm="1">
        <f t="array" ref="M659">_xlfn.IFS(L659&lt;=30,"0-30",L659&lt;=60,"31-60",L659&lt;=90,"61-90",TRUE,"90+")</f>
        <v>90+</v>
      </c>
      <c r="N659">
        <f t="shared" si="21"/>
        <v>0</v>
      </c>
      <c r="O659" t="str">
        <f>VLOOKUP(K659,Agents!$A$1:$C$11,2,0)</f>
        <v>Manish Arora</v>
      </c>
      <c r="P659">
        <f t="shared" si="20"/>
        <v>0</v>
      </c>
    </row>
    <row r="660" spans="1:16" x14ac:dyDescent="0.25">
      <c r="A660" s="2" t="s">
        <v>1113</v>
      </c>
      <c r="B660" s="2" t="s">
        <v>226</v>
      </c>
      <c r="C660" s="2" t="s">
        <v>36</v>
      </c>
      <c r="D660" s="2" t="s">
        <v>55</v>
      </c>
      <c r="E660" s="4">
        <v>46192</v>
      </c>
      <c r="F660" s="4">
        <v>46203</v>
      </c>
      <c r="G660" s="5">
        <v>4875</v>
      </c>
      <c r="H660" s="5">
        <v>3518.59</v>
      </c>
      <c r="I660" s="2" t="s">
        <v>37</v>
      </c>
      <c r="J660" s="2" t="s">
        <v>1541</v>
      </c>
      <c r="K660" t="s">
        <v>65</v>
      </c>
      <c r="L660" s="12">
        <f>MIS_Report!$B$2-F660</f>
        <v>107</v>
      </c>
      <c r="M660" t="str" cm="1">
        <f t="array" ref="M660">_xlfn.IFS(L660&lt;=30,"0-30",L660&lt;=60,"31-60",L660&lt;=90,"61-90",TRUE,"90+")</f>
        <v>90+</v>
      </c>
      <c r="N660">
        <f t="shared" si="21"/>
        <v>0</v>
      </c>
      <c r="O660" t="str">
        <f>VLOOKUP(K660,Agents!$A$1:$C$11,2,0)</f>
        <v>Deepak Nair</v>
      </c>
      <c r="P660">
        <f t="shared" si="20"/>
        <v>0</v>
      </c>
    </row>
    <row r="661" spans="1:16" x14ac:dyDescent="0.25">
      <c r="A661" s="2" t="s">
        <v>1114</v>
      </c>
      <c r="B661" s="2" t="s">
        <v>543</v>
      </c>
      <c r="C661" s="2" t="s">
        <v>36</v>
      </c>
      <c r="D661" s="2" t="s">
        <v>55</v>
      </c>
      <c r="E661" s="4">
        <v>46040</v>
      </c>
      <c r="F661" s="4">
        <v>46048</v>
      </c>
      <c r="G661" s="5">
        <v>9250</v>
      </c>
      <c r="H661" s="5">
        <v>7474.87</v>
      </c>
      <c r="I661" s="2" t="s">
        <v>37</v>
      </c>
      <c r="J661" s="2" t="s">
        <v>1541</v>
      </c>
      <c r="K661" t="s">
        <v>43</v>
      </c>
      <c r="L661" s="12">
        <f>MIS_Report!$B$2-F661</f>
        <v>262</v>
      </c>
      <c r="M661" t="str" cm="1">
        <f t="array" ref="M661">_xlfn.IFS(L661&lt;=30,"0-30",L661&lt;=60,"31-60",L661&lt;=90,"61-90",TRUE,"90+")</f>
        <v>90+</v>
      </c>
      <c r="N661">
        <f t="shared" si="21"/>
        <v>0</v>
      </c>
      <c r="O661" t="str">
        <f>VLOOKUP(K661,Agents!$A$1:$C$11,2,0)</f>
        <v>Manish Arora</v>
      </c>
      <c r="P661">
        <f t="shared" si="20"/>
        <v>0</v>
      </c>
    </row>
    <row r="662" spans="1:16" x14ac:dyDescent="0.25">
      <c r="A662" s="2" t="s">
        <v>1115</v>
      </c>
      <c r="B662" s="2" t="s">
        <v>726</v>
      </c>
      <c r="C662" s="2" t="s">
        <v>29</v>
      </c>
      <c r="D662" s="2" t="s">
        <v>41</v>
      </c>
      <c r="E662" s="4">
        <v>46068</v>
      </c>
      <c r="F662" s="4">
        <v>46083</v>
      </c>
      <c r="G662" s="5">
        <v>8075</v>
      </c>
      <c r="H662" s="5"/>
      <c r="I662" s="2" t="s">
        <v>42</v>
      </c>
      <c r="J662" s="2" t="s">
        <v>1541</v>
      </c>
      <c r="K662" t="s">
        <v>109</v>
      </c>
      <c r="L662" s="12">
        <f>MIS_Report!$B$2-F662</f>
        <v>227</v>
      </c>
      <c r="M662" t="str" cm="1">
        <f t="array" ref="M662">_xlfn.IFS(L662&lt;=30,"0-30",L662&lt;=60,"31-60",L662&lt;=90,"61-90",TRUE,"90+")</f>
        <v>90+</v>
      </c>
      <c r="N662">
        <f t="shared" si="21"/>
        <v>8075</v>
      </c>
      <c r="O662" t="str">
        <f>VLOOKUP(K662,Agents!$A$1:$C$11,2,0)</f>
        <v>Deepak Nair</v>
      </c>
      <c r="P662">
        <f t="shared" si="20"/>
        <v>0</v>
      </c>
    </row>
    <row r="663" spans="1:16" x14ac:dyDescent="0.25">
      <c r="A663" s="2" t="s">
        <v>1116</v>
      </c>
      <c r="B663" s="2" t="s">
        <v>67</v>
      </c>
      <c r="C663" s="2" t="s">
        <v>29</v>
      </c>
      <c r="D663" s="2" t="s">
        <v>80</v>
      </c>
      <c r="E663" s="4">
        <v>46157</v>
      </c>
      <c r="F663" s="4">
        <v>46177</v>
      </c>
      <c r="G663" s="5">
        <v>1800</v>
      </c>
      <c r="H663" s="5">
        <v>1339.26</v>
      </c>
      <c r="I663" s="2" t="s">
        <v>37</v>
      </c>
      <c r="J663" s="2" t="s">
        <v>1541</v>
      </c>
      <c r="K663" t="s">
        <v>48</v>
      </c>
      <c r="L663" s="12">
        <f>MIS_Report!$B$2-F663</f>
        <v>133</v>
      </c>
      <c r="M663" t="str" cm="1">
        <f t="array" ref="M663">_xlfn.IFS(L663&lt;=30,"0-30",L663&lt;=60,"31-60",L663&lt;=90,"61-90",TRUE,"90+")</f>
        <v>90+</v>
      </c>
      <c r="N663">
        <f t="shared" si="21"/>
        <v>0</v>
      </c>
      <c r="O663" t="str">
        <f>VLOOKUP(K663,Agents!$A$1:$C$11,2,0)</f>
        <v>Manish Arora</v>
      </c>
      <c r="P663">
        <f t="shared" si="20"/>
        <v>0</v>
      </c>
    </row>
    <row r="664" spans="1:16" x14ac:dyDescent="0.25">
      <c r="A664" s="2" t="s">
        <v>1117</v>
      </c>
      <c r="B664" s="2" t="s">
        <v>144</v>
      </c>
      <c r="C664" s="2" t="s">
        <v>29</v>
      </c>
      <c r="D664" s="2" t="s">
        <v>41</v>
      </c>
      <c r="E664" s="4">
        <v>46254</v>
      </c>
      <c r="F664" s="4">
        <v>46257</v>
      </c>
      <c r="G664" s="5">
        <v>7175</v>
      </c>
      <c r="H664" s="5">
        <v>0</v>
      </c>
      <c r="I664" s="2" t="s">
        <v>31</v>
      </c>
      <c r="J664" s="2" t="s">
        <v>47</v>
      </c>
      <c r="K664" t="s">
        <v>38</v>
      </c>
      <c r="L664" s="12">
        <f>MIS_Report!$B$2-F664</f>
        <v>53</v>
      </c>
      <c r="M664" t="str" cm="1">
        <f t="array" ref="M664">_xlfn.IFS(L664&lt;=30,"0-30",L664&lt;=60,"31-60",L664&lt;=90,"61-90",TRUE,"90+")</f>
        <v>31-60</v>
      </c>
      <c r="N664">
        <f t="shared" si="21"/>
        <v>0</v>
      </c>
      <c r="O664" t="str">
        <f>VLOOKUP(K664,Agents!$A$1:$C$11,2,0)</f>
        <v>Sunita Rao</v>
      </c>
      <c r="P664">
        <f t="shared" si="20"/>
        <v>7175</v>
      </c>
    </row>
    <row r="665" spans="1:16" x14ac:dyDescent="0.25">
      <c r="A665" s="2" t="s">
        <v>1118</v>
      </c>
      <c r="B665" s="2" t="s">
        <v>1119</v>
      </c>
      <c r="C665" s="2" t="s">
        <v>36</v>
      </c>
      <c r="D665" s="2" t="s">
        <v>55</v>
      </c>
      <c r="E665" s="4">
        <v>46121</v>
      </c>
      <c r="F665" s="4">
        <v>46125</v>
      </c>
      <c r="G665" s="5">
        <v>12975</v>
      </c>
      <c r="H665" s="5">
        <v>8019.03</v>
      </c>
      <c r="I665" s="2" t="s">
        <v>37</v>
      </c>
      <c r="J665" s="2" t="s">
        <v>1541</v>
      </c>
      <c r="K665" t="s">
        <v>65</v>
      </c>
      <c r="L665" s="12">
        <f>MIS_Report!$B$2-F665</f>
        <v>185</v>
      </c>
      <c r="M665" t="str" cm="1">
        <f t="array" ref="M665">_xlfn.IFS(L665&lt;=30,"0-30",L665&lt;=60,"31-60",L665&lt;=90,"61-90",TRUE,"90+")</f>
        <v>90+</v>
      </c>
      <c r="N665">
        <f t="shared" si="21"/>
        <v>0</v>
      </c>
      <c r="O665" t="str">
        <f>VLOOKUP(K665,Agents!$A$1:$C$11,2,0)</f>
        <v>Deepak Nair</v>
      </c>
      <c r="P665">
        <f t="shared" si="20"/>
        <v>0</v>
      </c>
    </row>
    <row r="666" spans="1:16" x14ac:dyDescent="0.25">
      <c r="A666" s="2" t="s">
        <v>1120</v>
      </c>
      <c r="B666" s="2" t="s">
        <v>759</v>
      </c>
      <c r="C666" s="2" t="s">
        <v>29</v>
      </c>
      <c r="D666" s="2" t="s">
        <v>55</v>
      </c>
      <c r="E666" s="4">
        <v>46019</v>
      </c>
      <c r="F666" s="4">
        <v>46029</v>
      </c>
      <c r="G666" s="5">
        <v>6450</v>
      </c>
      <c r="H666" s="5">
        <v>4998.24</v>
      </c>
      <c r="I666" s="2" t="s">
        <v>37</v>
      </c>
      <c r="J666" s="2" t="s">
        <v>1541</v>
      </c>
      <c r="K666" t="s">
        <v>48</v>
      </c>
      <c r="L666" s="12">
        <f>MIS_Report!$B$2-F666</f>
        <v>281</v>
      </c>
      <c r="M666" t="str" cm="1">
        <f t="array" ref="M666">_xlfn.IFS(L666&lt;=30,"0-30",L666&lt;=60,"31-60",L666&lt;=90,"61-90",TRUE,"90+")</f>
        <v>90+</v>
      </c>
      <c r="N666">
        <f t="shared" si="21"/>
        <v>0</v>
      </c>
      <c r="O666" t="str">
        <f>VLOOKUP(K666,Agents!$A$1:$C$11,2,0)</f>
        <v>Manish Arora</v>
      </c>
      <c r="P666">
        <f t="shared" si="20"/>
        <v>0</v>
      </c>
    </row>
    <row r="667" spans="1:16" x14ac:dyDescent="0.25">
      <c r="A667" s="2" t="s">
        <v>1121</v>
      </c>
      <c r="B667" s="2" t="s">
        <v>1122</v>
      </c>
      <c r="C667" s="2" t="s">
        <v>29</v>
      </c>
      <c r="D667" s="2" t="s">
        <v>61</v>
      </c>
      <c r="E667" s="4">
        <v>46236</v>
      </c>
      <c r="F667" s="4">
        <v>46245</v>
      </c>
      <c r="G667" s="5">
        <v>7400</v>
      </c>
      <c r="H667" s="5">
        <v>6480.87</v>
      </c>
      <c r="I667" s="2" t="s">
        <v>37</v>
      </c>
      <c r="J667" s="2" t="s">
        <v>1541</v>
      </c>
      <c r="K667" t="s">
        <v>48</v>
      </c>
      <c r="L667" s="12">
        <f>MIS_Report!$B$2-F667</f>
        <v>65</v>
      </c>
      <c r="M667" t="str" cm="1">
        <f t="array" ref="M667">_xlfn.IFS(L667&lt;=30,"0-30",L667&lt;=60,"31-60",L667&lt;=90,"61-90",TRUE,"90+")</f>
        <v>61-90</v>
      </c>
      <c r="N667">
        <f t="shared" si="21"/>
        <v>0</v>
      </c>
      <c r="O667" t="str">
        <f>VLOOKUP(K667,Agents!$A$1:$C$11,2,0)</f>
        <v>Manish Arora</v>
      </c>
      <c r="P667">
        <f t="shared" si="20"/>
        <v>0</v>
      </c>
    </row>
    <row r="668" spans="1:16" x14ac:dyDescent="0.25">
      <c r="A668" s="2" t="s">
        <v>1123</v>
      </c>
      <c r="B668" s="2" t="s">
        <v>1124</v>
      </c>
      <c r="C668" s="2" t="s">
        <v>36</v>
      </c>
      <c r="D668" s="2" t="s">
        <v>94</v>
      </c>
      <c r="E668" s="4">
        <v>46285</v>
      </c>
      <c r="F668" s="4">
        <v>46296</v>
      </c>
      <c r="G668" s="5">
        <v>8575</v>
      </c>
      <c r="H668" s="5"/>
      <c r="I668" s="2" t="s">
        <v>42</v>
      </c>
      <c r="J668" s="2" t="s">
        <v>1541</v>
      </c>
      <c r="K668" t="s">
        <v>109</v>
      </c>
      <c r="L668" s="12">
        <f>MIS_Report!$B$2-F668</f>
        <v>14</v>
      </c>
      <c r="M668" t="str" cm="1">
        <f t="array" ref="M668">_xlfn.IFS(L668&lt;=30,"0-30",L668&lt;=60,"31-60",L668&lt;=90,"61-90",TRUE,"90+")</f>
        <v>0-30</v>
      </c>
      <c r="N668">
        <f t="shared" si="21"/>
        <v>8575</v>
      </c>
      <c r="O668" t="str">
        <f>VLOOKUP(K668,Agents!$A$1:$C$11,2,0)</f>
        <v>Deepak Nair</v>
      </c>
      <c r="P668">
        <f t="shared" si="20"/>
        <v>0</v>
      </c>
    </row>
    <row r="669" spans="1:16" x14ac:dyDescent="0.25">
      <c r="A669" s="2" t="s">
        <v>1125</v>
      </c>
      <c r="B669" s="2" t="s">
        <v>586</v>
      </c>
      <c r="C669" s="2" t="s">
        <v>46</v>
      </c>
      <c r="D669" s="2" t="s">
        <v>41</v>
      </c>
      <c r="E669" s="4">
        <v>46024</v>
      </c>
      <c r="F669" s="4">
        <v>46042</v>
      </c>
      <c r="G669" s="5">
        <v>11975</v>
      </c>
      <c r="H669" s="5">
        <v>11924.49</v>
      </c>
      <c r="I669" s="2" t="s">
        <v>37</v>
      </c>
      <c r="J669" s="2" t="s">
        <v>1541</v>
      </c>
      <c r="K669" t="s">
        <v>48</v>
      </c>
      <c r="L669" s="12">
        <f>MIS_Report!$B$2-F669</f>
        <v>268</v>
      </c>
      <c r="M669" t="str" cm="1">
        <f t="array" ref="M669">_xlfn.IFS(L669&lt;=30,"0-30",L669&lt;=60,"31-60",L669&lt;=90,"61-90",TRUE,"90+")</f>
        <v>90+</v>
      </c>
      <c r="N669">
        <f t="shared" si="21"/>
        <v>0</v>
      </c>
      <c r="O669" t="str">
        <f>VLOOKUP(K669,Agents!$A$1:$C$11,2,0)</f>
        <v>Manish Arora</v>
      </c>
      <c r="P669">
        <f t="shared" si="20"/>
        <v>0</v>
      </c>
    </row>
    <row r="670" spans="1:16" x14ac:dyDescent="0.25">
      <c r="A670" s="2" t="s">
        <v>1126</v>
      </c>
      <c r="B670" s="2" t="s">
        <v>469</v>
      </c>
      <c r="C670" s="2" t="s">
        <v>46</v>
      </c>
      <c r="D670" s="2" t="s">
        <v>41</v>
      </c>
      <c r="E670" s="4">
        <v>46042</v>
      </c>
      <c r="F670" s="4">
        <v>46052</v>
      </c>
      <c r="G670" s="5">
        <v>9750</v>
      </c>
      <c r="H670" s="5">
        <v>6914.9</v>
      </c>
      <c r="I670" s="2" t="s">
        <v>37</v>
      </c>
      <c r="J670" s="2" t="s">
        <v>1541</v>
      </c>
      <c r="K670" t="s">
        <v>43</v>
      </c>
      <c r="L670" s="12">
        <f>MIS_Report!$B$2-F670</f>
        <v>258</v>
      </c>
      <c r="M670" t="str" cm="1">
        <f t="array" ref="M670">_xlfn.IFS(L670&lt;=30,"0-30",L670&lt;=60,"31-60",L670&lt;=90,"61-90",TRUE,"90+")</f>
        <v>90+</v>
      </c>
      <c r="N670">
        <f t="shared" si="21"/>
        <v>0</v>
      </c>
      <c r="O670" t="str">
        <f>VLOOKUP(K670,Agents!$A$1:$C$11,2,0)</f>
        <v>Manish Arora</v>
      </c>
      <c r="P670">
        <f t="shared" si="20"/>
        <v>0</v>
      </c>
    </row>
    <row r="671" spans="1:16" x14ac:dyDescent="0.25">
      <c r="A671" s="2" t="s">
        <v>1127</v>
      </c>
      <c r="B671" s="2" t="s">
        <v>584</v>
      </c>
      <c r="C671" s="2" t="s">
        <v>29</v>
      </c>
      <c r="D671" s="2" t="s">
        <v>68</v>
      </c>
      <c r="E671" s="4">
        <v>46283</v>
      </c>
      <c r="F671" s="4">
        <v>46295</v>
      </c>
      <c r="G671" s="5">
        <v>8200</v>
      </c>
      <c r="H671" s="5"/>
      <c r="I671" s="2" t="s">
        <v>42</v>
      </c>
      <c r="J671" s="2" t="s">
        <v>1541</v>
      </c>
      <c r="K671" t="s">
        <v>109</v>
      </c>
      <c r="L671" s="12">
        <f>MIS_Report!$B$2-F671</f>
        <v>15</v>
      </c>
      <c r="M671" t="str" cm="1">
        <f t="array" ref="M671">_xlfn.IFS(L671&lt;=30,"0-30",L671&lt;=60,"31-60",L671&lt;=90,"61-90",TRUE,"90+")</f>
        <v>0-30</v>
      </c>
      <c r="N671">
        <f t="shared" si="21"/>
        <v>8200</v>
      </c>
      <c r="O671" t="str">
        <f>VLOOKUP(K671,Agents!$A$1:$C$11,2,0)</f>
        <v>Deepak Nair</v>
      </c>
      <c r="P671">
        <f t="shared" si="20"/>
        <v>0</v>
      </c>
    </row>
    <row r="672" spans="1:16" x14ac:dyDescent="0.25">
      <c r="A672" s="2" t="s">
        <v>1128</v>
      </c>
      <c r="B672" s="2" t="s">
        <v>318</v>
      </c>
      <c r="C672" s="2" t="s">
        <v>46</v>
      </c>
      <c r="D672" s="2" t="s">
        <v>80</v>
      </c>
      <c r="E672" s="4">
        <v>46113</v>
      </c>
      <c r="F672" s="4">
        <v>46131</v>
      </c>
      <c r="G672" s="5">
        <v>14700</v>
      </c>
      <c r="H672" s="5">
        <v>0</v>
      </c>
      <c r="I672" s="2" t="s">
        <v>31</v>
      </c>
      <c r="J672" s="2" t="s">
        <v>47</v>
      </c>
      <c r="K672" t="s">
        <v>33</v>
      </c>
      <c r="L672" s="12">
        <f>MIS_Report!$B$2-F672</f>
        <v>179</v>
      </c>
      <c r="M672" t="str" cm="1">
        <f t="array" ref="M672">_xlfn.IFS(L672&lt;=30,"0-30",L672&lt;=60,"31-60",L672&lt;=90,"61-90",TRUE,"90+")</f>
        <v>90+</v>
      </c>
      <c r="N672">
        <f t="shared" si="21"/>
        <v>0</v>
      </c>
      <c r="O672" t="str">
        <f>VLOOKUP(K672,Agents!$A$1:$C$11,2,0)</f>
        <v>Manish Arora</v>
      </c>
      <c r="P672">
        <f t="shared" si="20"/>
        <v>14700</v>
      </c>
    </row>
    <row r="673" spans="1:16" x14ac:dyDescent="0.25">
      <c r="A673" s="2" t="s">
        <v>1129</v>
      </c>
      <c r="B673" s="2" t="s">
        <v>1130</v>
      </c>
      <c r="C673" s="2" t="s">
        <v>46</v>
      </c>
      <c r="D673" s="2" t="s">
        <v>30</v>
      </c>
      <c r="E673" s="4">
        <v>46088</v>
      </c>
      <c r="F673" s="4">
        <v>46091</v>
      </c>
      <c r="G673" s="5">
        <v>1950</v>
      </c>
      <c r="H673" s="5">
        <v>1870.35</v>
      </c>
      <c r="I673" s="2" t="s">
        <v>37</v>
      </c>
      <c r="J673" s="2" t="s">
        <v>1541</v>
      </c>
      <c r="K673" t="s">
        <v>38</v>
      </c>
      <c r="L673" s="12">
        <f>MIS_Report!$B$2-F673</f>
        <v>219</v>
      </c>
      <c r="M673" t="str" cm="1">
        <f t="array" ref="M673">_xlfn.IFS(L673&lt;=30,"0-30",L673&lt;=60,"31-60",L673&lt;=90,"61-90",TRUE,"90+")</f>
        <v>90+</v>
      </c>
      <c r="N673">
        <f t="shared" si="21"/>
        <v>0</v>
      </c>
      <c r="O673" t="str">
        <f>VLOOKUP(K673,Agents!$A$1:$C$11,2,0)</f>
        <v>Sunita Rao</v>
      </c>
      <c r="P673">
        <f t="shared" si="20"/>
        <v>0</v>
      </c>
    </row>
    <row r="674" spans="1:16" x14ac:dyDescent="0.25">
      <c r="A674" s="2" t="s">
        <v>1131</v>
      </c>
      <c r="B674" s="2" t="s">
        <v>972</v>
      </c>
      <c r="C674" s="2" t="s">
        <v>46</v>
      </c>
      <c r="D674" s="2" t="s">
        <v>41</v>
      </c>
      <c r="E674" s="4">
        <v>46134</v>
      </c>
      <c r="F674" s="4">
        <v>46152</v>
      </c>
      <c r="G674" s="5">
        <v>12200</v>
      </c>
      <c r="H674" s="5"/>
      <c r="I674" s="2" t="s">
        <v>42</v>
      </c>
      <c r="J674" s="2" t="s">
        <v>1541</v>
      </c>
      <c r="K674" t="s">
        <v>48</v>
      </c>
      <c r="L674" s="12">
        <f>MIS_Report!$B$2-F674</f>
        <v>158</v>
      </c>
      <c r="M674" t="str" cm="1">
        <f t="array" ref="M674">_xlfn.IFS(L674&lt;=30,"0-30",L674&lt;=60,"31-60",L674&lt;=90,"61-90",TRUE,"90+")</f>
        <v>90+</v>
      </c>
      <c r="N674">
        <f t="shared" si="21"/>
        <v>12200</v>
      </c>
      <c r="O674" t="str">
        <f>VLOOKUP(K674,Agents!$A$1:$C$11,2,0)</f>
        <v>Manish Arora</v>
      </c>
      <c r="P674">
        <f t="shared" si="20"/>
        <v>0</v>
      </c>
    </row>
    <row r="675" spans="1:16" x14ac:dyDescent="0.25">
      <c r="A675" s="2" t="s">
        <v>1132</v>
      </c>
      <c r="B675" s="2" t="s">
        <v>282</v>
      </c>
      <c r="C675" s="2" t="s">
        <v>29</v>
      </c>
      <c r="D675" s="2" t="s">
        <v>80</v>
      </c>
      <c r="E675" s="4">
        <v>46084</v>
      </c>
      <c r="F675" s="4">
        <v>46103</v>
      </c>
      <c r="G675" s="5">
        <v>11225</v>
      </c>
      <c r="H675" s="5">
        <v>6781.3</v>
      </c>
      <c r="I675" s="2" t="s">
        <v>37</v>
      </c>
      <c r="J675" s="2" t="s">
        <v>1541</v>
      </c>
      <c r="K675" t="s">
        <v>43</v>
      </c>
      <c r="L675" s="12">
        <f>MIS_Report!$B$2-F675</f>
        <v>207</v>
      </c>
      <c r="M675" t="str" cm="1">
        <f t="array" ref="M675">_xlfn.IFS(L675&lt;=30,"0-30",L675&lt;=60,"31-60",L675&lt;=90,"61-90",TRUE,"90+")</f>
        <v>90+</v>
      </c>
      <c r="N675">
        <f t="shared" si="21"/>
        <v>0</v>
      </c>
      <c r="O675" t="str">
        <f>VLOOKUP(K675,Agents!$A$1:$C$11,2,0)</f>
        <v>Manish Arora</v>
      </c>
      <c r="P675">
        <f t="shared" si="20"/>
        <v>0</v>
      </c>
    </row>
    <row r="676" spans="1:16" x14ac:dyDescent="0.25">
      <c r="A676" s="2" t="s">
        <v>1133</v>
      </c>
      <c r="B676" s="2" t="s">
        <v>1040</v>
      </c>
      <c r="C676" s="2" t="s">
        <v>29</v>
      </c>
      <c r="D676" s="2" t="s">
        <v>30</v>
      </c>
      <c r="E676" s="4">
        <v>46139</v>
      </c>
      <c r="F676" s="4">
        <v>46155</v>
      </c>
      <c r="G676" s="5">
        <v>14275</v>
      </c>
      <c r="H676" s="5"/>
      <c r="I676" s="2" t="s">
        <v>42</v>
      </c>
      <c r="J676" s="2" t="s">
        <v>1541</v>
      </c>
      <c r="K676" t="s">
        <v>56</v>
      </c>
      <c r="L676" s="12">
        <f>MIS_Report!$B$2-F676</f>
        <v>155</v>
      </c>
      <c r="M676" t="str" cm="1">
        <f t="array" ref="M676">_xlfn.IFS(L676&lt;=30,"0-30",L676&lt;=60,"31-60",L676&lt;=90,"61-90",TRUE,"90+")</f>
        <v>90+</v>
      </c>
      <c r="N676">
        <f t="shared" si="21"/>
        <v>14275</v>
      </c>
      <c r="O676" t="str">
        <f>VLOOKUP(K676,Agents!$A$1:$C$11,2,0)</f>
        <v>Manish Arora</v>
      </c>
      <c r="P676">
        <f t="shared" si="20"/>
        <v>0</v>
      </c>
    </row>
    <row r="677" spans="1:16" x14ac:dyDescent="0.25">
      <c r="A677" s="2" t="s">
        <v>1134</v>
      </c>
      <c r="B677" s="2" t="s">
        <v>405</v>
      </c>
      <c r="C677" s="2" t="s">
        <v>29</v>
      </c>
      <c r="D677" s="2" t="s">
        <v>94</v>
      </c>
      <c r="E677" s="4">
        <v>46282</v>
      </c>
      <c r="F677" s="4">
        <v>46296</v>
      </c>
      <c r="G677" s="5">
        <v>12750</v>
      </c>
      <c r="H677" s="5"/>
      <c r="I677" s="2" t="s">
        <v>42</v>
      </c>
      <c r="J677" s="2" t="s">
        <v>1541</v>
      </c>
      <c r="K677" t="s">
        <v>48</v>
      </c>
      <c r="L677" s="12">
        <f>MIS_Report!$B$2-F677</f>
        <v>14</v>
      </c>
      <c r="M677" t="str" cm="1">
        <f t="array" ref="M677">_xlfn.IFS(L677&lt;=30,"0-30",L677&lt;=60,"31-60",L677&lt;=90,"61-90",TRUE,"90+")</f>
        <v>0-30</v>
      </c>
      <c r="N677">
        <f t="shared" si="21"/>
        <v>12750</v>
      </c>
      <c r="O677" t="str">
        <f>VLOOKUP(K677,Agents!$A$1:$C$11,2,0)</f>
        <v>Manish Arora</v>
      </c>
      <c r="P677">
        <f t="shared" si="20"/>
        <v>0</v>
      </c>
    </row>
    <row r="678" spans="1:16" x14ac:dyDescent="0.25">
      <c r="A678" s="2" t="s">
        <v>1135</v>
      </c>
      <c r="B678" s="2" t="s">
        <v>936</v>
      </c>
      <c r="C678" s="2" t="s">
        <v>46</v>
      </c>
      <c r="D678" s="2" t="s">
        <v>80</v>
      </c>
      <c r="E678" s="4">
        <v>46143</v>
      </c>
      <c r="F678" s="4">
        <v>46157</v>
      </c>
      <c r="G678" s="5">
        <v>975</v>
      </c>
      <c r="H678" s="5">
        <v>796.31</v>
      </c>
      <c r="I678" s="2" t="s">
        <v>37</v>
      </c>
      <c r="J678" s="2" t="s">
        <v>1541</v>
      </c>
      <c r="K678" t="s">
        <v>83</v>
      </c>
      <c r="L678" s="12">
        <f>MIS_Report!$B$2-F678</f>
        <v>153</v>
      </c>
      <c r="M678" t="str" cm="1">
        <f t="array" ref="M678">_xlfn.IFS(L678&lt;=30,"0-30",L678&lt;=60,"31-60",L678&lt;=90,"61-90",TRUE,"90+")</f>
        <v>90+</v>
      </c>
      <c r="N678">
        <f t="shared" si="21"/>
        <v>0</v>
      </c>
      <c r="O678" t="str">
        <f>VLOOKUP(K678,Agents!$A$1:$C$11,2,0)</f>
        <v>Deepak Nair</v>
      </c>
      <c r="P678">
        <f t="shared" si="20"/>
        <v>0</v>
      </c>
    </row>
    <row r="679" spans="1:16" x14ac:dyDescent="0.25">
      <c r="A679" s="2" t="s">
        <v>1136</v>
      </c>
      <c r="B679" s="2" t="s">
        <v>431</v>
      </c>
      <c r="C679" s="2" t="s">
        <v>79</v>
      </c>
      <c r="D679" s="2" t="s">
        <v>68</v>
      </c>
      <c r="E679" s="4">
        <v>46160</v>
      </c>
      <c r="F679" s="4">
        <v>46172</v>
      </c>
      <c r="G679" s="5">
        <v>1125</v>
      </c>
      <c r="H679" s="5">
        <v>0</v>
      </c>
      <c r="I679" s="2" t="s">
        <v>31</v>
      </c>
      <c r="J679" s="2" t="s">
        <v>347</v>
      </c>
      <c r="K679" t="s">
        <v>62</v>
      </c>
      <c r="L679" s="12">
        <f>MIS_Report!$B$2-F679</f>
        <v>138</v>
      </c>
      <c r="M679" t="str" cm="1">
        <f t="array" ref="M679">_xlfn.IFS(L679&lt;=30,"0-30",L679&lt;=60,"31-60",L679&lt;=90,"61-90",TRUE,"90+")</f>
        <v>90+</v>
      </c>
      <c r="N679">
        <f t="shared" si="21"/>
        <v>0</v>
      </c>
      <c r="O679" t="str">
        <f>VLOOKUP(K679,Agents!$A$1:$C$11,2,0)</f>
        <v>Sunita Rao</v>
      </c>
      <c r="P679">
        <f t="shared" si="20"/>
        <v>1125</v>
      </c>
    </row>
    <row r="680" spans="1:16" x14ac:dyDescent="0.25">
      <c r="A680" s="2" t="s">
        <v>1137</v>
      </c>
      <c r="B680" s="2" t="s">
        <v>235</v>
      </c>
      <c r="C680" s="2" t="s">
        <v>36</v>
      </c>
      <c r="D680" s="2" t="s">
        <v>61</v>
      </c>
      <c r="E680" s="4">
        <v>46188</v>
      </c>
      <c r="F680" s="4">
        <v>46207</v>
      </c>
      <c r="G680" s="5">
        <v>13300</v>
      </c>
      <c r="H680" s="5">
        <v>9278.02</v>
      </c>
      <c r="I680" s="2" t="s">
        <v>37</v>
      </c>
      <c r="J680" s="2" t="s">
        <v>1541</v>
      </c>
      <c r="K680" t="s">
        <v>109</v>
      </c>
      <c r="L680" s="12">
        <f>MIS_Report!$B$2-F680</f>
        <v>103</v>
      </c>
      <c r="M680" t="str" cm="1">
        <f t="array" ref="M680">_xlfn.IFS(L680&lt;=30,"0-30",L680&lt;=60,"31-60",L680&lt;=90,"61-90",TRUE,"90+")</f>
        <v>90+</v>
      </c>
      <c r="N680">
        <f t="shared" si="21"/>
        <v>0</v>
      </c>
      <c r="O680" t="str">
        <f>VLOOKUP(K680,Agents!$A$1:$C$11,2,0)</f>
        <v>Deepak Nair</v>
      </c>
      <c r="P680">
        <f t="shared" si="20"/>
        <v>0</v>
      </c>
    </row>
    <row r="681" spans="1:16" x14ac:dyDescent="0.25">
      <c r="A681" s="2" t="s">
        <v>1139</v>
      </c>
      <c r="B681" s="2" t="s">
        <v>197</v>
      </c>
      <c r="C681" s="2" t="s">
        <v>36</v>
      </c>
      <c r="D681" s="2" t="s">
        <v>55</v>
      </c>
      <c r="E681" s="4">
        <v>46056</v>
      </c>
      <c r="F681" s="4">
        <v>46066</v>
      </c>
      <c r="G681" s="5">
        <v>2100</v>
      </c>
      <c r="H681" s="5">
        <v>0</v>
      </c>
      <c r="I681" s="2" t="s">
        <v>31</v>
      </c>
      <c r="J681" s="2" t="s">
        <v>72</v>
      </c>
      <c r="K681" t="s">
        <v>83</v>
      </c>
      <c r="L681" s="12">
        <f>MIS_Report!$B$2-F681</f>
        <v>244</v>
      </c>
      <c r="M681" t="str" cm="1">
        <f t="array" ref="M681">_xlfn.IFS(L681&lt;=30,"0-30",L681&lt;=60,"31-60",L681&lt;=90,"61-90",TRUE,"90+")</f>
        <v>90+</v>
      </c>
      <c r="N681">
        <f t="shared" si="21"/>
        <v>0</v>
      </c>
      <c r="O681" t="str">
        <f>VLOOKUP(K681,Agents!$A$1:$C$11,2,0)</f>
        <v>Deepak Nair</v>
      </c>
      <c r="P681">
        <f t="shared" si="20"/>
        <v>2100</v>
      </c>
    </row>
    <row r="682" spans="1:16" x14ac:dyDescent="0.25">
      <c r="A682" s="2" t="s">
        <v>1140</v>
      </c>
      <c r="B682" s="2" t="s">
        <v>170</v>
      </c>
      <c r="C682" s="2" t="s">
        <v>46</v>
      </c>
      <c r="D682" s="2" t="s">
        <v>41</v>
      </c>
      <c r="E682" s="4">
        <v>46278</v>
      </c>
      <c r="F682" s="4">
        <v>46294</v>
      </c>
      <c r="G682" s="5">
        <v>13550</v>
      </c>
      <c r="H682" s="5"/>
      <c r="I682" s="2" t="s">
        <v>42</v>
      </c>
      <c r="J682" s="2" t="s">
        <v>1541</v>
      </c>
      <c r="K682" t="s">
        <v>56</v>
      </c>
      <c r="L682" s="12">
        <f>MIS_Report!$B$2-F682</f>
        <v>16</v>
      </c>
      <c r="M682" t="str" cm="1">
        <f t="array" ref="M682">_xlfn.IFS(L682&lt;=30,"0-30",L682&lt;=60,"31-60",L682&lt;=90,"61-90",TRUE,"90+")</f>
        <v>0-30</v>
      </c>
      <c r="N682">
        <f t="shared" si="21"/>
        <v>13550</v>
      </c>
      <c r="O682" t="str">
        <f>VLOOKUP(K682,Agents!$A$1:$C$11,2,0)</f>
        <v>Manish Arora</v>
      </c>
      <c r="P682">
        <f t="shared" si="20"/>
        <v>0</v>
      </c>
    </row>
    <row r="683" spans="1:16" x14ac:dyDescent="0.25">
      <c r="A683" s="2" t="s">
        <v>1141</v>
      </c>
      <c r="B683" s="2" t="s">
        <v>427</v>
      </c>
      <c r="C683" s="2" t="s">
        <v>79</v>
      </c>
      <c r="D683" s="2" t="s">
        <v>30</v>
      </c>
      <c r="E683" s="4">
        <v>46109</v>
      </c>
      <c r="F683" s="4">
        <v>46115</v>
      </c>
      <c r="G683" s="5">
        <v>8525</v>
      </c>
      <c r="H683" s="5">
        <v>6233.46</v>
      </c>
      <c r="I683" s="2" t="s">
        <v>37</v>
      </c>
      <c r="J683" s="2" t="s">
        <v>1541</v>
      </c>
      <c r="K683" t="s">
        <v>38</v>
      </c>
      <c r="L683" s="12">
        <f>MIS_Report!$B$2-F683</f>
        <v>195</v>
      </c>
      <c r="M683" t="str" cm="1">
        <f t="array" ref="M683">_xlfn.IFS(L683&lt;=30,"0-30",L683&lt;=60,"31-60",L683&lt;=90,"61-90",TRUE,"90+")</f>
        <v>90+</v>
      </c>
      <c r="N683">
        <f t="shared" si="21"/>
        <v>0</v>
      </c>
      <c r="O683" t="str">
        <f>VLOOKUP(K683,Agents!$A$1:$C$11,2,0)</f>
        <v>Sunita Rao</v>
      </c>
      <c r="P683">
        <f t="shared" si="20"/>
        <v>0</v>
      </c>
    </row>
    <row r="684" spans="1:16" x14ac:dyDescent="0.25">
      <c r="A684" s="2" t="s">
        <v>1142</v>
      </c>
      <c r="B684" s="2" t="s">
        <v>102</v>
      </c>
      <c r="C684" s="2" t="s">
        <v>29</v>
      </c>
      <c r="D684" s="2" t="s">
        <v>71</v>
      </c>
      <c r="E684" s="4">
        <v>46019</v>
      </c>
      <c r="F684" s="4">
        <v>46038</v>
      </c>
      <c r="G684" s="5">
        <v>5775</v>
      </c>
      <c r="H684" s="5">
        <v>0</v>
      </c>
      <c r="I684" s="2" t="s">
        <v>31</v>
      </c>
      <c r="J684" s="2" t="s">
        <v>47</v>
      </c>
      <c r="K684" t="s">
        <v>109</v>
      </c>
      <c r="L684" s="12">
        <f>MIS_Report!$B$2-F684</f>
        <v>272</v>
      </c>
      <c r="M684" t="str" cm="1">
        <f t="array" ref="M684">_xlfn.IFS(L684&lt;=30,"0-30",L684&lt;=60,"31-60",L684&lt;=90,"61-90",TRUE,"90+")</f>
        <v>90+</v>
      </c>
      <c r="N684">
        <f t="shared" si="21"/>
        <v>0</v>
      </c>
      <c r="O684" t="str">
        <f>VLOOKUP(K684,Agents!$A$1:$C$11,2,0)</f>
        <v>Deepak Nair</v>
      </c>
      <c r="P684">
        <f t="shared" si="20"/>
        <v>5775</v>
      </c>
    </row>
    <row r="685" spans="1:16" x14ac:dyDescent="0.25">
      <c r="A685" s="2" t="s">
        <v>1143</v>
      </c>
      <c r="B685" s="2" t="s">
        <v>1083</v>
      </c>
      <c r="C685" s="2" t="s">
        <v>79</v>
      </c>
      <c r="D685" s="2" t="s">
        <v>30</v>
      </c>
      <c r="E685" s="4">
        <v>46048</v>
      </c>
      <c r="F685" s="4">
        <v>46054</v>
      </c>
      <c r="G685" s="5">
        <v>350</v>
      </c>
      <c r="H685" s="5">
        <v>223.67</v>
      </c>
      <c r="I685" s="2" t="s">
        <v>37</v>
      </c>
      <c r="J685" s="2" t="s">
        <v>1541</v>
      </c>
      <c r="K685" t="s">
        <v>48</v>
      </c>
      <c r="L685" s="12">
        <f>MIS_Report!$B$2-F685</f>
        <v>256</v>
      </c>
      <c r="M685" t="str" cm="1">
        <f t="array" ref="M685">_xlfn.IFS(L685&lt;=30,"0-30",L685&lt;=60,"31-60",L685&lt;=90,"61-90",TRUE,"90+")</f>
        <v>90+</v>
      </c>
      <c r="N685">
        <f t="shared" si="21"/>
        <v>0</v>
      </c>
      <c r="O685" t="str">
        <f>VLOOKUP(K685,Agents!$A$1:$C$11,2,0)</f>
        <v>Manish Arora</v>
      </c>
      <c r="P685">
        <f t="shared" si="20"/>
        <v>0</v>
      </c>
    </row>
    <row r="686" spans="1:16" x14ac:dyDescent="0.25">
      <c r="A686" s="2" t="s">
        <v>1144</v>
      </c>
      <c r="B686" s="2" t="s">
        <v>1040</v>
      </c>
      <c r="C686" s="2" t="s">
        <v>29</v>
      </c>
      <c r="D686" s="2" t="s">
        <v>94</v>
      </c>
      <c r="E686" s="4">
        <v>46142</v>
      </c>
      <c r="F686" s="4">
        <v>46148</v>
      </c>
      <c r="G686" s="5">
        <v>9925</v>
      </c>
      <c r="H686" s="5"/>
      <c r="I686" s="2" t="s">
        <v>42</v>
      </c>
      <c r="J686" s="2" t="s">
        <v>1541</v>
      </c>
      <c r="K686" t="s">
        <v>109</v>
      </c>
      <c r="L686" s="12">
        <f>MIS_Report!$B$2-F686</f>
        <v>162</v>
      </c>
      <c r="M686" t="str" cm="1">
        <f t="array" ref="M686">_xlfn.IFS(L686&lt;=30,"0-30",L686&lt;=60,"31-60",L686&lt;=90,"61-90",TRUE,"90+")</f>
        <v>90+</v>
      </c>
      <c r="N686">
        <f t="shared" si="21"/>
        <v>9925</v>
      </c>
      <c r="O686" t="str">
        <f>VLOOKUP(K686,Agents!$A$1:$C$11,2,0)</f>
        <v>Deepak Nair</v>
      </c>
      <c r="P686">
        <f t="shared" si="20"/>
        <v>0</v>
      </c>
    </row>
    <row r="687" spans="1:16" x14ac:dyDescent="0.25">
      <c r="A687" s="2" t="s">
        <v>1146</v>
      </c>
      <c r="B687" s="2" t="s">
        <v>274</v>
      </c>
      <c r="C687" s="2" t="s">
        <v>29</v>
      </c>
      <c r="D687" s="2" t="s">
        <v>30</v>
      </c>
      <c r="E687" s="4">
        <v>46182</v>
      </c>
      <c r="F687" s="4">
        <v>46201</v>
      </c>
      <c r="G687" s="5">
        <v>5325</v>
      </c>
      <c r="H687" s="5">
        <v>4906.8999999999996</v>
      </c>
      <c r="I687" s="2" t="s">
        <v>37</v>
      </c>
      <c r="J687" s="2" t="s">
        <v>1541</v>
      </c>
      <c r="K687" t="s">
        <v>65</v>
      </c>
      <c r="L687" s="12">
        <f>MIS_Report!$B$2-F687</f>
        <v>109</v>
      </c>
      <c r="M687" t="str" cm="1">
        <f t="array" ref="M687">_xlfn.IFS(L687&lt;=30,"0-30",L687&lt;=60,"31-60",L687&lt;=90,"61-90",TRUE,"90+")</f>
        <v>90+</v>
      </c>
      <c r="N687">
        <f t="shared" si="21"/>
        <v>0</v>
      </c>
      <c r="O687" t="str">
        <f>VLOOKUP(K687,Agents!$A$1:$C$11,2,0)</f>
        <v>Deepak Nair</v>
      </c>
      <c r="P687">
        <f t="shared" si="20"/>
        <v>0</v>
      </c>
    </row>
    <row r="688" spans="1:16" x14ac:dyDescent="0.25">
      <c r="A688" s="2" t="s">
        <v>1147</v>
      </c>
      <c r="B688" s="2" t="s">
        <v>533</v>
      </c>
      <c r="C688" s="2" t="s">
        <v>79</v>
      </c>
      <c r="D688" s="2" t="s">
        <v>71</v>
      </c>
      <c r="E688" s="4">
        <v>46077</v>
      </c>
      <c r="F688" s="4">
        <v>46085</v>
      </c>
      <c r="G688" s="5">
        <v>3225</v>
      </c>
      <c r="H688" s="5">
        <v>1861.32</v>
      </c>
      <c r="I688" s="2" t="s">
        <v>37</v>
      </c>
      <c r="J688" s="2" t="s">
        <v>1541</v>
      </c>
      <c r="K688" t="s">
        <v>33</v>
      </c>
      <c r="L688" s="12">
        <f>MIS_Report!$B$2-F688</f>
        <v>225</v>
      </c>
      <c r="M688" t="str" cm="1">
        <f t="array" ref="M688">_xlfn.IFS(L688&lt;=30,"0-30",L688&lt;=60,"31-60",L688&lt;=90,"61-90",TRUE,"90+")</f>
        <v>90+</v>
      </c>
      <c r="N688">
        <f t="shared" si="21"/>
        <v>0</v>
      </c>
      <c r="O688" t="str">
        <f>VLOOKUP(K688,Agents!$A$1:$C$11,2,0)</f>
        <v>Manish Arora</v>
      </c>
      <c r="P688">
        <f t="shared" si="20"/>
        <v>0</v>
      </c>
    </row>
    <row r="689" spans="1:16" x14ac:dyDescent="0.25">
      <c r="A689" s="2" t="s">
        <v>1148</v>
      </c>
      <c r="B689" s="2" t="s">
        <v>829</v>
      </c>
      <c r="C689" s="2" t="s">
        <v>29</v>
      </c>
      <c r="D689" s="2" t="s">
        <v>80</v>
      </c>
      <c r="E689" s="4">
        <v>46175</v>
      </c>
      <c r="F689" s="4">
        <v>46183</v>
      </c>
      <c r="G689" s="5">
        <v>12300</v>
      </c>
      <c r="H689" s="5">
        <v>7882.62</v>
      </c>
      <c r="I689" s="2" t="s">
        <v>37</v>
      </c>
      <c r="J689" s="2" t="s">
        <v>1541</v>
      </c>
      <c r="K689" t="s">
        <v>38</v>
      </c>
      <c r="L689" s="12">
        <f>MIS_Report!$B$2-F689</f>
        <v>127</v>
      </c>
      <c r="M689" t="str" cm="1">
        <f t="array" ref="M689">_xlfn.IFS(L689&lt;=30,"0-30",L689&lt;=60,"31-60",L689&lt;=90,"61-90",TRUE,"90+")</f>
        <v>90+</v>
      </c>
      <c r="N689">
        <f t="shared" si="21"/>
        <v>0</v>
      </c>
      <c r="O689" t="str">
        <f>VLOOKUP(K689,Agents!$A$1:$C$11,2,0)</f>
        <v>Sunita Rao</v>
      </c>
      <c r="P689">
        <f t="shared" si="20"/>
        <v>0</v>
      </c>
    </row>
    <row r="690" spans="1:16" x14ac:dyDescent="0.25">
      <c r="A690" s="2" t="s">
        <v>1149</v>
      </c>
      <c r="B690" s="2" t="s">
        <v>154</v>
      </c>
      <c r="C690" s="2" t="s">
        <v>46</v>
      </c>
      <c r="D690" s="2" t="s">
        <v>55</v>
      </c>
      <c r="E690" s="4">
        <v>46159</v>
      </c>
      <c r="F690" s="4">
        <v>46178</v>
      </c>
      <c r="G690" s="5">
        <v>11325</v>
      </c>
      <c r="H690" s="5"/>
      <c r="I690" s="2" t="s">
        <v>42</v>
      </c>
      <c r="J690" s="2" t="s">
        <v>1541</v>
      </c>
      <c r="K690" t="s">
        <v>62</v>
      </c>
      <c r="L690" s="12">
        <f>MIS_Report!$B$2-F690</f>
        <v>132</v>
      </c>
      <c r="M690" t="str" cm="1">
        <f t="array" ref="M690">_xlfn.IFS(L690&lt;=30,"0-30",L690&lt;=60,"31-60",L690&lt;=90,"61-90",TRUE,"90+")</f>
        <v>90+</v>
      </c>
      <c r="N690">
        <f t="shared" si="21"/>
        <v>11325</v>
      </c>
      <c r="O690" t="str">
        <f>VLOOKUP(K690,Agents!$A$1:$C$11,2,0)</f>
        <v>Sunita Rao</v>
      </c>
      <c r="P690">
        <f t="shared" si="20"/>
        <v>0</v>
      </c>
    </row>
    <row r="691" spans="1:16" x14ac:dyDescent="0.25">
      <c r="A691" s="2" t="s">
        <v>1150</v>
      </c>
      <c r="B691" s="2" t="s">
        <v>431</v>
      </c>
      <c r="C691" s="2" t="s">
        <v>36</v>
      </c>
      <c r="D691" s="2" t="s">
        <v>80</v>
      </c>
      <c r="E691" s="4">
        <v>46061</v>
      </c>
      <c r="F691" s="4">
        <v>46065</v>
      </c>
      <c r="G691" s="5">
        <v>5775</v>
      </c>
      <c r="H691" s="5">
        <v>5735.11</v>
      </c>
      <c r="I691" s="2" t="s">
        <v>37</v>
      </c>
      <c r="J691" s="2" t="s">
        <v>1541</v>
      </c>
      <c r="K691" t="s">
        <v>65</v>
      </c>
      <c r="L691" s="12">
        <f>MIS_Report!$B$2-F691</f>
        <v>245</v>
      </c>
      <c r="M691" t="str" cm="1">
        <f t="array" ref="M691">_xlfn.IFS(L691&lt;=30,"0-30",L691&lt;=60,"31-60",L691&lt;=90,"61-90",TRUE,"90+")</f>
        <v>90+</v>
      </c>
      <c r="N691">
        <f t="shared" si="21"/>
        <v>0</v>
      </c>
      <c r="O691" t="str">
        <f>VLOOKUP(K691,Agents!$A$1:$C$11,2,0)</f>
        <v>Deepak Nair</v>
      </c>
      <c r="P691">
        <f t="shared" si="20"/>
        <v>0</v>
      </c>
    </row>
    <row r="692" spans="1:16" x14ac:dyDescent="0.25">
      <c r="A692" s="2" t="s">
        <v>1151</v>
      </c>
      <c r="B692" s="2" t="s">
        <v>491</v>
      </c>
      <c r="C692" s="2" t="s">
        <v>36</v>
      </c>
      <c r="D692" s="2" t="s">
        <v>68</v>
      </c>
      <c r="E692" s="4">
        <v>46067</v>
      </c>
      <c r="F692" s="4">
        <v>46071</v>
      </c>
      <c r="G692" s="5">
        <v>9450</v>
      </c>
      <c r="H692" s="5">
        <v>6751.47</v>
      </c>
      <c r="I692" s="2" t="s">
        <v>37</v>
      </c>
      <c r="J692" s="2" t="s">
        <v>1541</v>
      </c>
      <c r="K692" t="s">
        <v>83</v>
      </c>
      <c r="L692" s="12">
        <f>MIS_Report!$B$2-F692</f>
        <v>239</v>
      </c>
      <c r="M692" t="str" cm="1">
        <f t="array" ref="M692">_xlfn.IFS(L692&lt;=30,"0-30",L692&lt;=60,"31-60",L692&lt;=90,"61-90",TRUE,"90+")</f>
        <v>90+</v>
      </c>
      <c r="N692">
        <f t="shared" si="21"/>
        <v>0</v>
      </c>
      <c r="O692" t="str">
        <f>VLOOKUP(K692,Agents!$A$1:$C$11,2,0)</f>
        <v>Deepak Nair</v>
      </c>
      <c r="P692">
        <f t="shared" si="20"/>
        <v>0</v>
      </c>
    </row>
    <row r="693" spans="1:16" x14ac:dyDescent="0.25">
      <c r="A693" s="2" t="s">
        <v>1152</v>
      </c>
      <c r="B693" s="2" t="s">
        <v>120</v>
      </c>
      <c r="C693" s="2" t="s">
        <v>29</v>
      </c>
      <c r="D693" s="2" t="s">
        <v>68</v>
      </c>
      <c r="E693" s="4">
        <v>46063</v>
      </c>
      <c r="F693" s="4">
        <v>46074</v>
      </c>
      <c r="G693" s="5">
        <v>12025</v>
      </c>
      <c r="H693" s="5">
        <v>9404.9599999999991</v>
      </c>
      <c r="I693" s="2" t="s">
        <v>37</v>
      </c>
      <c r="J693" s="2" t="s">
        <v>1541</v>
      </c>
      <c r="K693" t="s">
        <v>62</v>
      </c>
      <c r="L693" s="12">
        <f>MIS_Report!$B$2-F693</f>
        <v>236</v>
      </c>
      <c r="M693" t="str" cm="1">
        <f t="array" ref="M693">_xlfn.IFS(L693&lt;=30,"0-30",L693&lt;=60,"31-60",L693&lt;=90,"61-90",TRUE,"90+")</f>
        <v>90+</v>
      </c>
      <c r="N693">
        <f t="shared" si="21"/>
        <v>0</v>
      </c>
      <c r="O693" t="str">
        <f>VLOOKUP(K693,Agents!$A$1:$C$11,2,0)</f>
        <v>Sunita Rao</v>
      </c>
      <c r="P693">
        <f t="shared" si="20"/>
        <v>0</v>
      </c>
    </row>
    <row r="694" spans="1:16" x14ac:dyDescent="0.25">
      <c r="A694" s="2" t="s">
        <v>1153</v>
      </c>
      <c r="B694" s="2" t="s">
        <v>991</v>
      </c>
      <c r="C694" s="2" t="s">
        <v>46</v>
      </c>
      <c r="D694" s="2" t="s">
        <v>80</v>
      </c>
      <c r="E694" s="4">
        <v>46110</v>
      </c>
      <c r="F694" s="4">
        <v>46126</v>
      </c>
      <c r="G694" s="5">
        <v>7025</v>
      </c>
      <c r="H694" s="5"/>
      <c r="I694" s="2" t="s">
        <v>42</v>
      </c>
      <c r="J694" s="2" t="s">
        <v>1541</v>
      </c>
      <c r="K694" t="s">
        <v>83</v>
      </c>
      <c r="L694" s="12">
        <f>MIS_Report!$B$2-F694</f>
        <v>184</v>
      </c>
      <c r="M694" t="str" cm="1">
        <f t="array" ref="M694">_xlfn.IFS(L694&lt;=30,"0-30",L694&lt;=60,"31-60",L694&lt;=90,"61-90",TRUE,"90+")</f>
        <v>90+</v>
      </c>
      <c r="N694">
        <f t="shared" si="21"/>
        <v>7025</v>
      </c>
      <c r="O694" t="str">
        <f>VLOOKUP(K694,Agents!$A$1:$C$11,2,0)</f>
        <v>Deepak Nair</v>
      </c>
      <c r="P694">
        <f t="shared" si="20"/>
        <v>0</v>
      </c>
    </row>
    <row r="695" spans="1:16" x14ac:dyDescent="0.25">
      <c r="A695" s="2" t="s">
        <v>1154</v>
      </c>
      <c r="B695" s="2" t="s">
        <v>562</v>
      </c>
      <c r="C695" s="2" t="s">
        <v>29</v>
      </c>
      <c r="D695" s="2" t="s">
        <v>41</v>
      </c>
      <c r="E695" s="4">
        <v>46266</v>
      </c>
      <c r="F695" s="4">
        <v>46280</v>
      </c>
      <c r="G695" s="5">
        <v>10925</v>
      </c>
      <c r="H695" s="5"/>
      <c r="I695" s="2" t="s">
        <v>42</v>
      </c>
      <c r="J695" s="2" t="s">
        <v>1541</v>
      </c>
      <c r="K695" t="s">
        <v>65</v>
      </c>
      <c r="L695" s="12">
        <f>MIS_Report!$B$2-F695</f>
        <v>30</v>
      </c>
      <c r="M695" t="str" cm="1">
        <f t="array" ref="M695">_xlfn.IFS(L695&lt;=30,"0-30",L695&lt;=60,"31-60",L695&lt;=90,"61-90",TRUE,"90+")</f>
        <v>0-30</v>
      </c>
      <c r="N695">
        <f t="shared" si="21"/>
        <v>10925</v>
      </c>
      <c r="O695" t="str">
        <f>VLOOKUP(K695,Agents!$A$1:$C$11,2,0)</f>
        <v>Deepak Nair</v>
      </c>
      <c r="P695">
        <f t="shared" si="20"/>
        <v>0</v>
      </c>
    </row>
    <row r="696" spans="1:16" x14ac:dyDescent="0.25">
      <c r="A696" s="2" t="s">
        <v>1155</v>
      </c>
      <c r="B696" s="2" t="s">
        <v>156</v>
      </c>
      <c r="C696" s="2" t="s">
        <v>29</v>
      </c>
      <c r="D696" s="2" t="s">
        <v>55</v>
      </c>
      <c r="E696" s="4">
        <v>46057</v>
      </c>
      <c r="F696" s="4">
        <v>46069</v>
      </c>
      <c r="G696" s="5">
        <v>12425</v>
      </c>
      <c r="H696" s="5">
        <v>0</v>
      </c>
      <c r="I696" s="2" t="s">
        <v>31</v>
      </c>
      <c r="J696" s="2" t="s">
        <v>271</v>
      </c>
      <c r="K696" t="s">
        <v>83</v>
      </c>
      <c r="L696" s="12">
        <f>MIS_Report!$B$2-F696</f>
        <v>241</v>
      </c>
      <c r="M696" t="str" cm="1">
        <f t="array" ref="M696">_xlfn.IFS(L696&lt;=30,"0-30",L696&lt;=60,"31-60",L696&lt;=90,"61-90",TRUE,"90+")</f>
        <v>90+</v>
      </c>
      <c r="N696">
        <f t="shared" si="21"/>
        <v>0</v>
      </c>
      <c r="O696" t="str">
        <f>VLOOKUP(K696,Agents!$A$1:$C$11,2,0)</f>
        <v>Deepak Nair</v>
      </c>
      <c r="P696">
        <f t="shared" si="20"/>
        <v>12425</v>
      </c>
    </row>
    <row r="697" spans="1:16" x14ac:dyDescent="0.25">
      <c r="A697" s="2" t="s">
        <v>1156</v>
      </c>
      <c r="B697" s="2" t="s">
        <v>555</v>
      </c>
      <c r="C697" s="2" t="s">
        <v>29</v>
      </c>
      <c r="D697" s="2" t="s">
        <v>80</v>
      </c>
      <c r="E697" s="4">
        <v>46111</v>
      </c>
      <c r="F697" s="4">
        <v>46130</v>
      </c>
      <c r="G697" s="5">
        <v>1100</v>
      </c>
      <c r="H697" s="5">
        <v>664.54</v>
      </c>
      <c r="I697" s="2" t="s">
        <v>37</v>
      </c>
      <c r="J697" s="2" t="s">
        <v>1541</v>
      </c>
      <c r="K697" t="s">
        <v>33</v>
      </c>
      <c r="L697" s="12">
        <f>MIS_Report!$B$2-F697</f>
        <v>180</v>
      </c>
      <c r="M697" t="str" cm="1">
        <f t="array" ref="M697">_xlfn.IFS(L697&lt;=30,"0-30",L697&lt;=60,"31-60",L697&lt;=90,"61-90",TRUE,"90+")</f>
        <v>90+</v>
      </c>
      <c r="N697">
        <f t="shared" si="21"/>
        <v>0</v>
      </c>
      <c r="O697" t="str">
        <f>VLOOKUP(K697,Agents!$A$1:$C$11,2,0)</f>
        <v>Manish Arora</v>
      </c>
      <c r="P697">
        <f t="shared" si="20"/>
        <v>0</v>
      </c>
    </row>
    <row r="698" spans="1:16" x14ac:dyDescent="0.25">
      <c r="A698" s="2" t="s">
        <v>1157</v>
      </c>
      <c r="B698" s="2" t="s">
        <v>308</v>
      </c>
      <c r="C698" s="2" t="s">
        <v>46</v>
      </c>
      <c r="D698" s="2" t="s">
        <v>68</v>
      </c>
      <c r="E698" s="4">
        <v>46253</v>
      </c>
      <c r="F698" s="4">
        <v>46259</v>
      </c>
      <c r="G698" s="5">
        <v>625</v>
      </c>
      <c r="H698" s="5">
        <v>578.19000000000005</v>
      </c>
      <c r="I698" s="2" t="s">
        <v>37</v>
      </c>
      <c r="J698" s="2" t="s">
        <v>1541</v>
      </c>
      <c r="K698" t="s">
        <v>38</v>
      </c>
      <c r="L698" s="12">
        <f>MIS_Report!$B$2-F698</f>
        <v>51</v>
      </c>
      <c r="M698" t="str" cm="1">
        <f t="array" ref="M698">_xlfn.IFS(L698&lt;=30,"0-30",L698&lt;=60,"31-60",L698&lt;=90,"61-90",TRUE,"90+")</f>
        <v>31-60</v>
      </c>
      <c r="N698">
        <f t="shared" si="21"/>
        <v>0</v>
      </c>
      <c r="O698" t="str">
        <f>VLOOKUP(K698,Agents!$A$1:$C$11,2,0)</f>
        <v>Sunita Rao</v>
      </c>
      <c r="P698">
        <f t="shared" si="20"/>
        <v>0</v>
      </c>
    </row>
    <row r="699" spans="1:16" x14ac:dyDescent="0.25">
      <c r="A699" s="2" t="s">
        <v>1158</v>
      </c>
      <c r="B699" s="2" t="s">
        <v>1159</v>
      </c>
      <c r="C699" s="2" t="s">
        <v>79</v>
      </c>
      <c r="D699" s="2" t="s">
        <v>41</v>
      </c>
      <c r="E699" s="4">
        <v>46031</v>
      </c>
      <c r="F699" s="4">
        <v>46037</v>
      </c>
      <c r="G699" s="5">
        <v>4175</v>
      </c>
      <c r="H699" s="5"/>
      <c r="I699" s="2" t="s">
        <v>42</v>
      </c>
      <c r="J699" s="2" t="s">
        <v>1541</v>
      </c>
      <c r="K699" t="s">
        <v>56</v>
      </c>
      <c r="L699" s="12">
        <f>MIS_Report!$B$2-F699</f>
        <v>273</v>
      </c>
      <c r="M699" t="str" cm="1">
        <f t="array" ref="M699">_xlfn.IFS(L699&lt;=30,"0-30",L699&lt;=60,"31-60",L699&lt;=90,"61-90",TRUE,"90+")</f>
        <v>90+</v>
      </c>
      <c r="N699">
        <f t="shared" si="21"/>
        <v>4175</v>
      </c>
      <c r="O699" t="str">
        <f>VLOOKUP(K699,Agents!$A$1:$C$11,2,0)</f>
        <v>Manish Arora</v>
      </c>
      <c r="P699">
        <f t="shared" si="20"/>
        <v>0</v>
      </c>
    </row>
    <row r="700" spans="1:16" x14ac:dyDescent="0.25">
      <c r="A700" s="2" t="s">
        <v>1160</v>
      </c>
      <c r="B700" s="2" t="s">
        <v>1161</v>
      </c>
      <c r="C700" s="2" t="s">
        <v>29</v>
      </c>
      <c r="D700" s="2" t="s">
        <v>68</v>
      </c>
      <c r="E700" s="4">
        <v>46275</v>
      </c>
      <c r="F700" s="4">
        <v>46290</v>
      </c>
      <c r="G700" s="5">
        <v>6050</v>
      </c>
      <c r="H700" s="5"/>
      <c r="I700" s="2" t="s">
        <v>42</v>
      </c>
      <c r="J700" s="2" t="s">
        <v>1541</v>
      </c>
      <c r="K700" t="s">
        <v>65</v>
      </c>
      <c r="L700" s="12">
        <f>MIS_Report!$B$2-F700</f>
        <v>20</v>
      </c>
      <c r="M700" t="str" cm="1">
        <f t="array" ref="M700">_xlfn.IFS(L700&lt;=30,"0-30",L700&lt;=60,"31-60",L700&lt;=90,"61-90",TRUE,"90+")</f>
        <v>0-30</v>
      </c>
      <c r="N700">
        <f t="shared" si="21"/>
        <v>6050</v>
      </c>
      <c r="O700" t="str">
        <f>VLOOKUP(K700,Agents!$A$1:$C$11,2,0)</f>
        <v>Deepak Nair</v>
      </c>
      <c r="P700">
        <f t="shared" si="20"/>
        <v>0</v>
      </c>
    </row>
    <row r="701" spans="1:16" x14ac:dyDescent="0.25">
      <c r="A701" s="2" t="s">
        <v>1162</v>
      </c>
      <c r="B701" s="2" t="s">
        <v>243</v>
      </c>
      <c r="C701" s="2" t="s">
        <v>79</v>
      </c>
      <c r="D701" s="2" t="s">
        <v>41</v>
      </c>
      <c r="E701" s="4">
        <v>46137</v>
      </c>
      <c r="F701" s="4">
        <v>46148</v>
      </c>
      <c r="G701" s="5">
        <v>1875</v>
      </c>
      <c r="H701" s="5">
        <v>1742.95</v>
      </c>
      <c r="I701" s="2" t="s">
        <v>37</v>
      </c>
      <c r="J701" s="2" t="s">
        <v>1541</v>
      </c>
      <c r="K701" t="s">
        <v>52</v>
      </c>
      <c r="L701" s="12">
        <f>MIS_Report!$B$2-F701</f>
        <v>162</v>
      </c>
      <c r="M701" t="str" cm="1">
        <f t="array" ref="M701">_xlfn.IFS(L701&lt;=30,"0-30",L701&lt;=60,"31-60",L701&lt;=90,"61-90",TRUE,"90+")</f>
        <v>90+</v>
      </c>
      <c r="N701">
        <f t="shared" si="21"/>
        <v>0</v>
      </c>
      <c r="O701" t="str">
        <f>VLOOKUP(K701,Agents!$A$1:$C$11,2,0)</f>
        <v>Sunita Rao</v>
      </c>
      <c r="P701">
        <f t="shared" si="20"/>
        <v>0</v>
      </c>
    </row>
    <row r="702" spans="1:16" x14ac:dyDescent="0.25">
      <c r="A702" s="2" t="s">
        <v>1163</v>
      </c>
      <c r="B702" s="2" t="s">
        <v>615</v>
      </c>
      <c r="C702" s="2" t="s">
        <v>79</v>
      </c>
      <c r="D702" s="2" t="s">
        <v>41</v>
      </c>
      <c r="E702" s="4">
        <v>46207</v>
      </c>
      <c r="F702" s="4">
        <v>46217</v>
      </c>
      <c r="G702" s="5">
        <v>10650</v>
      </c>
      <c r="H702" s="5">
        <v>0</v>
      </c>
      <c r="I702" s="2" t="s">
        <v>31</v>
      </c>
      <c r="J702" s="2" t="s">
        <v>347</v>
      </c>
      <c r="K702" t="s">
        <v>38</v>
      </c>
      <c r="L702" s="12">
        <f>MIS_Report!$B$2-F702</f>
        <v>93</v>
      </c>
      <c r="M702" t="str" cm="1">
        <f t="array" ref="M702">_xlfn.IFS(L702&lt;=30,"0-30",L702&lt;=60,"31-60",L702&lt;=90,"61-90",TRUE,"90+")</f>
        <v>90+</v>
      </c>
      <c r="N702">
        <f t="shared" si="21"/>
        <v>0</v>
      </c>
      <c r="O702" t="str">
        <f>VLOOKUP(K702,Agents!$A$1:$C$11,2,0)</f>
        <v>Sunita Rao</v>
      </c>
      <c r="P702">
        <f t="shared" si="20"/>
        <v>10650</v>
      </c>
    </row>
    <row r="703" spans="1:16" x14ac:dyDescent="0.25">
      <c r="A703" s="2" t="s">
        <v>1164</v>
      </c>
      <c r="B703" s="2" t="s">
        <v>343</v>
      </c>
      <c r="C703" s="2" t="s">
        <v>46</v>
      </c>
      <c r="D703" s="2" t="s">
        <v>41</v>
      </c>
      <c r="E703" s="4">
        <v>46094</v>
      </c>
      <c r="F703" s="4">
        <v>46108</v>
      </c>
      <c r="G703" s="5">
        <v>1225</v>
      </c>
      <c r="H703" s="5"/>
      <c r="I703" s="2" t="s">
        <v>42</v>
      </c>
      <c r="J703" s="2" t="s">
        <v>1541</v>
      </c>
      <c r="K703" t="s">
        <v>62</v>
      </c>
      <c r="L703" s="12">
        <f>MIS_Report!$B$2-F703</f>
        <v>202</v>
      </c>
      <c r="M703" t="str" cm="1">
        <f t="array" ref="M703">_xlfn.IFS(L703&lt;=30,"0-30",L703&lt;=60,"31-60",L703&lt;=90,"61-90",TRUE,"90+")</f>
        <v>90+</v>
      </c>
      <c r="N703">
        <f t="shared" si="21"/>
        <v>1225</v>
      </c>
      <c r="O703" t="str">
        <f>VLOOKUP(K703,Agents!$A$1:$C$11,2,0)</f>
        <v>Sunita Rao</v>
      </c>
      <c r="P703">
        <f t="shared" si="20"/>
        <v>0</v>
      </c>
    </row>
    <row r="704" spans="1:16" x14ac:dyDescent="0.25">
      <c r="A704" s="2" t="s">
        <v>1165</v>
      </c>
      <c r="B704" s="2" t="s">
        <v>1166</v>
      </c>
      <c r="C704" s="2" t="s">
        <v>46</v>
      </c>
      <c r="D704" s="2" t="s">
        <v>94</v>
      </c>
      <c r="E704" s="4">
        <v>46097</v>
      </c>
      <c r="F704" s="4">
        <v>46115</v>
      </c>
      <c r="G704" s="5">
        <v>11475</v>
      </c>
      <c r="H704" s="5">
        <v>0</v>
      </c>
      <c r="I704" s="2" t="s">
        <v>31</v>
      </c>
      <c r="J704" s="2" t="s">
        <v>271</v>
      </c>
      <c r="K704" t="s">
        <v>33</v>
      </c>
      <c r="L704" s="12">
        <f>MIS_Report!$B$2-F704</f>
        <v>195</v>
      </c>
      <c r="M704" t="str" cm="1">
        <f t="array" ref="M704">_xlfn.IFS(L704&lt;=30,"0-30",L704&lt;=60,"31-60",L704&lt;=90,"61-90",TRUE,"90+")</f>
        <v>90+</v>
      </c>
      <c r="N704">
        <f t="shared" si="21"/>
        <v>0</v>
      </c>
      <c r="O704" t="str">
        <f>VLOOKUP(K704,Agents!$A$1:$C$11,2,0)</f>
        <v>Manish Arora</v>
      </c>
      <c r="P704">
        <f t="shared" si="20"/>
        <v>11475</v>
      </c>
    </row>
    <row r="705" spans="1:16" x14ac:dyDescent="0.25">
      <c r="A705" s="2" t="s">
        <v>1167</v>
      </c>
      <c r="B705" s="2" t="s">
        <v>333</v>
      </c>
      <c r="C705" s="2" t="s">
        <v>36</v>
      </c>
      <c r="D705" s="2" t="s">
        <v>41</v>
      </c>
      <c r="E705" s="4">
        <v>46138</v>
      </c>
      <c r="F705" s="4">
        <v>46147</v>
      </c>
      <c r="G705" s="5">
        <v>9850</v>
      </c>
      <c r="H705" s="5">
        <v>9324.2900000000009</v>
      </c>
      <c r="I705" s="2" t="s">
        <v>37</v>
      </c>
      <c r="J705" s="2" t="s">
        <v>1541</v>
      </c>
      <c r="K705" t="s">
        <v>109</v>
      </c>
      <c r="L705" s="12">
        <f>MIS_Report!$B$2-F705</f>
        <v>163</v>
      </c>
      <c r="M705" t="str" cm="1">
        <f t="array" ref="M705">_xlfn.IFS(L705&lt;=30,"0-30",L705&lt;=60,"31-60",L705&lt;=90,"61-90",TRUE,"90+")</f>
        <v>90+</v>
      </c>
      <c r="N705">
        <f t="shared" si="21"/>
        <v>0</v>
      </c>
      <c r="O705" t="str">
        <f>VLOOKUP(K705,Agents!$A$1:$C$11,2,0)</f>
        <v>Deepak Nair</v>
      </c>
      <c r="P705">
        <f t="shared" si="20"/>
        <v>0</v>
      </c>
    </row>
    <row r="706" spans="1:16" x14ac:dyDescent="0.25">
      <c r="A706" s="2" t="s">
        <v>1168</v>
      </c>
      <c r="B706" s="2" t="s">
        <v>525</v>
      </c>
      <c r="C706" s="2" t="s">
        <v>29</v>
      </c>
      <c r="D706" s="2" t="s">
        <v>30</v>
      </c>
      <c r="E706" s="4">
        <v>46078</v>
      </c>
      <c r="F706" s="4">
        <v>46091</v>
      </c>
      <c r="G706" s="5">
        <v>7750</v>
      </c>
      <c r="H706" s="5">
        <v>6603.77</v>
      </c>
      <c r="I706" s="2" t="s">
        <v>37</v>
      </c>
      <c r="J706" s="2" t="s">
        <v>1541</v>
      </c>
      <c r="K706" t="s">
        <v>62</v>
      </c>
      <c r="L706" s="12">
        <f>MIS_Report!$B$2-F706</f>
        <v>219</v>
      </c>
      <c r="M706" t="str" cm="1">
        <f t="array" ref="M706">_xlfn.IFS(L706&lt;=30,"0-30",L706&lt;=60,"31-60",L706&lt;=90,"61-90",TRUE,"90+")</f>
        <v>90+</v>
      </c>
      <c r="N706">
        <f t="shared" si="21"/>
        <v>0</v>
      </c>
      <c r="O706" t="str">
        <f>VLOOKUP(K706,Agents!$A$1:$C$11,2,0)</f>
        <v>Sunita Rao</v>
      </c>
      <c r="P706">
        <f t="shared" si="20"/>
        <v>0</v>
      </c>
    </row>
    <row r="707" spans="1:16" x14ac:dyDescent="0.25">
      <c r="A707" s="2" t="s">
        <v>1169</v>
      </c>
      <c r="B707" s="2" t="s">
        <v>1170</v>
      </c>
      <c r="C707" s="2" t="s">
        <v>46</v>
      </c>
      <c r="D707" s="2" t="s">
        <v>30</v>
      </c>
      <c r="E707" s="4">
        <v>46199</v>
      </c>
      <c r="F707" s="4">
        <v>46208</v>
      </c>
      <c r="G707" s="5">
        <v>4350</v>
      </c>
      <c r="H707" s="5">
        <v>3809.81</v>
      </c>
      <c r="I707" s="2" t="s">
        <v>37</v>
      </c>
      <c r="J707" s="2" t="s">
        <v>1541</v>
      </c>
      <c r="K707" t="s">
        <v>83</v>
      </c>
      <c r="L707" s="12">
        <f>MIS_Report!$B$2-F707</f>
        <v>102</v>
      </c>
      <c r="M707" t="str" cm="1">
        <f t="array" ref="M707">_xlfn.IFS(L707&lt;=30,"0-30",L707&lt;=60,"31-60",L707&lt;=90,"61-90",TRUE,"90+")</f>
        <v>90+</v>
      </c>
      <c r="N707">
        <f t="shared" si="21"/>
        <v>0</v>
      </c>
      <c r="O707" t="str">
        <f>VLOOKUP(K707,Agents!$A$1:$C$11,2,0)</f>
        <v>Deepak Nair</v>
      </c>
      <c r="P707">
        <f t="shared" ref="P707:P770" si="22">IF(I707="Denied",G707,0)</f>
        <v>0</v>
      </c>
    </row>
    <row r="708" spans="1:16" x14ac:dyDescent="0.25">
      <c r="A708" s="2" t="s">
        <v>1171</v>
      </c>
      <c r="B708" s="2" t="s">
        <v>266</v>
      </c>
      <c r="C708" s="2" t="s">
        <v>46</v>
      </c>
      <c r="D708" s="2" t="s">
        <v>80</v>
      </c>
      <c r="E708" s="4">
        <v>46064</v>
      </c>
      <c r="F708" s="4">
        <v>46082</v>
      </c>
      <c r="G708" s="5">
        <v>14700</v>
      </c>
      <c r="H708" s="5"/>
      <c r="I708" s="2" t="s">
        <v>42</v>
      </c>
      <c r="J708" s="2" t="s">
        <v>1541</v>
      </c>
      <c r="K708" t="s">
        <v>83</v>
      </c>
      <c r="L708" s="12">
        <f>MIS_Report!$B$2-F708</f>
        <v>228</v>
      </c>
      <c r="M708" t="str" cm="1">
        <f t="array" ref="M708">_xlfn.IFS(L708&lt;=30,"0-30",L708&lt;=60,"31-60",L708&lt;=90,"61-90",TRUE,"90+")</f>
        <v>90+</v>
      </c>
      <c r="N708">
        <f t="shared" si="21"/>
        <v>14700</v>
      </c>
      <c r="O708" t="str">
        <f>VLOOKUP(K708,Agents!$A$1:$C$11,2,0)</f>
        <v>Deepak Nair</v>
      </c>
      <c r="P708">
        <f t="shared" si="22"/>
        <v>0</v>
      </c>
    </row>
    <row r="709" spans="1:16" x14ac:dyDescent="0.25">
      <c r="A709" s="2" t="s">
        <v>1172</v>
      </c>
      <c r="B709" s="2" t="s">
        <v>825</v>
      </c>
      <c r="C709" s="2" t="s">
        <v>79</v>
      </c>
      <c r="D709" s="2" t="s">
        <v>80</v>
      </c>
      <c r="E709" s="4">
        <v>46263</v>
      </c>
      <c r="F709" s="4">
        <v>46283</v>
      </c>
      <c r="G709" s="5">
        <v>9350</v>
      </c>
      <c r="H709" s="5"/>
      <c r="I709" s="2" t="s">
        <v>42</v>
      </c>
      <c r="J709" s="2" t="s">
        <v>1541</v>
      </c>
      <c r="K709" t="s">
        <v>43</v>
      </c>
      <c r="L709" s="12">
        <f>MIS_Report!$B$2-F709</f>
        <v>27</v>
      </c>
      <c r="M709" t="str" cm="1">
        <f t="array" ref="M709">_xlfn.IFS(L709&lt;=30,"0-30",L709&lt;=60,"31-60",L709&lt;=90,"61-90",TRUE,"90+")</f>
        <v>0-30</v>
      </c>
      <c r="N709">
        <f t="shared" ref="N709:N772" si="23">IF(I709="Pending",G709-H709,0)</f>
        <v>9350</v>
      </c>
      <c r="O709" t="str">
        <f>VLOOKUP(K709,Agents!$A$1:$C$11,2,0)</f>
        <v>Manish Arora</v>
      </c>
      <c r="P709">
        <f t="shared" si="22"/>
        <v>0</v>
      </c>
    </row>
    <row r="710" spans="1:16" x14ac:dyDescent="0.25">
      <c r="A710" s="2" t="s">
        <v>1173</v>
      </c>
      <c r="B710" s="2" t="s">
        <v>1032</v>
      </c>
      <c r="C710" s="2" t="s">
        <v>36</v>
      </c>
      <c r="D710" s="2" t="s">
        <v>41</v>
      </c>
      <c r="E710" s="4">
        <v>46272</v>
      </c>
      <c r="F710" s="4">
        <v>46292</v>
      </c>
      <c r="G710" s="5">
        <v>10650</v>
      </c>
      <c r="H710" s="5"/>
      <c r="I710" s="2" t="s">
        <v>42</v>
      </c>
      <c r="J710" s="2" t="s">
        <v>1541</v>
      </c>
      <c r="K710" t="s">
        <v>52</v>
      </c>
      <c r="L710" s="12">
        <f>MIS_Report!$B$2-F710</f>
        <v>18</v>
      </c>
      <c r="M710" t="str" cm="1">
        <f t="array" ref="M710">_xlfn.IFS(L710&lt;=30,"0-30",L710&lt;=60,"31-60",L710&lt;=90,"61-90",TRUE,"90+")</f>
        <v>0-30</v>
      </c>
      <c r="N710">
        <f t="shared" si="23"/>
        <v>10650</v>
      </c>
      <c r="O710" t="str">
        <f>VLOOKUP(K710,Agents!$A$1:$C$11,2,0)</f>
        <v>Sunita Rao</v>
      </c>
      <c r="P710">
        <f t="shared" si="22"/>
        <v>0</v>
      </c>
    </row>
    <row r="711" spans="1:16" x14ac:dyDescent="0.25">
      <c r="A711" s="2" t="s">
        <v>1174</v>
      </c>
      <c r="B711" s="2" t="s">
        <v>152</v>
      </c>
      <c r="C711" s="2" t="s">
        <v>46</v>
      </c>
      <c r="D711" s="2" t="s">
        <v>41</v>
      </c>
      <c r="E711" s="4">
        <v>46162</v>
      </c>
      <c r="F711" s="4">
        <v>46175</v>
      </c>
      <c r="G711" s="5">
        <v>10400</v>
      </c>
      <c r="H711" s="5">
        <v>7435.26</v>
      </c>
      <c r="I711" s="2" t="s">
        <v>37</v>
      </c>
      <c r="J711" s="2" t="s">
        <v>1541</v>
      </c>
      <c r="K711" t="s">
        <v>33</v>
      </c>
      <c r="L711" s="12">
        <f>MIS_Report!$B$2-F711</f>
        <v>135</v>
      </c>
      <c r="M711" t="str" cm="1">
        <f t="array" ref="M711">_xlfn.IFS(L711&lt;=30,"0-30",L711&lt;=60,"31-60",L711&lt;=90,"61-90",TRUE,"90+")</f>
        <v>90+</v>
      </c>
      <c r="N711">
        <f t="shared" si="23"/>
        <v>0</v>
      </c>
      <c r="O711" t="str">
        <f>VLOOKUP(K711,Agents!$A$1:$C$11,2,0)</f>
        <v>Manish Arora</v>
      </c>
      <c r="P711">
        <f t="shared" si="22"/>
        <v>0</v>
      </c>
    </row>
    <row r="712" spans="1:16" x14ac:dyDescent="0.25">
      <c r="A712" s="2" t="s">
        <v>1175</v>
      </c>
      <c r="B712" s="2" t="s">
        <v>220</v>
      </c>
      <c r="C712" s="2" t="s">
        <v>36</v>
      </c>
      <c r="D712" s="2" t="s">
        <v>41</v>
      </c>
      <c r="E712" s="4">
        <v>46024</v>
      </c>
      <c r="F712" s="4">
        <v>46044</v>
      </c>
      <c r="G712" s="5">
        <v>9850</v>
      </c>
      <c r="H712" s="5">
        <v>7026.9</v>
      </c>
      <c r="I712" s="2" t="s">
        <v>37</v>
      </c>
      <c r="J712" s="2" t="s">
        <v>1541</v>
      </c>
      <c r="K712" t="s">
        <v>43</v>
      </c>
      <c r="L712" s="12">
        <f>MIS_Report!$B$2-F712</f>
        <v>266</v>
      </c>
      <c r="M712" t="str" cm="1">
        <f t="array" ref="M712">_xlfn.IFS(L712&lt;=30,"0-30",L712&lt;=60,"31-60",L712&lt;=90,"61-90",TRUE,"90+")</f>
        <v>90+</v>
      </c>
      <c r="N712">
        <f t="shared" si="23"/>
        <v>0</v>
      </c>
      <c r="O712" t="str">
        <f>VLOOKUP(K712,Agents!$A$1:$C$11,2,0)</f>
        <v>Manish Arora</v>
      </c>
      <c r="P712">
        <f t="shared" si="22"/>
        <v>0</v>
      </c>
    </row>
    <row r="713" spans="1:16" x14ac:dyDescent="0.25">
      <c r="A713" s="2" t="s">
        <v>1176</v>
      </c>
      <c r="B713" s="2" t="s">
        <v>108</v>
      </c>
      <c r="C713" s="2" t="s">
        <v>36</v>
      </c>
      <c r="D713" s="2" t="s">
        <v>80</v>
      </c>
      <c r="E713" s="4">
        <v>46128</v>
      </c>
      <c r="F713" s="4">
        <v>46148</v>
      </c>
      <c r="G713" s="5">
        <v>4525</v>
      </c>
      <c r="H713" s="5">
        <v>3895.49</v>
      </c>
      <c r="I713" s="2" t="s">
        <v>37</v>
      </c>
      <c r="J713" s="2" t="s">
        <v>1541</v>
      </c>
      <c r="K713" t="s">
        <v>56</v>
      </c>
      <c r="L713" s="12">
        <f>MIS_Report!$B$2-F713</f>
        <v>162</v>
      </c>
      <c r="M713" t="str" cm="1">
        <f t="array" ref="M713">_xlfn.IFS(L713&lt;=30,"0-30",L713&lt;=60,"31-60",L713&lt;=90,"61-90",TRUE,"90+")</f>
        <v>90+</v>
      </c>
      <c r="N713">
        <f t="shared" si="23"/>
        <v>0</v>
      </c>
      <c r="O713" t="str">
        <f>VLOOKUP(K713,Agents!$A$1:$C$11,2,0)</f>
        <v>Manish Arora</v>
      </c>
      <c r="P713">
        <f t="shared" si="22"/>
        <v>0</v>
      </c>
    </row>
    <row r="714" spans="1:16" x14ac:dyDescent="0.25">
      <c r="A714" s="2" t="s">
        <v>1177</v>
      </c>
      <c r="B714" s="2" t="s">
        <v>421</v>
      </c>
      <c r="C714" s="2" t="s">
        <v>29</v>
      </c>
      <c r="D714" s="2" t="s">
        <v>30</v>
      </c>
      <c r="E714" s="4">
        <v>46102</v>
      </c>
      <c r="F714" s="4">
        <v>46106</v>
      </c>
      <c r="G714" s="5">
        <v>4050</v>
      </c>
      <c r="H714" s="5"/>
      <c r="I714" s="2" t="s">
        <v>42</v>
      </c>
      <c r="J714" s="2" t="s">
        <v>1541</v>
      </c>
      <c r="K714" t="s">
        <v>33</v>
      </c>
      <c r="L714" s="12">
        <f>MIS_Report!$B$2-F714</f>
        <v>204</v>
      </c>
      <c r="M714" t="str" cm="1">
        <f t="array" ref="M714">_xlfn.IFS(L714&lt;=30,"0-30",L714&lt;=60,"31-60",L714&lt;=90,"61-90",TRUE,"90+")</f>
        <v>90+</v>
      </c>
      <c r="N714">
        <f t="shared" si="23"/>
        <v>4050</v>
      </c>
      <c r="O714" t="str">
        <f>VLOOKUP(K714,Agents!$A$1:$C$11,2,0)</f>
        <v>Manish Arora</v>
      </c>
      <c r="P714">
        <f t="shared" si="22"/>
        <v>0</v>
      </c>
    </row>
    <row r="715" spans="1:16" x14ac:dyDescent="0.25">
      <c r="A715" s="2" t="s">
        <v>1178</v>
      </c>
      <c r="B715" s="2" t="s">
        <v>469</v>
      </c>
      <c r="C715" s="2" t="s">
        <v>46</v>
      </c>
      <c r="D715" s="2" t="s">
        <v>30</v>
      </c>
      <c r="E715" s="4">
        <v>46205</v>
      </c>
      <c r="F715" s="4">
        <v>46217</v>
      </c>
      <c r="G715" s="5">
        <v>3625</v>
      </c>
      <c r="H715" s="5">
        <v>3153.23</v>
      </c>
      <c r="I715" s="2" t="s">
        <v>37</v>
      </c>
      <c r="J715" s="2" t="s">
        <v>1541</v>
      </c>
      <c r="K715" t="s">
        <v>56</v>
      </c>
      <c r="L715" s="12">
        <f>MIS_Report!$B$2-F715</f>
        <v>93</v>
      </c>
      <c r="M715" t="str" cm="1">
        <f t="array" ref="M715">_xlfn.IFS(L715&lt;=30,"0-30",L715&lt;=60,"31-60",L715&lt;=90,"61-90",TRUE,"90+")</f>
        <v>90+</v>
      </c>
      <c r="N715">
        <f t="shared" si="23"/>
        <v>0</v>
      </c>
      <c r="O715" t="str">
        <f>VLOOKUP(K715,Agents!$A$1:$C$11,2,0)</f>
        <v>Manish Arora</v>
      </c>
      <c r="P715">
        <f t="shared" si="22"/>
        <v>0</v>
      </c>
    </row>
    <row r="716" spans="1:16" x14ac:dyDescent="0.25">
      <c r="A716" s="2" t="s">
        <v>1179</v>
      </c>
      <c r="B716" s="2" t="s">
        <v>320</v>
      </c>
      <c r="C716" s="2" t="s">
        <v>79</v>
      </c>
      <c r="D716" s="2" t="s">
        <v>41</v>
      </c>
      <c r="E716" s="4">
        <v>46037</v>
      </c>
      <c r="F716" s="4">
        <v>46042</v>
      </c>
      <c r="G716" s="5">
        <v>2475</v>
      </c>
      <c r="H716" s="5">
        <v>1699.66</v>
      </c>
      <c r="I716" s="2" t="s">
        <v>37</v>
      </c>
      <c r="J716" s="2" t="s">
        <v>1541</v>
      </c>
      <c r="K716" t="s">
        <v>65</v>
      </c>
      <c r="L716" s="12">
        <f>MIS_Report!$B$2-F716</f>
        <v>268</v>
      </c>
      <c r="M716" t="str" cm="1">
        <f t="array" ref="M716">_xlfn.IFS(L716&lt;=30,"0-30",L716&lt;=60,"31-60",L716&lt;=90,"61-90",TRUE,"90+")</f>
        <v>90+</v>
      </c>
      <c r="N716">
        <f t="shared" si="23"/>
        <v>0</v>
      </c>
      <c r="O716" t="str">
        <f>VLOOKUP(K716,Agents!$A$1:$C$11,2,0)</f>
        <v>Deepak Nair</v>
      </c>
      <c r="P716">
        <f t="shared" si="22"/>
        <v>0</v>
      </c>
    </row>
    <row r="717" spans="1:16" x14ac:dyDescent="0.25">
      <c r="A717" s="2" t="s">
        <v>1180</v>
      </c>
      <c r="B717" s="2" t="s">
        <v>1181</v>
      </c>
      <c r="C717" s="2" t="s">
        <v>36</v>
      </c>
      <c r="D717" s="2" t="s">
        <v>68</v>
      </c>
      <c r="E717" s="4">
        <v>46196</v>
      </c>
      <c r="F717" s="4">
        <v>46207</v>
      </c>
      <c r="G717" s="5">
        <v>12550</v>
      </c>
      <c r="H717" s="5">
        <v>10403.43</v>
      </c>
      <c r="I717" s="2" t="s">
        <v>37</v>
      </c>
      <c r="J717" s="2" t="s">
        <v>1541</v>
      </c>
      <c r="K717" t="s">
        <v>109</v>
      </c>
      <c r="L717" s="12">
        <f>MIS_Report!$B$2-F717</f>
        <v>103</v>
      </c>
      <c r="M717" t="str" cm="1">
        <f t="array" ref="M717">_xlfn.IFS(L717&lt;=30,"0-30",L717&lt;=60,"31-60",L717&lt;=90,"61-90",TRUE,"90+")</f>
        <v>90+</v>
      </c>
      <c r="N717">
        <f t="shared" si="23"/>
        <v>0</v>
      </c>
      <c r="O717" t="str">
        <f>VLOOKUP(K717,Agents!$A$1:$C$11,2,0)</f>
        <v>Deepak Nair</v>
      </c>
      <c r="P717">
        <f t="shared" si="22"/>
        <v>0</v>
      </c>
    </row>
    <row r="718" spans="1:16" x14ac:dyDescent="0.25">
      <c r="A718" s="2" t="s">
        <v>1182</v>
      </c>
      <c r="B718" s="2" t="s">
        <v>1183</v>
      </c>
      <c r="C718" s="2" t="s">
        <v>79</v>
      </c>
      <c r="D718" s="2" t="s">
        <v>68</v>
      </c>
      <c r="E718" s="4">
        <v>46207</v>
      </c>
      <c r="F718" s="4">
        <v>46219</v>
      </c>
      <c r="G718" s="5">
        <v>13350</v>
      </c>
      <c r="H718" s="5">
        <v>10333.18</v>
      </c>
      <c r="I718" s="2" t="s">
        <v>37</v>
      </c>
      <c r="J718" s="2" t="s">
        <v>1541</v>
      </c>
      <c r="K718" t="s">
        <v>38</v>
      </c>
      <c r="L718" s="12">
        <f>MIS_Report!$B$2-F718</f>
        <v>91</v>
      </c>
      <c r="M718" t="str" cm="1">
        <f t="array" ref="M718">_xlfn.IFS(L718&lt;=30,"0-30",L718&lt;=60,"31-60",L718&lt;=90,"61-90",TRUE,"90+")</f>
        <v>90+</v>
      </c>
      <c r="N718">
        <f t="shared" si="23"/>
        <v>0</v>
      </c>
      <c r="O718" t="str">
        <f>VLOOKUP(K718,Agents!$A$1:$C$11,2,0)</f>
        <v>Sunita Rao</v>
      </c>
      <c r="P718">
        <f t="shared" si="22"/>
        <v>0</v>
      </c>
    </row>
    <row r="719" spans="1:16" x14ac:dyDescent="0.25">
      <c r="A719" s="2" t="s">
        <v>1184</v>
      </c>
      <c r="B719" s="2" t="s">
        <v>1166</v>
      </c>
      <c r="C719" s="2" t="s">
        <v>46</v>
      </c>
      <c r="D719" s="2" t="s">
        <v>41</v>
      </c>
      <c r="E719" s="4">
        <v>46115</v>
      </c>
      <c r="F719" s="4">
        <v>46124</v>
      </c>
      <c r="G719" s="5">
        <v>4550</v>
      </c>
      <c r="H719" s="5">
        <v>0</v>
      </c>
      <c r="I719" s="2" t="s">
        <v>31</v>
      </c>
      <c r="J719" s="2" t="s">
        <v>47</v>
      </c>
      <c r="K719" t="s">
        <v>62</v>
      </c>
      <c r="L719" s="12">
        <f>MIS_Report!$B$2-F719</f>
        <v>186</v>
      </c>
      <c r="M719" t="str" cm="1">
        <f t="array" ref="M719">_xlfn.IFS(L719&lt;=30,"0-30",L719&lt;=60,"31-60",L719&lt;=90,"61-90",TRUE,"90+")</f>
        <v>90+</v>
      </c>
      <c r="N719">
        <f t="shared" si="23"/>
        <v>0</v>
      </c>
      <c r="O719" t="str">
        <f>VLOOKUP(K719,Agents!$A$1:$C$11,2,0)</f>
        <v>Sunita Rao</v>
      </c>
      <c r="P719">
        <f t="shared" si="22"/>
        <v>4550</v>
      </c>
    </row>
    <row r="720" spans="1:16" x14ac:dyDescent="0.25">
      <c r="A720" s="2" t="s">
        <v>1185</v>
      </c>
      <c r="B720" s="2" t="s">
        <v>493</v>
      </c>
      <c r="C720" s="2" t="s">
        <v>29</v>
      </c>
      <c r="D720" s="2" t="s">
        <v>68</v>
      </c>
      <c r="E720" s="4">
        <v>46115</v>
      </c>
      <c r="F720" s="4">
        <v>46120</v>
      </c>
      <c r="G720" s="5">
        <v>7125</v>
      </c>
      <c r="H720" s="5">
        <v>5006.1099999999997</v>
      </c>
      <c r="I720" s="2" t="s">
        <v>37</v>
      </c>
      <c r="J720" s="2" t="s">
        <v>1541</v>
      </c>
      <c r="K720" t="s">
        <v>43</v>
      </c>
      <c r="L720" s="12">
        <f>MIS_Report!$B$2-F720</f>
        <v>190</v>
      </c>
      <c r="M720" t="str" cm="1">
        <f t="array" ref="M720">_xlfn.IFS(L720&lt;=30,"0-30",L720&lt;=60,"31-60",L720&lt;=90,"61-90",TRUE,"90+")</f>
        <v>90+</v>
      </c>
      <c r="N720">
        <f t="shared" si="23"/>
        <v>0</v>
      </c>
      <c r="O720" t="str">
        <f>VLOOKUP(K720,Agents!$A$1:$C$11,2,0)</f>
        <v>Manish Arora</v>
      </c>
      <c r="P720">
        <f t="shared" si="22"/>
        <v>0</v>
      </c>
    </row>
    <row r="721" spans="1:16" x14ac:dyDescent="0.25">
      <c r="A721" s="2" t="s">
        <v>1186</v>
      </c>
      <c r="B721" s="2" t="s">
        <v>314</v>
      </c>
      <c r="C721" s="2" t="s">
        <v>29</v>
      </c>
      <c r="D721" s="2" t="s">
        <v>94</v>
      </c>
      <c r="E721" s="4">
        <v>46112</v>
      </c>
      <c r="F721" s="4">
        <v>46126</v>
      </c>
      <c r="G721" s="5">
        <v>4550</v>
      </c>
      <c r="H721" s="5">
        <v>3475.1</v>
      </c>
      <c r="I721" s="2" t="s">
        <v>37</v>
      </c>
      <c r="J721" s="2" t="s">
        <v>1541</v>
      </c>
      <c r="K721" t="s">
        <v>38</v>
      </c>
      <c r="L721" s="12">
        <f>MIS_Report!$B$2-F721</f>
        <v>184</v>
      </c>
      <c r="M721" t="str" cm="1">
        <f t="array" ref="M721">_xlfn.IFS(L721&lt;=30,"0-30",L721&lt;=60,"31-60",L721&lt;=90,"61-90",TRUE,"90+")</f>
        <v>90+</v>
      </c>
      <c r="N721">
        <f t="shared" si="23"/>
        <v>0</v>
      </c>
      <c r="O721" t="str">
        <f>VLOOKUP(K721,Agents!$A$1:$C$11,2,0)</f>
        <v>Sunita Rao</v>
      </c>
      <c r="P721">
        <f t="shared" si="22"/>
        <v>0</v>
      </c>
    </row>
    <row r="722" spans="1:16" x14ac:dyDescent="0.25">
      <c r="A722" s="2" t="s">
        <v>1187</v>
      </c>
      <c r="B722" s="2" t="s">
        <v>1188</v>
      </c>
      <c r="C722" s="2" t="s">
        <v>29</v>
      </c>
      <c r="D722" s="2" t="s">
        <v>30</v>
      </c>
      <c r="E722" s="4">
        <v>46098</v>
      </c>
      <c r="F722" s="4">
        <v>46112</v>
      </c>
      <c r="G722" s="5">
        <v>5375</v>
      </c>
      <c r="H722" s="5"/>
      <c r="I722" s="2" t="s">
        <v>42</v>
      </c>
      <c r="J722" s="2" t="s">
        <v>1541</v>
      </c>
      <c r="K722" t="s">
        <v>56</v>
      </c>
      <c r="L722" s="12">
        <f>MIS_Report!$B$2-F722</f>
        <v>198</v>
      </c>
      <c r="M722" t="str" cm="1">
        <f t="array" ref="M722">_xlfn.IFS(L722&lt;=30,"0-30",L722&lt;=60,"31-60",L722&lt;=90,"61-90",TRUE,"90+")</f>
        <v>90+</v>
      </c>
      <c r="N722">
        <f t="shared" si="23"/>
        <v>5375</v>
      </c>
      <c r="O722" t="str">
        <f>VLOOKUP(K722,Agents!$A$1:$C$11,2,0)</f>
        <v>Manish Arora</v>
      </c>
      <c r="P722">
        <f t="shared" si="22"/>
        <v>0</v>
      </c>
    </row>
    <row r="723" spans="1:16" x14ac:dyDescent="0.25">
      <c r="A723" s="2" t="s">
        <v>1189</v>
      </c>
      <c r="B723" s="2" t="s">
        <v>85</v>
      </c>
      <c r="C723" s="2" t="s">
        <v>79</v>
      </c>
      <c r="D723" s="2" t="s">
        <v>61</v>
      </c>
      <c r="E723" s="4">
        <v>46141</v>
      </c>
      <c r="F723" s="4">
        <v>46157</v>
      </c>
      <c r="G723" s="5">
        <v>3000</v>
      </c>
      <c r="H723" s="5">
        <v>1683.4</v>
      </c>
      <c r="I723" s="2" t="s">
        <v>37</v>
      </c>
      <c r="J723" s="2" t="s">
        <v>1541</v>
      </c>
      <c r="K723" t="s">
        <v>62</v>
      </c>
      <c r="L723" s="12">
        <f>MIS_Report!$B$2-F723</f>
        <v>153</v>
      </c>
      <c r="M723" t="str" cm="1">
        <f t="array" ref="M723">_xlfn.IFS(L723&lt;=30,"0-30",L723&lt;=60,"31-60",L723&lt;=90,"61-90",TRUE,"90+")</f>
        <v>90+</v>
      </c>
      <c r="N723">
        <f t="shared" si="23"/>
        <v>0</v>
      </c>
      <c r="O723" t="str">
        <f>VLOOKUP(K723,Agents!$A$1:$C$11,2,0)</f>
        <v>Sunita Rao</v>
      </c>
      <c r="P723">
        <f t="shared" si="22"/>
        <v>0</v>
      </c>
    </row>
    <row r="724" spans="1:16" x14ac:dyDescent="0.25">
      <c r="A724" s="2" t="s">
        <v>1190</v>
      </c>
      <c r="B724" s="2" t="s">
        <v>724</v>
      </c>
      <c r="C724" s="2" t="s">
        <v>29</v>
      </c>
      <c r="D724" s="2" t="s">
        <v>61</v>
      </c>
      <c r="E724" s="4">
        <v>46173</v>
      </c>
      <c r="F724" s="4">
        <v>46184</v>
      </c>
      <c r="G724" s="5">
        <v>10175</v>
      </c>
      <c r="H724" s="5">
        <v>6203.58</v>
      </c>
      <c r="I724" s="2" t="s">
        <v>37</v>
      </c>
      <c r="J724" s="2" t="s">
        <v>1541</v>
      </c>
      <c r="K724" t="s">
        <v>33</v>
      </c>
      <c r="L724" s="12">
        <f>MIS_Report!$B$2-F724</f>
        <v>126</v>
      </c>
      <c r="M724" t="str" cm="1">
        <f t="array" ref="M724">_xlfn.IFS(L724&lt;=30,"0-30",L724&lt;=60,"31-60",L724&lt;=90,"61-90",TRUE,"90+")</f>
        <v>90+</v>
      </c>
      <c r="N724">
        <f t="shared" si="23"/>
        <v>0</v>
      </c>
      <c r="O724" t="str">
        <f>VLOOKUP(K724,Agents!$A$1:$C$11,2,0)</f>
        <v>Manish Arora</v>
      </c>
      <c r="P724">
        <f t="shared" si="22"/>
        <v>0</v>
      </c>
    </row>
    <row r="725" spans="1:16" x14ac:dyDescent="0.25">
      <c r="A725" s="2" t="s">
        <v>1191</v>
      </c>
      <c r="B725" s="2" t="s">
        <v>571</v>
      </c>
      <c r="C725" s="2" t="s">
        <v>46</v>
      </c>
      <c r="D725" s="2" t="s">
        <v>41</v>
      </c>
      <c r="E725" s="4">
        <v>46059</v>
      </c>
      <c r="F725" s="4">
        <v>46073</v>
      </c>
      <c r="G725" s="5">
        <v>2075</v>
      </c>
      <c r="H725" s="5">
        <v>1326.78</v>
      </c>
      <c r="I725" s="2" t="s">
        <v>37</v>
      </c>
      <c r="J725" s="2" t="s">
        <v>1541</v>
      </c>
      <c r="K725" t="s">
        <v>43</v>
      </c>
      <c r="L725" s="12">
        <f>MIS_Report!$B$2-F725</f>
        <v>237</v>
      </c>
      <c r="M725" t="str" cm="1">
        <f t="array" ref="M725">_xlfn.IFS(L725&lt;=30,"0-30",L725&lt;=60,"31-60",L725&lt;=90,"61-90",TRUE,"90+")</f>
        <v>90+</v>
      </c>
      <c r="N725">
        <f t="shared" si="23"/>
        <v>0</v>
      </c>
      <c r="O725" t="str">
        <f>VLOOKUP(K725,Agents!$A$1:$C$11,2,0)</f>
        <v>Manish Arora</v>
      </c>
      <c r="P725">
        <f t="shared" si="22"/>
        <v>0</v>
      </c>
    </row>
    <row r="726" spans="1:16" x14ac:dyDescent="0.25">
      <c r="A726" s="2" t="s">
        <v>1192</v>
      </c>
      <c r="B726" s="2" t="s">
        <v>138</v>
      </c>
      <c r="C726" s="2" t="s">
        <v>36</v>
      </c>
      <c r="D726" s="2" t="s">
        <v>41</v>
      </c>
      <c r="E726" s="4">
        <v>46030</v>
      </c>
      <c r="F726" s="4">
        <v>46038</v>
      </c>
      <c r="G726" s="5">
        <v>425</v>
      </c>
      <c r="H726" s="5"/>
      <c r="I726" s="2" t="s">
        <v>42</v>
      </c>
      <c r="J726" s="2" t="s">
        <v>1541</v>
      </c>
      <c r="K726" t="s">
        <v>83</v>
      </c>
      <c r="L726" s="12">
        <f>MIS_Report!$B$2-F726</f>
        <v>272</v>
      </c>
      <c r="M726" t="str" cm="1">
        <f t="array" ref="M726">_xlfn.IFS(L726&lt;=30,"0-30",L726&lt;=60,"31-60",L726&lt;=90,"61-90",TRUE,"90+")</f>
        <v>90+</v>
      </c>
      <c r="N726">
        <f t="shared" si="23"/>
        <v>425</v>
      </c>
      <c r="O726" t="str">
        <f>VLOOKUP(K726,Agents!$A$1:$C$11,2,0)</f>
        <v>Deepak Nair</v>
      </c>
      <c r="P726">
        <f t="shared" si="22"/>
        <v>0</v>
      </c>
    </row>
    <row r="727" spans="1:16" x14ac:dyDescent="0.25">
      <c r="A727" s="2" t="s">
        <v>1193</v>
      </c>
      <c r="B727" s="2" t="s">
        <v>45</v>
      </c>
      <c r="C727" s="2" t="s">
        <v>36</v>
      </c>
      <c r="D727" s="2" t="s">
        <v>41</v>
      </c>
      <c r="E727" s="4">
        <v>46083</v>
      </c>
      <c r="F727" s="4">
        <v>46089</v>
      </c>
      <c r="G727" s="5">
        <v>2075</v>
      </c>
      <c r="H727" s="5">
        <v>1920.77</v>
      </c>
      <c r="I727" s="2" t="s">
        <v>37</v>
      </c>
      <c r="J727" s="2" t="s">
        <v>1541</v>
      </c>
      <c r="K727" t="s">
        <v>38</v>
      </c>
      <c r="L727" s="12">
        <f>MIS_Report!$B$2-F727</f>
        <v>221</v>
      </c>
      <c r="M727" t="str" cm="1">
        <f t="array" ref="M727">_xlfn.IFS(L727&lt;=30,"0-30",L727&lt;=60,"31-60",L727&lt;=90,"61-90",TRUE,"90+")</f>
        <v>90+</v>
      </c>
      <c r="N727">
        <f t="shared" si="23"/>
        <v>0</v>
      </c>
      <c r="O727" t="str">
        <f>VLOOKUP(K727,Agents!$A$1:$C$11,2,0)</f>
        <v>Sunita Rao</v>
      </c>
      <c r="P727">
        <f t="shared" si="22"/>
        <v>0</v>
      </c>
    </row>
    <row r="728" spans="1:16" x14ac:dyDescent="0.25">
      <c r="A728" s="2" t="s">
        <v>1194</v>
      </c>
      <c r="B728" s="2" t="s">
        <v>413</v>
      </c>
      <c r="C728" s="2" t="s">
        <v>79</v>
      </c>
      <c r="D728" s="2" t="s">
        <v>41</v>
      </c>
      <c r="E728" s="4">
        <v>46281</v>
      </c>
      <c r="F728" s="4">
        <v>46292</v>
      </c>
      <c r="G728" s="5">
        <v>7200</v>
      </c>
      <c r="H728" s="5"/>
      <c r="I728" s="2" t="s">
        <v>42</v>
      </c>
      <c r="J728" s="2" t="s">
        <v>1541</v>
      </c>
      <c r="K728" t="s">
        <v>56</v>
      </c>
      <c r="L728" s="12">
        <f>MIS_Report!$B$2-F728</f>
        <v>18</v>
      </c>
      <c r="M728" t="str" cm="1">
        <f t="array" ref="M728">_xlfn.IFS(L728&lt;=30,"0-30",L728&lt;=60,"31-60",L728&lt;=90,"61-90",TRUE,"90+")</f>
        <v>0-30</v>
      </c>
      <c r="N728">
        <f t="shared" si="23"/>
        <v>7200</v>
      </c>
      <c r="O728" t="str">
        <f>VLOOKUP(K728,Agents!$A$1:$C$11,2,0)</f>
        <v>Manish Arora</v>
      </c>
      <c r="P728">
        <f t="shared" si="22"/>
        <v>0</v>
      </c>
    </row>
    <row r="729" spans="1:16" x14ac:dyDescent="0.25">
      <c r="A729" s="2" t="s">
        <v>1195</v>
      </c>
      <c r="B729" s="2" t="s">
        <v>1196</v>
      </c>
      <c r="C729" s="2" t="s">
        <v>29</v>
      </c>
      <c r="D729" s="2" t="s">
        <v>41</v>
      </c>
      <c r="E729" s="4">
        <v>46177</v>
      </c>
      <c r="F729" s="4">
        <v>46189</v>
      </c>
      <c r="G729" s="5">
        <v>5650</v>
      </c>
      <c r="H729" s="5"/>
      <c r="I729" s="2" t="s">
        <v>42</v>
      </c>
      <c r="J729" s="2" t="s">
        <v>1541</v>
      </c>
      <c r="K729" t="s">
        <v>38</v>
      </c>
      <c r="L729" s="12">
        <f>MIS_Report!$B$2-F729</f>
        <v>121</v>
      </c>
      <c r="M729" t="str" cm="1">
        <f t="array" ref="M729">_xlfn.IFS(L729&lt;=30,"0-30",L729&lt;=60,"31-60",L729&lt;=90,"61-90",TRUE,"90+")</f>
        <v>90+</v>
      </c>
      <c r="N729">
        <f t="shared" si="23"/>
        <v>5650</v>
      </c>
      <c r="O729" t="str">
        <f>VLOOKUP(K729,Agents!$A$1:$C$11,2,0)</f>
        <v>Sunita Rao</v>
      </c>
      <c r="P729">
        <f t="shared" si="22"/>
        <v>0</v>
      </c>
    </row>
    <row r="730" spans="1:16" x14ac:dyDescent="0.25">
      <c r="A730" s="2" t="s">
        <v>1197</v>
      </c>
      <c r="B730" s="2" t="s">
        <v>407</v>
      </c>
      <c r="C730" s="2" t="s">
        <v>36</v>
      </c>
      <c r="D730" s="2" t="s">
        <v>30</v>
      </c>
      <c r="E730" s="4">
        <v>46037</v>
      </c>
      <c r="F730" s="4">
        <v>46046</v>
      </c>
      <c r="G730" s="5">
        <v>8475</v>
      </c>
      <c r="H730" s="5">
        <v>8159.92</v>
      </c>
      <c r="I730" s="2" t="s">
        <v>37</v>
      </c>
      <c r="J730" s="2" t="s">
        <v>1541</v>
      </c>
      <c r="K730" t="s">
        <v>48</v>
      </c>
      <c r="L730" s="12">
        <f>MIS_Report!$B$2-F730</f>
        <v>264</v>
      </c>
      <c r="M730" t="str" cm="1">
        <f t="array" ref="M730">_xlfn.IFS(L730&lt;=30,"0-30",L730&lt;=60,"31-60",L730&lt;=90,"61-90",TRUE,"90+")</f>
        <v>90+</v>
      </c>
      <c r="N730">
        <f t="shared" si="23"/>
        <v>0</v>
      </c>
      <c r="O730" t="str">
        <f>VLOOKUP(K730,Agents!$A$1:$C$11,2,0)</f>
        <v>Manish Arora</v>
      </c>
      <c r="P730">
        <f t="shared" si="22"/>
        <v>0</v>
      </c>
    </row>
    <row r="731" spans="1:16" x14ac:dyDescent="0.25">
      <c r="A731" s="2" t="s">
        <v>1198</v>
      </c>
      <c r="B731" s="2" t="s">
        <v>379</v>
      </c>
      <c r="C731" s="2" t="s">
        <v>29</v>
      </c>
      <c r="D731" s="2" t="s">
        <v>41</v>
      </c>
      <c r="E731" s="4">
        <v>46245</v>
      </c>
      <c r="F731" s="4">
        <v>46253</v>
      </c>
      <c r="G731" s="5">
        <v>9625</v>
      </c>
      <c r="H731" s="5"/>
      <c r="I731" s="2" t="s">
        <v>42</v>
      </c>
      <c r="J731" s="2" t="s">
        <v>1541</v>
      </c>
      <c r="K731" t="s">
        <v>109</v>
      </c>
      <c r="L731" s="12">
        <f>MIS_Report!$B$2-F731</f>
        <v>57</v>
      </c>
      <c r="M731" t="str" cm="1">
        <f t="array" ref="M731">_xlfn.IFS(L731&lt;=30,"0-30",L731&lt;=60,"31-60",L731&lt;=90,"61-90",TRUE,"90+")</f>
        <v>31-60</v>
      </c>
      <c r="N731">
        <f t="shared" si="23"/>
        <v>9625</v>
      </c>
      <c r="O731" t="str">
        <f>VLOOKUP(K731,Agents!$A$1:$C$11,2,0)</f>
        <v>Deepak Nair</v>
      </c>
      <c r="P731">
        <f t="shared" si="22"/>
        <v>0</v>
      </c>
    </row>
    <row r="732" spans="1:16" x14ac:dyDescent="0.25">
      <c r="A732" s="2" t="s">
        <v>1199</v>
      </c>
      <c r="B732" s="2" t="s">
        <v>714</v>
      </c>
      <c r="C732" s="2" t="s">
        <v>46</v>
      </c>
      <c r="D732" s="2" t="s">
        <v>55</v>
      </c>
      <c r="E732" s="4">
        <v>46252</v>
      </c>
      <c r="F732" s="4">
        <v>46260</v>
      </c>
      <c r="G732" s="5">
        <v>9500</v>
      </c>
      <c r="H732" s="5"/>
      <c r="I732" s="2" t="s">
        <v>42</v>
      </c>
      <c r="J732" s="2" t="s">
        <v>1541</v>
      </c>
      <c r="K732" t="s">
        <v>83</v>
      </c>
      <c r="L732" s="12">
        <f>MIS_Report!$B$2-F732</f>
        <v>50</v>
      </c>
      <c r="M732" t="str" cm="1">
        <f t="array" ref="M732">_xlfn.IFS(L732&lt;=30,"0-30",L732&lt;=60,"31-60",L732&lt;=90,"61-90",TRUE,"90+")</f>
        <v>31-60</v>
      </c>
      <c r="N732">
        <f t="shared" si="23"/>
        <v>9500</v>
      </c>
      <c r="O732" t="str">
        <f>VLOOKUP(K732,Agents!$A$1:$C$11,2,0)</f>
        <v>Deepak Nair</v>
      </c>
      <c r="P732">
        <f t="shared" si="22"/>
        <v>0</v>
      </c>
    </row>
    <row r="733" spans="1:16" x14ac:dyDescent="0.25">
      <c r="A733" s="2" t="s">
        <v>1200</v>
      </c>
      <c r="B733" s="2" t="s">
        <v>975</v>
      </c>
      <c r="C733" s="2" t="s">
        <v>36</v>
      </c>
      <c r="D733" s="2" t="s">
        <v>68</v>
      </c>
      <c r="E733" s="4">
        <v>46015</v>
      </c>
      <c r="F733" s="4">
        <v>46026</v>
      </c>
      <c r="G733" s="5">
        <v>12975</v>
      </c>
      <c r="H733" s="5">
        <v>0</v>
      </c>
      <c r="I733" s="2" t="s">
        <v>31</v>
      </c>
      <c r="J733" s="2" t="s">
        <v>47</v>
      </c>
      <c r="K733" t="s">
        <v>43</v>
      </c>
      <c r="L733" s="12">
        <f>MIS_Report!$B$2-F733</f>
        <v>284</v>
      </c>
      <c r="M733" t="str" cm="1">
        <f t="array" ref="M733">_xlfn.IFS(L733&lt;=30,"0-30",L733&lt;=60,"31-60",L733&lt;=90,"61-90",TRUE,"90+")</f>
        <v>90+</v>
      </c>
      <c r="N733">
        <f t="shared" si="23"/>
        <v>0</v>
      </c>
      <c r="O733" t="str">
        <f>VLOOKUP(K733,Agents!$A$1:$C$11,2,0)</f>
        <v>Manish Arora</v>
      </c>
      <c r="P733">
        <f t="shared" si="22"/>
        <v>12975</v>
      </c>
    </row>
    <row r="734" spans="1:16" x14ac:dyDescent="0.25">
      <c r="A734" s="2" t="s">
        <v>1201</v>
      </c>
      <c r="B734" s="2" t="s">
        <v>1202</v>
      </c>
      <c r="C734" s="2" t="s">
        <v>46</v>
      </c>
      <c r="D734" s="2" t="s">
        <v>80</v>
      </c>
      <c r="E734" s="4">
        <v>46085</v>
      </c>
      <c r="F734" s="4">
        <v>46089</v>
      </c>
      <c r="G734" s="5">
        <v>8150</v>
      </c>
      <c r="H734" s="5">
        <v>6817.9</v>
      </c>
      <c r="I734" s="2" t="s">
        <v>37</v>
      </c>
      <c r="J734" s="2" t="s">
        <v>1541</v>
      </c>
      <c r="K734" t="s">
        <v>52</v>
      </c>
      <c r="L734" s="12">
        <f>MIS_Report!$B$2-F734</f>
        <v>221</v>
      </c>
      <c r="M734" t="str" cm="1">
        <f t="array" ref="M734">_xlfn.IFS(L734&lt;=30,"0-30",L734&lt;=60,"31-60",L734&lt;=90,"61-90",TRUE,"90+")</f>
        <v>90+</v>
      </c>
      <c r="N734">
        <f t="shared" si="23"/>
        <v>0</v>
      </c>
      <c r="O734" t="str">
        <f>VLOOKUP(K734,Agents!$A$1:$C$11,2,0)</f>
        <v>Sunita Rao</v>
      </c>
      <c r="P734">
        <f t="shared" si="22"/>
        <v>0</v>
      </c>
    </row>
    <row r="735" spans="1:16" x14ac:dyDescent="0.25">
      <c r="A735" s="2" t="s">
        <v>1203</v>
      </c>
      <c r="B735" s="2" t="s">
        <v>638</v>
      </c>
      <c r="C735" s="2" t="s">
        <v>29</v>
      </c>
      <c r="D735" s="2" t="s">
        <v>55</v>
      </c>
      <c r="E735" s="4">
        <v>46222</v>
      </c>
      <c r="F735" s="4">
        <v>46237</v>
      </c>
      <c r="G735" s="5">
        <v>4475</v>
      </c>
      <c r="H735" s="5"/>
      <c r="I735" s="2" t="s">
        <v>42</v>
      </c>
      <c r="J735" s="2" t="s">
        <v>1541</v>
      </c>
      <c r="K735" t="s">
        <v>33</v>
      </c>
      <c r="L735" s="12">
        <f>MIS_Report!$B$2-F735</f>
        <v>73</v>
      </c>
      <c r="M735" t="str" cm="1">
        <f t="array" ref="M735">_xlfn.IFS(L735&lt;=30,"0-30",L735&lt;=60,"31-60",L735&lt;=90,"61-90",TRUE,"90+")</f>
        <v>61-90</v>
      </c>
      <c r="N735">
        <f t="shared" si="23"/>
        <v>4475</v>
      </c>
      <c r="O735" t="str">
        <f>VLOOKUP(K735,Agents!$A$1:$C$11,2,0)</f>
        <v>Manish Arora</v>
      </c>
      <c r="P735">
        <f t="shared" si="22"/>
        <v>0</v>
      </c>
    </row>
    <row r="736" spans="1:16" x14ac:dyDescent="0.25">
      <c r="A736" s="2" t="s">
        <v>1204</v>
      </c>
      <c r="B736" s="2" t="s">
        <v>324</v>
      </c>
      <c r="C736" s="2" t="s">
        <v>36</v>
      </c>
      <c r="D736" s="2" t="s">
        <v>71</v>
      </c>
      <c r="E736" s="4">
        <v>46061</v>
      </c>
      <c r="F736" s="4">
        <v>46077</v>
      </c>
      <c r="G736" s="5">
        <v>4725</v>
      </c>
      <c r="H736" s="5">
        <v>4447.96</v>
      </c>
      <c r="I736" s="2" t="s">
        <v>37</v>
      </c>
      <c r="J736" s="2" t="s">
        <v>1541</v>
      </c>
      <c r="K736" t="s">
        <v>48</v>
      </c>
      <c r="L736" s="12">
        <f>MIS_Report!$B$2-F736</f>
        <v>233</v>
      </c>
      <c r="M736" t="str" cm="1">
        <f t="array" ref="M736">_xlfn.IFS(L736&lt;=30,"0-30",L736&lt;=60,"31-60",L736&lt;=90,"61-90",TRUE,"90+")</f>
        <v>90+</v>
      </c>
      <c r="N736">
        <f t="shared" si="23"/>
        <v>0</v>
      </c>
      <c r="O736" t="str">
        <f>VLOOKUP(K736,Agents!$A$1:$C$11,2,0)</f>
        <v>Manish Arora</v>
      </c>
      <c r="P736">
        <f t="shared" si="22"/>
        <v>0</v>
      </c>
    </row>
    <row r="737" spans="1:16" x14ac:dyDescent="0.25">
      <c r="A737" s="2" t="s">
        <v>1205</v>
      </c>
      <c r="B737" s="2" t="s">
        <v>232</v>
      </c>
      <c r="C737" s="2" t="s">
        <v>79</v>
      </c>
      <c r="D737" s="2" t="s">
        <v>68</v>
      </c>
      <c r="E737" s="4">
        <v>46279</v>
      </c>
      <c r="F737" s="4">
        <v>46290</v>
      </c>
      <c r="G737" s="5">
        <v>7425</v>
      </c>
      <c r="H737" s="5"/>
      <c r="I737" s="2" t="s">
        <v>42</v>
      </c>
      <c r="J737" s="2" t="s">
        <v>1541</v>
      </c>
      <c r="K737" t="s">
        <v>62</v>
      </c>
      <c r="L737" s="12">
        <f>MIS_Report!$B$2-F737</f>
        <v>20</v>
      </c>
      <c r="M737" t="str" cm="1">
        <f t="array" ref="M737">_xlfn.IFS(L737&lt;=30,"0-30",L737&lt;=60,"31-60",L737&lt;=90,"61-90",TRUE,"90+")</f>
        <v>0-30</v>
      </c>
      <c r="N737">
        <f t="shared" si="23"/>
        <v>7425</v>
      </c>
      <c r="O737" t="str">
        <f>VLOOKUP(K737,Agents!$A$1:$C$11,2,0)</f>
        <v>Sunita Rao</v>
      </c>
      <c r="P737">
        <f t="shared" si="22"/>
        <v>0</v>
      </c>
    </row>
    <row r="738" spans="1:16" x14ac:dyDescent="0.25">
      <c r="A738" s="2" t="s">
        <v>1206</v>
      </c>
      <c r="B738" s="2" t="s">
        <v>957</v>
      </c>
      <c r="C738" s="2" t="s">
        <v>36</v>
      </c>
      <c r="D738" s="2" t="s">
        <v>30</v>
      </c>
      <c r="E738" s="4">
        <v>46137</v>
      </c>
      <c r="F738" s="4">
        <v>46141</v>
      </c>
      <c r="G738" s="5">
        <v>14450</v>
      </c>
      <c r="H738" s="5">
        <v>0</v>
      </c>
      <c r="I738" s="2" t="s">
        <v>31</v>
      </c>
      <c r="J738" s="2" t="s">
        <v>32</v>
      </c>
      <c r="K738" t="s">
        <v>48</v>
      </c>
      <c r="L738" s="12">
        <f>MIS_Report!$B$2-F738</f>
        <v>169</v>
      </c>
      <c r="M738" t="str" cm="1">
        <f t="array" ref="M738">_xlfn.IFS(L738&lt;=30,"0-30",L738&lt;=60,"31-60",L738&lt;=90,"61-90",TRUE,"90+")</f>
        <v>90+</v>
      </c>
      <c r="N738">
        <f t="shared" si="23"/>
        <v>0</v>
      </c>
      <c r="O738" t="str">
        <f>VLOOKUP(K738,Agents!$A$1:$C$11,2,0)</f>
        <v>Manish Arora</v>
      </c>
      <c r="P738">
        <f t="shared" si="22"/>
        <v>14450</v>
      </c>
    </row>
    <row r="739" spans="1:16" x14ac:dyDescent="0.25">
      <c r="A739" s="2" t="s">
        <v>1207</v>
      </c>
      <c r="B739" s="2" t="s">
        <v>1208</v>
      </c>
      <c r="C739" s="2" t="s">
        <v>46</v>
      </c>
      <c r="D739" s="2" t="s">
        <v>41</v>
      </c>
      <c r="E739" s="4">
        <v>46199</v>
      </c>
      <c r="F739" s="4">
        <v>46215</v>
      </c>
      <c r="G739" s="5">
        <v>11350</v>
      </c>
      <c r="H739" s="5">
        <v>10235</v>
      </c>
      <c r="I739" s="2" t="s">
        <v>37</v>
      </c>
      <c r="J739" s="2" t="s">
        <v>1541</v>
      </c>
      <c r="K739" t="s">
        <v>52</v>
      </c>
      <c r="L739" s="12">
        <f>MIS_Report!$B$2-F739</f>
        <v>95</v>
      </c>
      <c r="M739" t="str" cm="1">
        <f t="array" ref="M739">_xlfn.IFS(L739&lt;=30,"0-30",L739&lt;=60,"31-60",L739&lt;=90,"61-90",TRUE,"90+")</f>
        <v>90+</v>
      </c>
      <c r="N739">
        <f t="shared" si="23"/>
        <v>0</v>
      </c>
      <c r="O739" t="str">
        <f>VLOOKUP(K739,Agents!$A$1:$C$11,2,0)</f>
        <v>Sunita Rao</v>
      </c>
      <c r="P739">
        <f t="shared" si="22"/>
        <v>0</v>
      </c>
    </row>
    <row r="740" spans="1:16" x14ac:dyDescent="0.25">
      <c r="A740" s="2" t="s">
        <v>1209</v>
      </c>
      <c r="B740" s="2" t="s">
        <v>87</v>
      </c>
      <c r="C740" s="2" t="s">
        <v>29</v>
      </c>
      <c r="D740" s="2" t="s">
        <v>61</v>
      </c>
      <c r="E740" s="4">
        <v>46091</v>
      </c>
      <c r="F740" s="4">
        <v>46107</v>
      </c>
      <c r="G740" s="5">
        <v>6675</v>
      </c>
      <c r="H740" s="5">
        <v>5362.58</v>
      </c>
      <c r="I740" s="2" t="s">
        <v>37</v>
      </c>
      <c r="J740" s="2" t="s">
        <v>1541</v>
      </c>
      <c r="K740" t="s">
        <v>52</v>
      </c>
      <c r="L740" s="12">
        <f>MIS_Report!$B$2-F740</f>
        <v>203</v>
      </c>
      <c r="M740" t="str" cm="1">
        <f t="array" ref="M740">_xlfn.IFS(L740&lt;=30,"0-30",L740&lt;=60,"31-60",L740&lt;=90,"61-90",TRUE,"90+")</f>
        <v>90+</v>
      </c>
      <c r="N740">
        <f t="shared" si="23"/>
        <v>0</v>
      </c>
      <c r="O740" t="str">
        <f>VLOOKUP(K740,Agents!$A$1:$C$11,2,0)</f>
        <v>Sunita Rao</v>
      </c>
      <c r="P740">
        <f t="shared" si="22"/>
        <v>0</v>
      </c>
    </row>
    <row r="741" spans="1:16" x14ac:dyDescent="0.25">
      <c r="A741" s="2" t="s">
        <v>1210</v>
      </c>
      <c r="B741" s="2" t="s">
        <v>1087</v>
      </c>
      <c r="C741" s="2" t="s">
        <v>46</v>
      </c>
      <c r="D741" s="2" t="s">
        <v>55</v>
      </c>
      <c r="E741" s="4">
        <v>46054</v>
      </c>
      <c r="F741" s="4">
        <v>46071</v>
      </c>
      <c r="G741" s="5">
        <v>7950</v>
      </c>
      <c r="H741" s="5">
        <v>5869.09</v>
      </c>
      <c r="I741" s="2" t="s">
        <v>37</v>
      </c>
      <c r="J741" s="2" t="s">
        <v>1541</v>
      </c>
      <c r="K741" t="s">
        <v>65</v>
      </c>
      <c r="L741" s="12">
        <f>MIS_Report!$B$2-F741</f>
        <v>239</v>
      </c>
      <c r="M741" t="str" cm="1">
        <f t="array" ref="M741">_xlfn.IFS(L741&lt;=30,"0-30",L741&lt;=60,"31-60",L741&lt;=90,"61-90",TRUE,"90+")</f>
        <v>90+</v>
      </c>
      <c r="N741">
        <f t="shared" si="23"/>
        <v>0</v>
      </c>
      <c r="O741" t="str">
        <f>VLOOKUP(K741,Agents!$A$1:$C$11,2,0)</f>
        <v>Deepak Nair</v>
      </c>
      <c r="P741">
        <f t="shared" si="22"/>
        <v>0</v>
      </c>
    </row>
    <row r="742" spans="1:16" x14ac:dyDescent="0.25">
      <c r="A742" s="2" t="s">
        <v>1211</v>
      </c>
      <c r="B742" s="2" t="s">
        <v>530</v>
      </c>
      <c r="C742" s="2" t="s">
        <v>46</v>
      </c>
      <c r="D742" s="2" t="s">
        <v>61</v>
      </c>
      <c r="E742" s="4">
        <v>46187</v>
      </c>
      <c r="F742" s="4">
        <v>46203</v>
      </c>
      <c r="G742" s="5">
        <v>6150</v>
      </c>
      <c r="H742" s="5">
        <v>4857.59</v>
      </c>
      <c r="I742" s="2" t="s">
        <v>37</v>
      </c>
      <c r="J742" s="2" t="s">
        <v>1541</v>
      </c>
      <c r="K742" t="s">
        <v>48</v>
      </c>
      <c r="L742" s="12">
        <f>MIS_Report!$B$2-F742</f>
        <v>107</v>
      </c>
      <c r="M742" t="str" cm="1">
        <f t="array" ref="M742">_xlfn.IFS(L742&lt;=30,"0-30",L742&lt;=60,"31-60",L742&lt;=90,"61-90",TRUE,"90+")</f>
        <v>90+</v>
      </c>
      <c r="N742">
        <f t="shared" si="23"/>
        <v>0</v>
      </c>
      <c r="O742" t="str">
        <f>VLOOKUP(K742,Agents!$A$1:$C$11,2,0)</f>
        <v>Manish Arora</v>
      </c>
      <c r="P742">
        <f t="shared" si="22"/>
        <v>0</v>
      </c>
    </row>
    <row r="743" spans="1:16" x14ac:dyDescent="0.25">
      <c r="A743" s="2" t="s">
        <v>1212</v>
      </c>
      <c r="B743" s="2" t="s">
        <v>547</v>
      </c>
      <c r="C743" s="2" t="s">
        <v>46</v>
      </c>
      <c r="D743" s="2" t="s">
        <v>55</v>
      </c>
      <c r="E743" s="4">
        <v>46144</v>
      </c>
      <c r="F743" s="4">
        <v>46149</v>
      </c>
      <c r="G743" s="5">
        <v>14950</v>
      </c>
      <c r="H743" s="5">
        <v>10158.23</v>
      </c>
      <c r="I743" s="2" t="s">
        <v>37</v>
      </c>
      <c r="J743" s="2" t="s">
        <v>1541</v>
      </c>
      <c r="K743" t="s">
        <v>33</v>
      </c>
      <c r="L743" s="12">
        <f>MIS_Report!$B$2-F743</f>
        <v>161</v>
      </c>
      <c r="M743" t="str" cm="1">
        <f t="array" ref="M743">_xlfn.IFS(L743&lt;=30,"0-30",L743&lt;=60,"31-60",L743&lt;=90,"61-90",TRUE,"90+")</f>
        <v>90+</v>
      </c>
      <c r="N743">
        <f t="shared" si="23"/>
        <v>0</v>
      </c>
      <c r="O743" t="str">
        <f>VLOOKUP(K743,Agents!$A$1:$C$11,2,0)</f>
        <v>Manish Arora</v>
      </c>
      <c r="P743">
        <f t="shared" si="22"/>
        <v>0</v>
      </c>
    </row>
    <row r="744" spans="1:16" x14ac:dyDescent="0.25">
      <c r="A744" s="2" t="s">
        <v>1213</v>
      </c>
      <c r="B744" s="2" t="s">
        <v>1214</v>
      </c>
      <c r="C744" s="2" t="s">
        <v>36</v>
      </c>
      <c r="D744" s="2" t="s">
        <v>61</v>
      </c>
      <c r="E744" s="4">
        <v>46134</v>
      </c>
      <c r="F744" s="4">
        <v>46143</v>
      </c>
      <c r="G744" s="5">
        <v>4900</v>
      </c>
      <c r="H744" s="5">
        <v>3687.12</v>
      </c>
      <c r="I744" s="2" t="s">
        <v>37</v>
      </c>
      <c r="J744" s="2" t="s">
        <v>1541</v>
      </c>
      <c r="K744" t="s">
        <v>38</v>
      </c>
      <c r="L744" s="12">
        <f>MIS_Report!$B$2-F744</f>
        <v>167</v>
      </c>
      <c r="M744" t="str" cm="1">
        <f t="array" ref="M744">_xlfn.IFS(L744&lt;=30,"0-30",L744&lt;=60,"31-60",L744&lt;=90,"61-90",TRUE,"90+")</f>
        <v>90+</v>
      </c>
      <c r="N744">
        <f t="shared" si="23"/>
        <v>0</v>
      </c>
      <c r="O744" t="str">
        <f>VLOOKUP(K744,Agents!$A$1:$C$11,2,0)</f>
        <v>Sunita Rao</v>
      </c>
      <c r="P744">
        <f t="shared" si="22"/>
        <v>0</v>
      </c>
    </row>
    <row r="745" spans="1:16" x14ac:dyDescent="0.25">
      <c r="A745" s="2" t="s">
        <v>1215</v>
      </c>
      <c r="B745" s="2" t="s">
        <v>584</v>
      </c>
      <c r="C745" s="2" t="s">
        <v>46</v>
      </c>
      <c r="D745" s="2" t="s">
        <v>41</v>
      </c>
      <c r="E745" s="4">
        <v>46129</v>
      </c>
      <c r="F745" s="4">
        <v>46132</v>
      </c>
      <c r="G745" s="5">
        <v>3250</v>
      </c>
      <c r="H745" s="5"/>
      <c r="I745" s="2" t="s">
        <v>42</v>
      </c>
      <c r="J745" s="2" t="s">
        <v>1541</v>
      </c>
      <c r="K745" t="s">
        <v>52</v>
      </c>
      <c r="L745" s="12">
        <f>MIS_Report!$B$2-F745</f>
        <v>178</v>
      </c>
      <c r="M745" t="str" cm="1">
        <f t="array" ref="M745">_xlfn.IFS(L745&lt;=30,"0-30",L745&lt;=60,"31-60",L745&lt;=90,"61-90",TRUE,"90+")</f>
        <v>90+</v>
      </c>
      <c r="N745">
        <f t="shared" si="23"/>
        <v>3250</v>
      </c>
      <c r="O745" t="str">
        <f>VLOOKUP(K745,Agents!$A$1:$C$11,2,0)</f>
        <v>Sunita Rao</v>
      </c>
      <c r="P745">
        <f t="shared" si="22"/>
        <v>0</v>
      </c>
    </row>
    <row r="746" spans="1:16" x14ac:dyDescent="0.25">
      <c r="A746" s="2" t="s">
        <v>1216</v>
      </c>
      <c r="B746" s="2" t="s">
        <v>452</v>
      </c>
      <c r="C746" s="2" t="s">
        <v>79</v>
      </c>
      <c r="D746" s="2" t="s">
        <v>61</v>
      </c>
      <c r="E746" s="4">
        <v>46194</v>
      </c>
      <c r="F746" s="4">
        <v>46214</v>
      </c>
      <c r="G746" s="5">
        <v>14200</v>
      </c>
      <c r="H746" s="5">
        <v>14105.37</v>
      </c>
      <c r="I746" s="2" t="s">
        <v>37</v>
      </c>
      <c r="J746" s="2" t="s">
        <v>1541</v>
      </c>
      <c r="K746" t="s">
        <v>65</v>
      </c>
      <c r="L746" s="12">
        <f>MIS_Report!$B$2-F746</f>
        <v>96</v>
      </c>
      <c r="M746" t="str" cm="1">
        <f t="array" ref="M746">_xlfn.IFS(L746&lt;=30,"0-30",L746&lt;=60,"31-60",L746&lt;=90,"61-90",TRUE,"90+")</f>
        <v>90+</v>
      </c>
      <c r="N746">
        <f t="shared" si="23"/>
        <v>0</v>
      </c>
      <c r="O746" t="str">
        <f>VLOOKUP(K746,Agents!$A$1:$C$11,2,0)</f>
        <v>Deepak Nair</v>
      </c>
      <c r="P746">
        <f t="shared" si="22"/>
        <v>0</v>
      </c>
    </row>
    <row r="747" spans="1:16" x14ac:dyDescent="0.25">
      <c r="A747" s="2" t="s">
        <v>1217</v>
      </c>
      <c r="B747" s="2" t="s">
        <v>1208</v>
      </c>
      <c r="C747" s="2" t="s">
        <v>36</v>
      </c>
      <c r="D747" s="2" t="s">
        <v>1538</v>
      </c>
      <c r="E747" s="4">
        <v>46086</v>
      </c>
      <c r="F747" s="4">
        <v>46089</v>
      </c>
      <c r="G747" s="5">
        <v>4650</v>
      </c>
      <c r="H747" s="5">
        <v>2583.7399999999998</v>
      </c>
      <c r="I747" s="2" t="s">
        <v>37</v>
      </c>
      <c r="J747" s="2" t="s">
        <v>1541</v>
      </c>
      <c r="K747" t="s">
        <v>109</v>
      </c>
      <c r="L747" s="12">
        <f>MIS_Report!$B$2-F747</f>
        <v>221</v>
      </c>
      <c r="M747" t="str" cm="1">
        <f t="array" ref="M747">_xlfn.IFS(L747&lt;=30,"0-30",L747&lt;=60,"31-60",L747&lt;=90,"61-90",TRUE,"90+")</f>
        <v>90+</v>
      </c>
      <c r="N747">
        <f t="shared" si="23"/>
        <v>0</v>
      </c>
      <c r="O747" t="str">
        <f>VLOOKUP(K747,Agents!$A$1:$C$11,2,0)</f>
        <v>Deepak Nair</v>
      </c>
      <c r="P747">
        <f t="shared" si="22"/>
        <v>0</v>
      </c>
    </row>
    <row r="748" spans="1:16" x14ac:dyDescent="0.25">
      <c r="A748" s="2" t="s">
        <v>1218</v>
      </c>
      <c r="B748" s="2" t="s">
        <v>1219</v>
      </c>
      <c r="C748" s="2" t="s">
        <v>46</v>
      </c>
      <c r="D748" s="2" t="s">
        <v>61</v>
      </c>
      <c r="E748" s="4">
        <v>46183</v>
      </c>
      <c r="F748" s="4">
        <v>46192</v>
      </c>
      <c r="G748" s="5">
        <v>11675</v>
      </c>
      <c r="H748" s="5">
        <v>0</v>
      </c>
      <c r="I748" s="2" t="s">
        <v>31</v>
      </c>
      <c r="J748" s="2" t="s">
        <v>72</v>
      </c>
      <c r="K748" t="s">
        <v>48</v>
      </c>
      <c r="L748" s="12">
        <f>MIS_Report!$B$2-F748</f>
        <v>118</v>
      </c>
      <c r="M748" t="str" cm="1">
        <f t="array" ref="M748">_xlfn.IFS(L748&lt;=30,"0-30",L748&lt;=60,"31-60",L748&lt;=90,"61-90",TRUE,"90+")</f>
        <v>90+</v>
      </c>
      <c r="N748">
        <f t="shared" si="23"/>
        <v>0</v>
      </c>
      <c r="O748" t="str">
        <f>VLOOKUP(K748,Agents!$A$1:$C$11,2,0)</f>
        <v>Manish Arora</v>
      </c>
      <c r="P748">
        <f t="shared" si="22"/>
        <v>11675</v>
      </c>
    </row>
    <row r="749" spans="1:16" x14ac:dyDescent="0.25">
      <c r="A749" s="2" t="s">
        <v>1220</v>
      </c>
      <c r="B749" s="2" t="s">
        <v>164</v>
      </c>
      <c r="C749" s="2" t="s">
        <v>36</v>
      </c>
      <c r="D749" s="2" t="s">
        <v>80</v>
      </c>
      <c r="E749" s="4">
        <v>46151</v>
      </c>
      <c r="F749" s="4">
        <v>46160</v>
      </c>
      <c r="G749" s="5">
        <v>4000</v>
      </c>
      <c r="H749" s="5">
        <v>3100.6</v>
      </c>
      <c r="I749" s="2" t="s">
        <v>37</v>
      </c>
      <c r="J749" s="2" t="s">
        <v>1541</v>
      </c>
      <c r="K749" t="s">
        <v>43</v>
      </c>
      <c r="L749" s="12">
        <f>MIS_Report!$B$2-F749</f>
        <v>150</v>
      </c>
      <c r="M749" t="str" cm="1">
        <f t="array" ref="M749">_xlfn.IFS(L749&lt;=30,"0-30",L749&lt;=60,"31-60",L749&lt;=90,"61-90",TRUE,"90+")</f>
        <v>90+</v>
      </c>
      <c r="N749">
        <f t="shared" si="23"/>
        <v>0</v>
      </c>
      <c r="O749" t="str">
        <f>VLOOKUP(K749,Agents!$A$1:$C$11,2,0)</f>
        <v>Manish Arora</v>
      </c>
      <c r="P749">
        <f t="shared" si="22"/>
        <v>0</v>
      </c>
    </row>
    <row r="750" spans="1:16" x14ac:dyDescent="0.25">
      <c r="A750" s="2" t="s">
        <v>1221</v>
      </c>
      <c r="B750" s="2" t="s">
        <v>896</v>
      </c>
      <c r="C750" s="2" t="s">
        <v>79</v>
      </c>
      <c r="D750" s="2" t="s">
        <v>61</v>
      </c>
      <c r="E750" s="4">
        <v>46244</v>
      </c>
      <c r="F750" s="4">
        <v>46261</v>
      </c>
      <c r="G750" s="5">
        <v>2225</v>
      </c>
      <c r="H750" s="5"/>
      <c r="I750" s="2" t="s">
        <v>42</v>
      </c>
      <c r="J750" s="2" t="s">
        <v>1541</v>
      </c>
      <c r="K750" t="s">
        <v>33</v>
      </c>
      <c r="L750" s="12">
        <f>MIS_Report!$B$2-F750</f>
        <v>49</v>
      </c>
      <c r="M750" t="str" cm="1">
        <f t="array" ref="M750">_xlfn.IFS(L750&lt;=30,"0-30",L750&lt;=60,"31-60",L750&lt;=90,"61-90",TRUE,"90+")</f>
        <v>31-60</v>
      </c>
      <c r="N750">
        <f t="shared" si="23"/>
        <v>2225</v>
      </c>
      <c r="O750" t="str">
        <f>VLOOKUP(K750,Agents!$A$1:$C$11,2,0)</f>
        <v>Manish Arora</v>
      </c>
      <c r="P750">
        <f t="shared" si="22"/>
        <v>0</v>
      </c>
    </row>
    <row r="751" spans="1:16" x14ac:dyDescent="0.25">
      <c r="A751" s="2" t="s">
        <v>1222</v>
      </c>
      <c r="B751" s="2" t="s">
        <v>290</v>
      </c>
      <c r="C751" s="2" t="s">
        <v>46</v>
      </c>
      <c r="D751" s="2" t="s">
        <v>61</v>
      </c>
      <c r="E751" s="4">
        <v>46182</v>
      </c>
      <c r="F751" s="4">
        <v>46197</v>
      </c>
      <c r="G751" s="5">
        <v>3775</v>
      </c>
      <c r="H751" s="5">
        <v>3577.57</v>
      </c>
      <c r="I751" s="2" t="s">
        <v>37</v>
      </c>
      <c r="J751" s="2" t="s">
        <v>1541</v>
      </c>
      <c r="K751" t="s">
        <v>43</v>
      </c>
      <c r="L751" s="12">
        <f>MIS_Report!$B$2-F751</f>
        <v>113</v>
      </c>
      <c r="M751" t="str" cm="1">
        <f t="array" ref="M751">_xlfn.IFS(L751&lt;=30,"0-30",L751&lt;=60,"31-60",L751&lt;=90,"61-90",TRUE,"90+")</f>
        <v>90+</v>
      </c>
      <c r="N751">
        <f t="shared" si="23"/>
        <v>0</v>
      </c>
      <c r="O751" t="str">
        <f>VLOOKUP(K751,Agents!$A$1:$C$11,2,0)</f>
        <v>Manish Arora</v>
      </c>
      <c r="P751">
        <f t="shared" si="22"/>
        <v>0</v>
      </c>
    </row>
    <row r="752" spans="1:16" x14ac:dyDescent="0.25">
      <c r="A752" s="2" t="s">
        <v>1223</v>
      </c>
      <c r="B752" s="2" t="s">
        <v>533</v>
      </c>
      <c r="C752" s="2" t="s">
        <v>79</v>
      </c>
      <c r="D752" s="2" t="s">
        <v>41</v>
      </c>
      <c r="E752" s="4">
        <v>46089</v>
      </c>
      <c r="F752" s="4">
        <v>46107</v>
      </c>
      <c r="G752" s="5">
        <v>11125</v>
      </c>
      <c r="H752" s="5">
        <v>9073.49</v>
      </c>
      <c r="I752" s="2" t="s">
        <v>37</v>
      </c>
      <c r="J752" s="2" t="s">
        <v>1541</v>
      </c>
      <c r="K752" t="s">
        <v>56</v>
      </c>
      <c r="L752" s="12">
        <f>MIS_Report!$B$2-F752</f>
        <v>203</v>
      </c>
      <c r="M752" t="str" cm="1">
        <f t="array" ref="M752">_xlfn.IFS(L752&lt;=30,"0-30",L752&lt;=60,"31-60",L752&lt;=90,"61-90",TRUE,"90+")</f>
        <v>90+</v>
      </c>
      <c r="N752">
        <f t="shared" si="23"/>
        <v>0</v>
      </c>
      <c r="O752" t="str">
        <f>VLOOKUP(K752,Agents!$A$1:$C$11,2,0)</f>
        <v>Manish Arora</v>
      </c>
      <c r="P752">
        <f t="shared" si="22"/>
        <v>0</v>
      </c>
    </row>
    <row r="753" spans="1:16" x14ac:dyDescent="0.25">
      <c r="A753" s="2" t="s">
        <v>1224</v>
      </c>
      <c r="B753" s="2" t="s">
        <v>382</v>
      </c>
      <c r="C753" s="2" t="s">
        <v>46</v>
      </c>
      <c r="D753" s="2" t="s">
        <v>41</v>
      </c>
      <c r="E753" s="4">
        <v>46103</v>
      </c>
      <c r="F753" s="4">
        <v>46113</v>
      </c>
      <c r="G753" s="5">
        <v>2425</v>
      </c>
      <c r="H753" s="5"/>
      <c r="I753" s="2" t="s">
        <v>42</v>
      </c>
      <c r="J753" s="2" t="s">
        <v>1541</v>
      </c>
      <c r="K753" t="s">
        <v>83</v>
      </c>
      <c r="L753" s="12">
        <f>MIS_Report!$B$2-F753</f>
        <v>197</v>
      </c>
      <c r="M753" t="str" cm="1">
        <f t="array" ref="M753">_xlfn.IFS(L753&lt;=30,"0-30",L753&lt;=60,"31-60",L753&lt;=90,"61-90",TRUE,"90+")</f>
        <v>90+</v>
      </c>
      <c r="N753">
        <f t="shared" si="23"/>
        <v>2425</v>
      </c>
      <c r="O753" t="str">
        <f>VLOOKUP(K753,Agents!$A$1:$C$11,2,0)</f>
        <v>Deepak Nair</v>
      </c>
      <c r="P753">
        <f t="shared" si="22"/>
        <v>0</v>
      </c>
    </row>
    <row r="754" spans="1:16" x14ac:dyDescent="0.25">
      <c r="A754" s="2" t="s">
        <v>1225</v>
      </c>
      <c r="B754" s="2" t="s">
        <v>1226</v>
      </c>
      <c r="C754" s="2" t="s">
        <v>36</v>
      </c>
      <c r="D754" s="2" t="s">
        <v>94</v>
      </c>
      <c r="E754" s="4">
        <v>46262</v>
      </c>
      <c r="F754" s="4">
        <v>46276</v>
      </c>
      <c r="G754" s="5">
        <v>6275</v>
      </c>
      <c r="H754" s="5"/>
      <c r="I754" s="2" t="s">
        <v>42</v>
      </c>
      <c r="J754" s="2" t="s">
        <v>1541</v>
      </c>
      <c r="K754" t="s">
        <v>52</v>
      </c>
      <c r="L754" s="12">
        <f>MIS_Report!$B$2-F754</f>
        <v>34</v>
      </c>
      <c r="M754" t="str" cm="1">
        <f t="array" ref="M754">_xlfn.IFS(L754&lt;=30,"0-30",L754&lt;=60,"31-60",L754&lt;=90,"61-90",TRUE,"90+")</f>
        <v>31-60</v>
      </c>
      <c r="N754">
        <f t="shared" si="23"/>
        <v>6275</v>
      </c>
      <c r="O754" t="str">
        <f>VLOOKUP(K754,Agents!$A$1:$C$11,2,0)</f>
        <v>Sunita Rao</v>
      </c>
      <c r="P754">
        <f t="shared" si="22"/>
        <v>0</v>
      </c>
    </row>
    <row r="755" spans="1:16" x14ac:dyDescent="0.25">
      <c r="A755" s="2" t="s">
        <v>1227</v>
      </c>
      <c r="B755" s="2" t="s">
        <v>925</v>
      </c>
      <c r="C755" s="2" t="s">
        <v>46</v>
      </c>
      <c r="D755" s="2" t="s">
        <v>30</v>
      </c>
      <c r="E755" s="4">
        <v>46171</v>
      </c>
      <c r="F755" s="4">
        <v>46187</v>
      </c>
      <c r="G755" s="5">
        <v>6250</v>
      </c>
      <c r="H755" s="5">
        <v>6217.96</v>
      </c>
      <c r="I755" s="2" t="s">
        <v>37</v>
      </c>
      <c r="J755" s="2" t="s">
        <v>1541</v>
      </c>
      <c r="K755" t="s">
        <v>65</v>
      </c>
      <c r="L755" s="12">
        <f>MIS_Report!$B$2-F755</f>
        <v>123</v>
      </c>
      <c r="M755" t="str" cm="1">
        <f t="array" ref="M755">_xlfn.IFS(L755&lt;=30,"0-30",L755&lt;=60,"31-60",L755&lt;=90,"61-90",TRUE,"90+")</f>
        <v>90+</v>
      </c>
      <c r="N755">
        <f t="shared" si="23"/>
        <v>0</v>
      </c>
      <c r="O755" t="str">
        <f>VLOOKUP(K755,Agents!$A$1:$C$11,2,0)</f>
        <v>Deepak Nair</v>
      </c>
      <c r="P755">
        <f t="shared" si="22"/>
        <v>0</v>
      </c>
    </row>
    <row r="756" spans="1:16" x14ac:dyDescent="0.25">
      <c r="A756" s="2" t="s">
        <v>1228</v>
      </c>
      <c r="B756" s="2" t="s">
        <v>324</v>
      </c>
      <c r="C756" s="2" t="s">
        <v>79</v>
      </c>
      <c r="D756" s="2" t="s">
        <v>61</v>
      </c>
      <c r="E756" s="4">
        <v>46202</v>
      </c>
      <c r="F756" s="4">
        <v>46222</v>
      </c>
      <c r="G756" s="5">
        <v>10025</v>
      </c>
      <c r="H756" s="5"/>
      <c r="I756" s="2" t="s">
        <v>42</v>
      </c>
      <c r="J756" s="2" t="s">
        <v>1541</v>
      </c>
      <c r="K756" t="s">
        <v>43</v>
      </c>
      <c r="L756" s="12">
        <f>MIS_Report!$B$2-F756</f>
        <v>88</v>
      </c>
      <c r="M756" t="str" cm="1">
        <f t="array" ref="M756">_xlfn.IFS(L756&lt;=30,"0-30",L756&lt;=60,"31-60",L756&lt;=90,"61-90",TRUE,"90+")</f>
        <v>61-90</v>
      </c>
      <c r="N756">
        <f t="shared" si="23"/>
        <v>10025</v>
      </c>
      <c r="O756" t="str">
        <f>VLOOKUP(K756,Agents!$A$1:$C$11,2,0)</f>
        <v>Manish Arora</v>
      </c>
      <c r="P756">
        <f t="shared" si="22"/>
        <v>0</v>
      </c>
    </row>
    <row r="757" spans="1:16" x14ac:dyDescent="0.25">
      <c r="A757" s="2" t="s">
        <v>1229</v>
      </c>
      <c r="B757" s="2" t="s">
        <v>152</v>
      </c>
      <c r="C757" s="2" t="s">
        <v>36</v>
      </c>
      <c r="D757" s="2" t="s">
        <v>41</v>
      </c>
      <c r="E757" s="4">
        <v>46042</v>
      </c>
      <c r="F757" s="4">
        <v>46045</v>
      </c>
      <c r="G757" s="5">
        <v>4400</v>
      </c>
      <c r="H757" s="5">
        <v>0</v>
      </c>
      <c r="I757" s="2" t="s">
        <v>31</v>
      </c>
      <c r="J757" s="2" t="s">
        <v>271</v>
      </c>
      <c r="K757" t="s">
        <v>43</v>
      </c>
      <c r="L757" s="12">
        <f>MIS_Report!$B$2-F757</f>
        <v>265</v>
      </c>
      <c r="M757" t="str" cm="1">
        <f t="array" ref="M757">_xlfn.IFS(L757&lt;=30,"0-30",L757&lt;=60,"31-60",L757&lt;=90,"61-90",TRUE,"90+")</f>
        <v>90+</v>
      </c>
      <c r="N757">
        <f t="shared" si="23"/>
        <v>0</v>
      </c>
      <c r="O757" t="str">
        <f>VLOOKUP(K757,Agents!$A$1:$C$11,2,0)</f>
        <v>Manish Arora</v>
      </c>
      <c r="P757">
        <f t="shared" si="22"/>
        <v>4400</v>
      </c>
    </row>
    <row r="758" spans="1:16" x14ac:dyDescent="0.25">
      <c r="A758" s="2" t="s">
        <v>1230</v>
      </c>
      <c r="B758" s="2" t="s">
        <v>1231</v>
      </c>
      <c r="C758" s="2" t="s">
        <v>29</v>
      </c>
      <c r="D758" s="2" t="s">
        <v>30</v>
      </c>
      <c r="E758" s="4">
        <v>46220</v>
      </c>
      <c r="F758" s="4">
        <v>46223</v>
      </c>
      <c r="G758" s="5">
        <v>12900</v>
      </c>
      <c r="H758" s="5">
        <v>10340.16</v>
      </c>
      <c r="I758" s="2" t="s">
        <v>37</v>
      </c>
      <c r="J758" s="2" t="s">
        <v>1541</v>
      </c>
      <c r="K758" t="s">
        <v>33</v>
      </c>
      <c r="L758" s="12">
        <f>MIS_Report!$B$2-F758</f>
        <v>87</v>
      </c>
      <c r="M758" t="str" cm="1">
        <f t="array" ref="M758">_xlfn.IFS(L758&lt;=30,"0-30",L758&lt;=60,"31-60",L758&lt;=90,"61-90",TRUE,"90+")</f>
        <v>61-90</v>
      </c>
      <c r="N758">
        <f t="shared" si="23"/>
        <v>0</v>
      </c>
      <c r="O758" t="str">
        <f>VLOOKUP(K758,Agents!$A$1:$C$11,2,0)</f>
        <v>Manish Arora</v>
      </c>
      <c r="P758">
        <f t="shared" si="22"/>
        <v>0</v>
      </c>
    </row>
    <row r="759" spans="1:16" x14ac:dyDescent="0.25">
      <c r="A759" s="2" t="s">
        <v>1232</v>
      </c>
      <c r="B759" s="2" t="s">
        <v>989</v>
      </c>
      <c r="C759" s="2" t="s">
        <v>79</v>
      </c>
      <c r="D759" s="2" t="s">
        <v>55</v>
      </c>
      <c r="E759" s="4">
        <v>46081</v>
      </c>
      <c r="F759" s="4">
        <v>46092</v>
      </c>
      <c r="G759" s="5">
        <v>3675</v>
      </c>
      <c r="H759" s="5">
        <v>2271.1</v>
      </c>
      <c r="I759" s="2" t="s">
        <v>37</v>
      </c>
      <c r="J759" s="2" t="s">
        <v>1541</v>
      </c>
      <c r="K759" t="s">
        <v>56</v>
      </c>
      <c r="L759" s="12">
        <f>MIS_Report!$B$2-F759</f>
        <v>218</v>
      </c>
      <c r="M759" t="str" cm="1">
        <f t="array" ref="M759">_xlfn.IFS(L759&lt;=30,"0-30",L759&lt;=60,"31-60",L759&lt;=90,"61-90",TRUE,"90+")</f>
        <v>90+</v>
      </c>
      <c r="N759">
        <f t="shared" si="23"/>
        <v>0</v>
      </c>
      <c r="O759" t="str">
        <f>VLOOKUP(K759,Agents!$A$1:$C$11,2,0)</f>
        <v>Manish Arora</v>
      </c>
      <c r="P759">
        <f t="shared" si="22"/>
        <v>0</v>
      </c>
    </row>
    <row r="760" spans="1:16" x14ac:dyDescent="0.25">
      <c r="A760" s="2" t="s">
        <v>1233</v>
      </c>
      <c r="B760" s="2" t="s">
        <v>1087</v>
      </c>
      <c r="C760" s="2" t="s">
        <v>79</v>
      </c>
      <c r="D760" s="2" t="s">
        <v>55</v>
      </c>
      <c r="E760" s="4">
        <v>46144</v>
      </c>
      <c r="F760" s="4">
        <v>46155</v>
      </c>
      <c r="G760" s="5">
        <v>13775</v>
      </c>
      <c r="H760" s="5">
        <v>13222.57</v>
      </c>
      <c r="I760" s="2" t="s">
        <v>37</v>
      </c>
      <c r="J760" s="2" t="s">
        <v>1541</v>
      </c>
      <c r="K760" t="s">
        <v>33</v>
      </c>
      <c r="L760" s="12">
        <f>MIS_Report!$B$2-F760</f>
        <v>155</v>
      </c>
      <c r="M760" t="str" cm="1">
        <f t="array" ref="M760">_xlfn.IFS(L760&lt;=30,"0-30",L760&lt;=60,"31-60",L760&lt;=90,"61-90",TRUE,"90+")</f>
        <v>90+</v>
      </c>
      <c r="N760">
        <f t="shared" si="23"/>
        <v>0</v>
      </c>
      <c r="O760" t="str">
        <f>VLOOKUP(K760,Agents!$A$1:$C$11,2,0)</f>
        <v>Manish Arora</v>
      </c>
      <c r="P760">
        <f t="shared" si="22"/>
        <v>0</v>
      </c>
    </row>
    <row r="761" spans="1:16" x14ac:dyDescent="0.25">
      <c r="A761" s="2" t="s">
        <v>1234</v>
      </c>
      <c r="B761" s="2" t="s">
        <v>663</v>
      </c>
      <c r="C761" s="2" t="s">
        <v>46</v>
      </c>
      <c r="D761" s="2" t="s">
        <v>61</v>
      </c>
      <c r="E761" s="4">
        <v>46241</v>
      </c>
      <c r="F761" s="4">
        <v>46244</v>
      </c>
      <c r="G761" s="5">
        <v>10250</v>
      </c>
      <c r="H761" s="5"/>
      <c r="I761" s="2" t="s">
        <v>42</v>
      </c>
      <c r="J761" s="2" t="s">
        <v>1541</v>
      </c>
      <c r="K761" t="s">
        <v>65</v>
      </c>
      <c r="L761" s="12">
        <f>MIS_Report!$B$2-F761</f>
        <v>66</v>
      </c>
      <c r="M761" t="str" cm="1">
        <f t="array" ref="M761">_xlfn.IFS(L761&lt;=30,"0-30",L761&lt;=60,"31-60",L761&lt;=90,"61-90",TRUE,"90+")</f>
        <v>61-90</v>
      </c>
      <c r="N761">
        <f t="shared" si="23"/>
        <v>10250</v>
      </c>
      <c r="O761" t="str">
        <f>VLOOKUP(K761,Agents!$A$1:$C$11,2,0)</f>
        <v>Deepak Nair</v>
      </c>
      <c r="P761">
        <f t="shared" si="22"/>
        <v>0</v>
      </c>
    </row>
    <row r="762" spans="1:16" x14ac:dyDescent="0.25">
      <c r="A762" s="2" t="s">
        <v>1235</v>
      </c>
      <c r="B762" s="2" t="s">
        <v>1076</v>
      </c>
      <c r="C762" s="2" t="s">
        <v>46</v>
      </c>
      <c r="D762" s="2" t="s">
        <v>41</v>
      </c>
      <c r="E762" s="4">
        <v>46180</v>
      </c>
      <c r="F762" s="4">
        <v>46197</v>
      </c>
      <c r="G762" s="5">
        <v>3325</v>
      </c>
      <c r="H762" s="5">
        <v>2878.74</v>
      </c>
      <c r="I762" s="2" t="s">
        <v>37</v>
      </c>
      <c r="J762" s="2" t="s">
        <v>1541</v>
      </c>
      <c r="K762" t="s">
        <v>65</v>
      </c>
      <c r="L762" s="12">
        <f>MIS_Report!$B$2-F762</f>
        <v>113</v>
      </c>
      <c r="M762" t="str" cm="1">
        <f t="array" ref="M762">_xlfn.IFS(L762&lt;=30,"0-30",L762&lt;=60,"31-60",L762&lt;=90,"61-90",TRUE,"90+")</f>
        <v>90+</v>
      </c>
      <c r="N762">
        <f t="shared" si="23"/>
        <v>0</v>
      </c>
      <c r="O762" t="str">
        <f>VLOOKUP(K762,Agents!$A$1:$C$11,2,0)</f>
        <v>Deepak Nair</v>
      </c>
      <c r="P762">
        <f t="shared" si="22"/>
        <v>0</v>
      </c>
    </row>
    <row r="763" spans="1:16" x14ac:dyDescent="0.25">
      <c r="A763" s="2" t="s">
        <v>1236</v>
      </c>
      <c r="B763" s="2" t="s">
        <v>853</v>
      </c>
      <c r="C763" s="2" t="s">
        <v>29</v>
      </c>
      <c r="D763" s="2" t="s">
        <v>71</v>
      </c>
      <c r="E763" s="4">
        <v>46108</v>
      </c>
      <c r="F763" s="4">
        <v>46124</v>
      </c>
      <c r="G763" s="5">
        <v>3050</v>
      </c>
      <c r="H763" s="5">
        <v>0</v>
      </c>
      <c r="I763" s="2" t="s">
        <v>31</v>
      </c>
      <c r="J763" s="2" t="s">
        <v>47</v>
      </c>
      <c r="K763" t="s">
        <v>109</v>
      </c>
      <c r="L763" s="12">
        <f>MIS_Report!$B$2-F763</f>
        <v>186</v>
      </c>
      <c r="M763" t="str" cm="1">
        <f t="array" ref="M763">_xlfn.IFS(L763&lt;=30,"0-30",L763&lt;=60,"31-60",L763&lt;=90,"61-90",TRUE,"90+")</f>
        <v>90+</v>
      </c>
      <c r="N763">
        <f t="shared" si="23"/>
        <v>0</v>
      </c>
      <c r="O763" t="str">
        <f>VLOOKUP(K763,Agents!$A$1:$C$11,2,0)</f>
        <v>Deepak Nair</v>
      </c>
      <c r="P763">
        <f t="shared" si="22"/>
        <v>3050</v>
      </c>
    </row>
    <row r="764" spans="1:16" x14ac:dyDescent="0.25">
      <c r="A764" s="2" t="s">
        <v>1237</v>
      </c>
      <c r="B764" s="2" t="s">
        <v>688</v>
      </c>
      <c r="C764" s="2" t="s">
        <v>46</v>
      </c>
      <c r="D764" s="2" t="s">
        <v>55</v>
      </c>
      <c r="E764" s="4">
        <v>46195</v>
      </c>
      <c r="F764" s="4">
        <v>46204</v>
      </c>
      <c r="G764" s="5">
        <v>12975</v>
      </c>
      <c r="H764" s="5">
        <v>11830.56</v>
      </c>
      <c r="I764" s="2" t="s">
        <v>37</v>
      </c>
      <c r="J764" s="2" t="s">
        <v>1541</v>
      </c>
      <c r="K764" t="s">
        <v>43</v>
      </c>
      <c r="L764" s="12">
        <f>MIS_Report!$B$2-F764</f>
        <v>106</v>
      </c>
      <c r="M764" t="str" cm="1">
        <f t="array" ref="M764">_xlfn.IFS(L764&lt;=30,"0-30",L764&lt;=60,"31-60",L764&lt;=90,"61-90",TRUE,"90+")</f>
        <v>90+</v>
      </c>
      <c r="N764">
        <f t="shared" si="23"/>
        <v>0</v>
      </c>
      <c r="O764" t="str">
        <f>VLOOKUP(K764,Agents!$A$1:$C$11,2,0)</f>
        <v>Manish Arora</v>
      </c>
      <c r="P764">
        <f t="shared" si="22"/>
        <v>0</v>
      </c>
    </row>
    <row r="765" spans="1:16" x14ac:dyDescent="0.25">
      <c r="A765" s="2" t="s">
        <v>1238</v>
      </c>
      <c r="B765" s="2" t="s">
        <v>892</v>
      </c>
      <c r="C765" s="2" t="s">
        <v>79</v>
      </c>
      <c r="D765" s="2" t="s">
        <v>61</v>
      </c>
      <c r="E765" s="4">
        <v>46261</v>
      </c>
      <c r="F765" s="4">
        <v>46268</v>
      </c>
      <c r="G765" s="5">
        <v>2050</v>
      </c>
      <c r="H765" s="5"/>
      <c r="I765" s="2" t="s">
        <v>42</v>
      </c>
      <c r="J765" s="2" t="s">
        <v>1541</v>
      </c>
      <c r="K765" t="s">
        <v>83</v>
      </c>
      <c r="L765" s="12">
        <f>MIS_Report!$B$2-F765</f>
        <v>42</v>
      </c>
      <c r="M765" t="str" cm="1">
        <f t="array" ref="M765">_xlfn.IFS(L765&lt;=30,"0-30",L765&lt;=60,"31-60",L765&lt;=90,"61-90",TRUE,"90+")</f>
        <v>31-60</v>
      </c>
      <c r="N765">
        <f t="shared" si="23"/>
        <v>2050</v>
      </c>
      <c r="O765" t="str">
        <f>VLOOKUP(K765,Agents!$A$1:$C$11,2,0)</f>
        <v>Deepak Nair</v>
      </c>
      <c r="P765">
        <f t="shared" si="22"/>
        <v>0</v>
      </c>
    </row>
    <row r="766" spans="1:16" x14ac:dyDescent="0.25">
      <c r="A766" s="2" t="s">
        <v>1239</v>
      </c>
      <c r="B766" s="2" t="s">
        <v>1240</v>
      </c>
      <c r="C766" s="2" t="s">
        <v>29</v>
      </c>
      <c r="D766" s="2" t="s">
        <v>41</v>
      </c>
      <c r="E766" s="4">
        <v>46161</v>
      </c>
      <c r="F766" s="4">
        <v>46180</v>
      </c>
      <c r="G766" s="5">
        <v>13475</v>
      </c>
      <c r="H766" s="5"/>
      <c r="I766" s="2" t="s">
        <v>42</v>
      </c>
      <c r="J766" s="2" t="s">
        <v>1541</v>
      </c>
      <c r="K766" t="s">
        <v>48</v>
      </c>
      <c r="L766" s="12">
        <f>MIS_Report!$B$2-F766</f>
        <v>130</v>
      </c>
      <c r="M766" t="str" cm="1">
        <f t="array" ref="M766">_xlfn.IFS(L766&lt;=30,"0-30",L766&lt;=60,"31-60",L766&lt;=90,"61-90",TRUE,"90+")</f>
        <v>90+</v>
      </c>
      <c r="N766">
        <f t="shared" si="23"/>
        <v>13475</v>
      </c>
      <c r="O766" t="str">
        <f>VLOOKUP(K766,Agents!$A$1:$C$11,2,0)</f>
        <v>Manish Arora</v>
      </c>
      <c r="P766">
        <f t="shared" si="22"/>
        <v>0</v>
      </c>
    </row>
    <row r="767" spans="1:16" x14ac:dyDescent="0.25">
      <c r="A767" s="2" t="s">
        <v>1241</v>
      </c>
      <c r="B767" s="2" t="s">
        <v>1196</v>
      </c>
      <c r="C767" s="2" t="s">
        <v>29</v>
      </c>
      <c r="D767" s="2" t="s">
        <v>61</v>
      </c>
      <c r="E767" s="4">
        <v>46253</v>
      </c>
      <c r="F767" s="4">
        <v>46267</v>
      </c>
      <c r="G767" s="5">
        <v>13875</v>
      </c>
      <c r="H767" s="5">
        <v>13384.66</v>
      </c>
      <c r="I767" s="2" t="s">
        <v>37</v>
      </c>
      <c r="J767" s="2" t="s">
        <v>1541</v>
      </c>
      <c r="K767" t="s">
        <v>83</v>
      </c>
      <c r="L767" s="12">
        <f>MIS_Report!$B$2-F767</f>
        <v>43</v>
      </c>
      <c r="M767" t="str" cm="1">
        <f t="array" ref="M767">_xlfn.IFS(L767&lt;=30,"0-30",L767&lt;=60,"31-60",L767&lt;=90,"61-90",TRUE,"90+")</f>
        <v>31-60</v>
      </c>
      <c r="N767">
        <f t="shared" si="23"/>
        <v>0</v>
      </c>
      <c r="O767" t="str">
        <f>VLOOKUP(K767,Agents!$A$1:$C$11,2,0)</f>
        <v>Deepak Nair</v>
      </c>
      <c r="P767">
        <f t="shared" si="22"/>
        <v>0</v>
      </c>
    </row>
    <row r="768" spans="1:16" x14ac:dyDescent="0.25">
      <c r="A768" s="2" t="s">
        <v>1242</v>
      </c>
      <c r="B768" s="2" t="s">
        <v>840</v>
      </c>
      <c r="C768" s="2" t="s">
        <v>36</v>
      </c>
      <c r="D768" s="2" t="s">
        <v>41</v>
      </c>
      <c r="E768" s="4">
        <v>46076</v>
      </c>
      <c r="F768" s="4">
        <v>46083</v>
      </c>
      <c r="G768" s="5">
        <v>10000</v>
      </c>
      <c r="H768" s="5">
        <v>9468.76</v>
      </c>
      <c r="I768" s="2" t="s">
        <v>37</v>
      </c>
      <c r="J768" s="2" t="s">
        <v>1541</v>
      </c>
      <c r="K768" t="s">
        <v>33</v>
      </c>
      <c r="L768" s="12">
        <f>MIS_Report!$B$2-F768</f>
        <v>227</v>
      </c>
      <c r="M768" t="str" cm="1">
        <f t="array" ref="M768">_xlfn.IFS(L768&lt;=30,"0-30",L768&lt;=60,"31-60",L768&lt;=90,"61-90",TRUE,"90+")</f>
        <v>90+</v>
      </c>
      <c r="N768">
        <f t="shared" si="23"/>
        <v>0</v>
      </c>
      <c r="O768" t="str">
        <f>VLOOKUP(K768,Agents!$A$1:$C$11,2,0)</f>
        <v>Manish Arora</v>
      </c>
      <c r="P768">
        <f t="shared" si="22"/>
        <v>0</v>
      </c>
    </row>
    <row r="769" spans="1:16" x14ac:dyDescent="0.25">
      <c r="A769" s="2" t="s">
        <v>1243</v>
      </c>
      <c r="B769" s="2" t="s">
        <v>382</v>
      </c>
      <c r="C769" s="2" t="s">
        <v>79</v>
      </c>
      <c r="D769" s="2" t="s">
        <v>94</v>
      </c>
      <c r="E769" s="4">
        <v>46049</v>
      </c>
      <c r="F769" s="4">
        <v>46066</v>
      </c>
      <c r="G769" s="5">
        <v>3000</v>
      </c>
      <c r="H769" s="5"/>
      <c r="I769" s="2" t="s">
        <v>42</v>
      </c>
      <c r="J769" s="2" t="s">
        <v>1541</v>
      </c>
      <c r="K769" t="s">
        <v>109</v>
      </c>
      <c r="L769" s="12">
        <f>MIS_Report!$B$2-F769</f>
        <v>244</v>
      </c>
      <c r="M769" t="str" cm="1">
        <f t="array" ref="M769">_xlfn.IFS(L769&lt;=30,"0-30",L769&lt;=60,"31-60",L769&lt;=90,"61-90",TRUE,"90+")</f>
        <v>90+</v>
      </c>
      <c r="N769">
        <f t="shared" si="23"/>
        <v>3000</v>
      </c>
      <c r="O769" t="str">
        <f>VLOOKUP(K769,Agents!$A$1:$C$11,2,0)</f>
        <v>Deepak Nair</v>
      </c>
      <c r="P769">
        <f t="shared" si="22"/>
        <v>0</v>
      </c>
    </row>
    <row r="770" spans="1:16" x14ac:dyDescent="0.25">
      <c r="A770" s="2" t="s">
        <v>1244</v>
      </c>
      <c r="B770" s="2" t="s">
        <v>569</v>
      </c>
      <c r="C770" s="2" t="s">
        <v>29</v>
      </c>
      <c r="D770" s="2" t="s">
        <v>41</v>
      </c>
      <c r="E770" s="4">
        <v>46203</v>
      </c>
      <c r="F770" s="4">
        <v>46211</v>
      </c>
      <c r="G770" s="5">
        <v>14075</v>
      </c>
      <c r="H770" s="5"/>
      <c r="I770" s="2" t="s">
        <v>42</v>
      </c>
      <c r="J770" s="2" t="s">
        <v>1541</v>
      </c>
      <c r="K770" t="s">
        <v>65</v>
      </c>
      <c r="L770" s="12">
        <f>MIS_Report!$B$2-F770</f>
        <v>99</v>
      </c>
      <c r="M770" t="str" cm="1">
        <f t="array" ref="M770">_xlfn.IFS(L770&lt;=30,"0-30",L770&lt;=60,"31-60",L770&lt;=90,"61-90",TRUE,"90+")</f>
        <v>90+</v>
      </c>
      <c r="N770">
        <f t="shared" si="23"/>
        <v>14075</v>
      </c>
      <c r="O770" t="str">
        <f>VLOOKUP(K770,Agents!$A$1:$C$11,2,0)</f>
        <v>Deepak Nair</v>
      </c>
      <c r="P770">
        <f t="shared" si="22"/>
        <v>0</v>
      </c>
    </row>
    <row r="771" spans="1:16" x14ac:dyDescent="0.25">
      <c r="A771" s="2" t="s">
        <v>1245</v>
      </c>
      <c r="B771" s="2" t="s">
        <v>1246</v>
      </c>
      <c r="C771" s="2" t="s">
        <v>36</v>
      </c>
      <c r="D771" s="2" t="s">
        <v>55</v>
      </c>
      <c r="E771" s="4">
        <v>46175</v>
      </c>
      <c r="F771" s="4">
        <v>46185</v>
      </c>
      <c r="G771" s="5">
        <v>3225</v>
      </c>
      <c r="H771" s="5">
        <v>2530.08</v>
      </c>
      <c r="I771" s="2" t="s">
        <v>37</v>
      </c>
      <c r="J771" s="2" t="s">
        <v>1541</v>
      </c>
      <c r="K771" t="s">
        <v>38</v>
      </c>
      <c r="L771" s="12">
        <f>MIS_Report!$B$2-F771</f>
        <v>125</v>
      </c>
      <c r="M771" t="str" cm="1">
        <f t="array" ref="M771">_xlfn.IFS(L771&lt;=30,"0-30",L771&lt;=60,"31-60",L771&lt;=90,"61-90",TRUE,"90+")</f>
        <v>90+</v>
      </c>
      <c r="N771">
        <f t="shared" si="23"/>
        <v>0</v>
      </c>
      <c r="O771" t="str">
        <f>VLOOKUP(K771,Agents!$A$1:$C$11,2,0)</f>
        <v>Sunita Rao</v>
      </c>
      <c r="P771">
        <f t="shared" ref="P771:P834" si="24">IF(I771="Denied",G771,0)</f>
        <v>0</v>
      </c>
    </row>
    <row r="772" spans="1:16" x14ac:dyDescent="0.25">
      <c r="A772" s="2" t="s">
        <v>1247</v>
      </c>
      <c r="B772" s="2" t="s">
        <v>1248</v>
      </c>
      <c r="C772" s="2" t="s">
        <v>36</v>
      </c>
      <c r="D772" s="2" t="s">
        <v>80</v>
      </c>
      <c r="E772" s="4">
        <v>46188</v>
      </c>
      <c r="F772" s="4">
        <v>46198</v>
      </c>
      <c r="G772" s="5">
        <v>13250</v>
      </c>
      <c r="H772" s="5"/>
      <c r="I772" s="2" t="s">
        <v>42</v>
      </c>
      <c r="J772" s="2" t="s">
        <v>1541</v>
      </c>
      <c r="K772" t="s">
        <v>43</v>
      </c>
      <c r="L772" s="12">
        <f>MIS_Report!$B$2-F772</f>
        <v>112</v>
      </c>
      <c r="M772" t="str" cm="1">
        <f t="array" ref="M772">_xlfn.IFS(L772&lt;=30,"0-30",L772&lt;=60,"31-60",L772&lt;=90,"61-90",TRUE,"90+")</f>
        <v>90+</v>
      </c>
      <c r="N772">
        <f t="shared" si="23"/>
        <v>13250</v>
      </c>
      <c r="O772" t="str">
        <f>VLOOKUP(K772,Agents!$A$1:$C$11,2,0)</f>
        <v>Manish Arora</v>
      </c>
      <c r="P772">
        <f t="shared" si="24"/>
        <v>0</v>
      </c>
    </row>
    <row r="773" spans="1:16" x14ac:dyDescent="0.25">
      <c r="A773" s="2" t="s">
        <v>1249</v>
      </c>
      <c r="B773" s="2" t="s">
        <v>1250</v>
      </c>
      <c r="C773" s="2" t="s">
        <v>46</v>
      </c>
      <c r="D773" s="2" t="s">
        <v>94</v>
      </c>
      <c r="E773" s="4">
        <v>46137</v>
      </c>
      <c r="F773" s="4">
        <v>46146</v>
      </c>
      <c r="G773" s="5">
        <v>8350</v>
      </c>
      <c r="H773" s="5">
        <v>7949.18</v>
      </c>
      <c r="I773" s="2" t="s">
        <v>37</v>
      </c>
      <c r="J773" s="2" t="s">
        <v>1541</v>
      </c>
      <c r="K773" t="s">
        <v>109</v>
      </c>
      <c r="L773" s="12">
        <f>MIS_Report!$B$2-F773</f>
        <v>164</v>
      </c>
      <c r="M773" t="str" cm="1">
        <f t="array" ref="M773">_xlfn.IFS(L773&lt;=30,"0-30",L773&lt;=60,"31-60",L773&lt;=90,"61-90",TRUE,"90+")</f>
        <v>90+</v>
      </c>
      <c r="N773">
        <f t="shared" ref="N773:N836" si="25">IF(I773="Pending",G773-H773,0)</f>
        <v>0</v>
      </c>
      <c r="O773" t="str">
        <f>VLOOKUP(K773,Agents!$A$1:$C$11,2,0)</f>
        <v>Deepak Nair</v>
      </c>
      <c r="P773">
        <f t="shared" si="24"/>
        <v>0</v>
      </c>
    </row>
    <row r="774" spans="1:16" x14ac:dyDescent="0.25">
      <c r="A774" s="2" t="s">
        <v>1251</v>
      </c>
      <c r="B774" s="2" t="s">
        <v>1252</v>
      </c>
      <c r="C774" s="2" t="s">
        <v>29</v>
      </c>
      <c r="D774" s="2" t="s">
        <v>61</v>
      </c>
      <c r="E774" s="4">
        <v>46031</v>
      </c>
      <c r="F774" s="4">
        <v>46045</v>
      </c>
      <c r="G774" s="5">
        <v>1050</v>
      </c>
      <c r="H774" s="5">
        <v>935.86</v>
      </c>
      <c r="I774" s="2" t="s">
        <v>37</v>
      </c>
      <c r="J774" s="2" t="s">
        <v>1541</v>
      </c>
      <c r="K774" t="s">
        <v>56</v>
      </c>
      <c r="L774" s="12">
        <f>MIS_Report!$B$2-F774</f>
        <v>265</v>
      </c>
      <c r="M774" t="str" cm="1">
        <f t="array" ref="M774">_xlfn.IFS(L774&lt;=30,"0-30",L774&lt;=60,"31-60",L774&lt;=90,"61-90",TRUE,"90+")</f>
        <v>90+</v>
      </c>
      <c r="N774">
        <f t="shared" si="25"/>
        <v>0</v>
      </c>
      <c r="O774" t="str">
        <f>VLOOKUP(K774,Agents!$A$1:$C$11,2,0)</f>
        <v>Manish Arora</v>
      </c>
      <c r="P774">
        <f t="shared" si="24"/>
        <v>0</v>
      </c>
    </row>
    <row r="775" spans="1:16" x14ac:dyDescent="0.25">
      <c r="A775" s="2" t="s">
        <v>1253</v>
      </c>
      <c r="B775" s="2" t="s">
        <v>133</v>
      </c>
      <c r="C775" s="2" t="s">
        <v>36</v>
      </c>
      <c r="D775" s="2" t="s">
        <v>68</v>
      </c>
      <c r="E775" s="4">
        <v>46223</v>
      </c>
      <c r="F775" s="4">
        <v>46227</v>
      </c>
      <c r="G775" s="5">
        <v>1925</v>
      </c>
      <c r="H775" s="5">
        <v>0</v>
      </c>
      <c r="I775" s="2" t="s">
        <v>31</v>
      </c>
      <c r="J775" s="2" t="s">
        <v>47</v>
      </c>
      <c r="K775" t="s">
        <v>52</v>
      </c>
      <c r="L775" s="12">
        <f>MIS_Report!$B$2-F775</f>
        <v>83</v>
      </c>
      <c r="M775" t="str" cm="1">
        <f t="array" ref="M775">_xlfn.IFS(L775&lt;=30,"0-30",L775&lt;=60,"31-60",L775&lt;=90,"61-90",TRUE,"90+")</f>
        <v>61-90</v>
      </c>
      <c r="N775">
        <f t="shared" si="25"/>
        <v>0</v>
      </c>
      <c r="O775" t="str">
        <f>VLOOKUP(K775,Agents!$A$1:$C$11,2,0)</f>
        <v>Sunita Rao</v>
      </c>
      <c r="P775">
        <f t="shared" si="24"/>
        <v>1925</v>
      </c>
    </row>
    <row r="776" spans="1:16" x14ac:dyDescent="0.25">
      <c r="A776" s="2" t="s">
        <v>1254</v>
      </c>
      <c r="B776" s="2" t="s">
        <v>1255</v>
      </c>
      <c r="C776" s="2" t="s">
        <v>29</v>
      </c>
      <c r="D776" s="2" t="s">
        <v>41</v>
      </c>
      <c r="E776" s="4">
        <v>46051</v>
      </c>
      <c r="F776" s="4">
        <v>46059</v>
      </c>
      <c r="G776" s="5">
        <v>10850</v>
      </c>
      <c r="H776" s="5">
        <v>0</v>
      </c>
      <c r="I776" s="2" t="s">
        <v>31</v>
      </c>
      <c r="J776" s="2" t="s">
        <v>47</v>
      </c>
      <c r="K776" t="s">
        <v>33</v>
      </c>
      <c r="L776" s="12">
        <f>MIS_Report!$B$2-F776</f>
        <v>251</v>
      </c>
      <c r="M776" t="str" cm="1">
        <f t="array" ref="M776">_xlfn.IFS(L776&lt;=30,"0-30",L776&lt;=60,"31-60",L776&lt;=90,"61-90",TRUE,"90+")</f>
        <v>90+</v>
      </c>
      <c r="N776">
        <f t="shared" si="25"/>
        <v>0</v>
      </c>
      <c r="O776" t="str">
        <f>VLOOKUP(K776,Agents!$A$1:$C$11,2,0)</f>
        <v>Manish Arora</v>
      </c>
      <c r="P776">
        <f t="shared" si="24"/>
        <v>10850</v>
      </c>
    </row>
    <row r="777" spans="1:16" x14ac:dyDescent="0.25">
      <c r="A777" s="2" t="s">
        <v>1256</v>
      </c>
      <c r="B777" s="2" t="s">
        <v>373</v>
      </c>
      <c r="C777" s="2" t="s">
        <v>79</v>
      </c>
      <c r="D777" s="2" t="s">
        <v>41</v>
      </c>
      <c r="E777" s="4">
        <v>46192</v>
      </c>
      <c r="F777" s="4">
        <v>46202</v>
      </c>
      <c r="G777" s="5">
        <v>9650</v>
      </c>
      <c r="H777" s="5">
        <v>9398.1200000000008</v>
      </c>
      <c r="I777" s="2" t="s">
        <v>37</v>
      </c>
      <c r="J777" s="2" t="s">
        <v>1541</v>
      </c>
      <c r="K777" t="s">
        <v>62</v>
      </c>
      <c r="L777" s="12">
        <f>MIS_Report!$B$2-F777</f>
        <v>108</v>
      </c>
      <c r="M777" t="str" cm="1">
        <f t="array" ref="M777">_xlfn.IFS(L777&lt;=30,"0-30",L777&lt;=60,"31-60",L777&lt;=90,"61-90",TRUE,"90+")</f>
        <v>90+</v>
      </c>
      <c r="N777">
        <f t="shared" si="25"/>
        <v>0</v>
      </c>
      <c r="O777" t="str">
        <f>VLOOKUP(K777,Agents!$A$1:$C$11,2,0)</f>
        <v>Sunita Rao</v>
      </c>
      <c r="P777">
        <f t="shared" si="24"/>
        <v>0</v>
      </c>
    </row>
    <row r="778" spans="1:16" x14ac:dyDescent="0.25">
      <c r="A778" s="2" t="s">
        <v>1257</v>
      </c>
      <c r="B778" s="2" t="s">
        <v>67</v>
      </c>
      <c r="C778" s="2" t="s">
        <v>36</v>
      </c>
      <c r="D778" s="2" t="s">
        <v>61</v>
      </c>
      <c r="E778" s="4">
        <v>46130</v>
      </c>
      <c r="F778" s="4">
        <v>46143</v>
      </c>
      <c r="G778" s="5">
        <v>7925</v>
      </c>
      <c r="H778" s="5">
        <v>0</v>
      </c>
      <c r="I778" s="2" t="s">
        <v>31</v>
      </c>
      <c r="J778" s="2" t="s">
        <v>116</v>
      </c>
      <c r="K778" t="s">
        <v>43</v>
      </c>
      <c r="L778" s="12">
        <f>MIS_Report!$B$2-F778</f>
        <v>167</v>
      </c>
      <c r="M778" t="str" cm="1">
        <f t="array" ref="M778">_xlfn.IFS(L778&lt;=30,"0-30",L778&lt;=60,"31-60",L778&lt;=90,"61-90",TRUE,"90+")</f>
        <v>90+</v>
      </c>
      <c r="N778">
        <f t="shared" si="25"/>
        <v>0</v>
      </c>
      <c r="O778" t="str">
        <f>VLOOKUP(K778,Agents!$A$1:$C$11,2,0)</f>
        <v>Manish Arora</v>
      </c>
      <c r="P778">
        <f t="shared" si="24"/>
        <v>7925</v>
      </c>
    </row>
    <row r="779" spans="1:16" x14ac:dyDescent="0.25">
      <c r="A779" s="2" t="s">
        <v>1258</v>
      </c>
      <c r="B779" s="2" t="s">
        <v>1259</v>
      </c>
      <c r="C779" s="2" t="s">
        <v>46</v>
      </c>
      <c r="D779" s="2" t="s">
        <v>71</v>
      </c>
      <c r="E779" s="4">
        <v>46282</v>
      </c>
      <c r="F779" s="4">
        <v>46291</v>
      </c>
      <c r="G779" s="5">
        <v>12625</v>
      </c>
      <c r="H779" s="5">
        <v>11471.29</v>
      </c>
      <c r="I779" s="2" t="s">
        <v>37</v>
      </c>
      <c r="J779" s="2" t="s">
        <v>1541</v>
      </c>
      <c r="K779" t="s">
        <v>48</v>
      </c>
      <c r="L779" s="12">
        <f>MIS_Report!$B$2-F779</f>
        <v>19</v>
      </c>
      <c r="M779" t="str" cm="1">
        <f t="array" ref="M779">_xlfn.IFS(L779&lt;=30,"0-30",L779&lt;=60,"31-60",L779&lt;=90,"61-90",TRUE,"90+")</f>
        <v>0-30</v>
      </c>
      <c r="N779">
        <f t="shared" si="25"/>
        <v>0</v>
      </c>
      <c r="O779" t="str">
        <f>VLOOKUP(K779,Agents!$A$1:$C$11,2,0)</f>
        <v>Manish Arora</v>
      </c>
      <c r="P779">
        <f t="shared" si="24"/>
        <v>0</v>
      </c>
    </row>
    <row r="780" spans="1:16" x14ac:dyDescent="0.25">
      <c r="A780" s="2" t="s">
        <v>1260</v>
      </c>
      <c r="B780" s="2" t="s">
        <v>739</v>
      </c>
      <c r="C780" s="2" t="s">
        <v>79</v>
      </c>
      <c r="D780" s="2" t="s">
        <v>61</v>
      </c>
      <c r="E780" s="4">
        <v>46103</v>
      </c>
      <c r="F780" s="4">
        <v>46106</v>
      </c>
      <c r="G780" s="5">
        <v>3350</v>
      </c>
      <c r="H780" s="5">
        <v>2335.04</v>
      </c>
      <c r="I780" s="2" t="s">
        <v>37</v>
      </c>
      <c r="J780" s="2" t="s">
        <v>1541</v>
      </c>
      <c r="K780" t="s">
        <v>52</v>
      </c>
      <c r="L780" s="12">
        <f>MIS_Report!$B$2-F780</f>
        <v>204</v>
      </c>
      <c r="M780" t="str" cm="1">
        <f t="array" ref="M780">_xlfn.IFS(L780&lt;=30,"0-30",L780&lt;=60,"31-60",L780&lt;=90,"61-90",TRUE,"90+")</f>
        <v>90+</v>
      </c>
      <c r="N780">
        <f t="shared" si="25"/>
        <v>0</v>
      </c>
      <c r="O780" t="str">
        <f>VLOOKUP(K780,Agents!$A$1:$C$11,2,0)</f>
        <v>Sunita Rao</v>
      </c>
      <c r="P780">
        <f t="shared" si="24"/>
        <v>0</v>
      </c>
    </row>
    <row r="781" spans="1:16" x14ac:dyDescent="0.25">
      <c r="A781" s="2" t="s">
        <v>1261</v>
      </c>
      <c r="B781" s="2" t="s">
        <v>324</v>
      </c>
      <c r="C781" s="2" t="s">
        <v>29</v>
      </c>
      <c r="D781" s="2" t="s">
        <v>61</v>
      </c>
      <c r="E781" s="4">
        <v>46042</v>
      </c>
      <c r="F781" s="4">
        <v>46061</v>
      </c>
      <c r="G781" s="5">
        <v>4600</v>
      </c>
      <c r="H781" s="5">
        <v>3752.97</v>
      </c>
      <c r="I781" s="2" t="s">
        <v>37</v>
      </c>
      <c r="J781" s="2" t="s">
        <v>1541</v>
      </c>
      <c r="K781" t="s">
        <v>52</v>
      </c>
      <c r="L781" s="12">
        <f>MIS_Report!$B$2-F781</f>
        <v>249</v>
      </c>
      <c r="M781" t="str" cm="1">
        <f t="array" ref="M781">_xlfn.IFS(L781&lt;=30,"0-30",L781&lt;=60,"31-60",L781&lt;=90,"61-90",TRUE,"90+")</f>
        <v>90+</v>
      </c>
      <c r="N781">
        <f t="shared" si="25"/>
        <v>0</v>
      </c>
      <c r="O781" t="str">
        <f>VLOOKUP(K781,Agents!$A$1:$C$11,2,0)</f>
        <v>Sunita Rao</v>
      </c>
      <c r="P781">
        <f t="shared" si="24"/>
        <v>0</v>
      </c>
    </row>
    <row r="782" spans="1:16" x14ac:dyDescent="0.25">
      <c r="A782" s="2" t="s">
        <v>1262</v>
      </c>
      <c r="B782" s="2" t="s">
        <v>104</v>
      </c>
      <c r="C782" s="2" t="s">
        <v>46</v>
      </c>
      <c r="D782" s="2" t="s">
        <v>55</v>
      </c>
      <c r="E782" s="4">
        <v>46248</v>
      </c>
      <c r="F782" s="4">
        <v>46264</v>
      </c>
      <c r="G782" s="5">
        <v>5325</v>
      </c>
      <c r="H782" s="5">
        <v>5019.96</v>
      </c>
      <c r="I782" s="2" t="s">
        <v>37</v>
      </c>
      <c r="J782" s="2" t="s">
        <v>1541</v>
      </c>
      <c r="K782" t="s">
        <v>65</v>
      </c>
      <c r="L782" s="12">
        <f>MIS_Report!$B$2-F782</f>
        <v>46</v>
      </c>
      <c r="M782" t="str" cm="1">
        <f t="array" ref="M782">_xlfn.IFS(L782&lt;=30,"0-30",L782&lt;=60,"31-60",L782&lt;=90,"61-90",TRUE,"90+")</f>
        <v>31-60</v>
      </c>
      <c r="N782">
        <f t="shared" si="25"/>
        <v>0</v>
      </c>
      <c r="O782" t="str">
        <f>VLOOKUP(K782,Agents!$A$1:$C$11,2,0)</f>
        <v>Deepak Nair</v>
      </c>
      <c r="P782">
        <f t="shared" si="24"/>
        <v>0</v>
      </c>
    </row>
    <row r="783" spans="1:16" x14ac:dyDescent="0.25">
      <c r="A783" s="2" t="s">
        <v>1263</v>
      </c>
      <c r="B783" s="2" t="s">
        <v>423</v>
      </c>
      <c r="C783" s="2" t="s">
        <v>36</v>
      </c>
      <c r="D783" s="2" t="s">
        <v>55</v>
      </c>
      <c r="E783" s="4">
        <v>46264</v>
      </c>
      <c r="F783" s="4">
        <v>46268</v>
      </c>
      <c r="G783" s="5">
        <v>14550</v>
      </c>
      <c r="H783" s="5">
        <v>10001.280000000001</v>
      </c>
      <c r="I783" s="2" t="s">
        <v>37</v>
      </c>
      <c r="J783" s="2" t="s">
        <v>1541</v>
      </c>
      <c r="K783" t="s">
        <v>43</v>
      </c>
      <c r="L783" s="12">
        <f>MIS_Report!$B$2-F783</f>
        <v>42</v>
      </c>
      <c r="M783" t="str" cm="1">
        <f t="array" ref="M783">_xlfn.IFS(L783&lt;=30,"0-30",L783&lt;=60,"31-60",L783&lt;=90,"61-90",TRUE,"90+")</f>
        <v>31-60</v>
      </c>
      <c r="N783">
        <f t="shared" si="25"/>
        <v>0</v>
      </c>
      <c r="O783" t="str">
        <f>VLOOKUP(K783,Agents!$A$1:$C$11,2,0)</f>
        <v>Manish Arora</v>
      </c>
      <c r="P783">
        <f t="shared" si="24"/>
        <v>0</v>
      </c>
    </row>
    <row r="784" spans="1:16" x14ac:dyDescent="0.25">
      <c r="A784" s="2" t="s">
        <v>1264</v>
      </c>
      <c r="B784" s="2" t="s">
        <v>617</v>
      </c>
      <c r="C784" s="2" t="s">
        <v>46</v>
      </c>
      <c r="D784" s="2" t="s">
        <v>30</v>
      </c>
      <c r="E784" s="4">
        <v>46189</v>
      </c>
      <c r="F784" s="4">
        <v>46202</v>
      </c>
      <c r="G784" s="5">
        <v>3750</v>
      </c>
      <c r="H784" s="5">
        <v>0</v>
      </c>
      <c r="I784" s="2" t="s">
        <v>31</v>
      </c>
      <c r="J784" s="2" t="s">
        <v>47</v>
      </c>
      <c r="K784" t="s">
        <v>62</v>
      </c>
      <c r="L784" s="12">
        <f>MIS_Report!$B$2-F784</f>
        <v>108</v>
      </c>
      <c r="M784" t="str" cm="1">
        <f t="array" ref="M784">_xlfn.IFS(L784&lt;=30,"0-30",L784&lt;=60,"31-60",L784&lt;=90,"61-90",TRUE,"90+")</f>
        <v>90+</v>
      </c>
      <c r="N784">
        <f t="shared" si="25"/>
        <v>0</v>
      </c>
      <c r="O784" t="str">
        <f>VLOOKUP(K784,Agents!$A$1:$C$11,2,0)</f>
        <v>Sunita Rao</v>
      </c>
      <c r="P784">
        <f t="shared" si="24"/>
        <v>3750</v>
      </c>
    </row>
    <row r="785" spans="1:16" x14ac:dyDescent="0.25">
      <c r="A785" s="2" t="s">
        <v>1265</v>
      </c>
      <c r="B785" s="2" t="s">
        <v>918</v>
      </c>
      <c r="C785" s="2" t="s">
        <v>29</v>
      </c>
      <c r="D785" s="2" t="s">
        <v>55</v>
      </c>
      <c r="E785" s="4">
        <v>46119</v>
      </c>
      <c r="F785" s="4">
        <v>46134</v>
      </c>
      <c r="G785" s="5">
        <v>10200</v>
      </c>
      <c r="H785" s="5">
        <v>7513.04</v>
      </c>
      <c r="I785" s="2" t="s">
        <v>37</v>
      </c>
      <c r="J785" s="2" t="s">
        <v>1541</v>
      </c>
      <c r="K785" t="s">
        <v>48</v>
      </c>
      <c r="L785" s="12">
        <f>MIS_Report!$B$2-F785</f>
        <v>176</v>
      </c>
      <c r="M785" t="str" cm="1">
        <f t="array" ref="M785">_xlfn.IFS(L785&lt;=30,"0-30",L785&lt;=60,"31-60",L785&lt;=90,"61-90",TRUE,"90+")</f>
        <v>90+</v>
      </c>
      <c r="N785">
        <f t="shared" si="25"/>
        <v>0</v>
      </c>
      <c r="O785" t="str">
        <f>VLOOKUP(K785,Agents!$A$1:$C$11,2,0)</f>
        <v>Manish Arora</v>
      </c>
      <c r="P785">
        <f t="shared" si="24"/>
        <v>0</v>
      </c>
    </row>
    <row r="786" spans="1:16" x14ac:dyDescent="0.25">
      <c r="A786" s="2" t="s">
        <v>1266</v>
      </c>
      <c r="B786" s="2" t="s">
        <v>1267</v>
      </c>
      <c r="C786" s="2" t="s">
        <v>29</v>
      </c>
      <c r="D786" s="2" t="s">
        <v>55</v>
      </c>
      <c r="E786" s="4">
        <v>46251</v>
      </c>
      <c r="F786" s="4">
        <v>46270</v>
      </c>
      <c r="G786" s="5">
        <v>7625</v>
      </c>
      <c r="H786" s="5"/>
      <c r="I786" s="2" t="s">
        <v>42</v>
      </c>
      <c r="J786" s="2" t="s">
        <v>1541</v>
      </c>
      <c r="K786" t="s">
        <v>65</v>
      </c>
      <c r="L786" s="12">
        <f>MIS_Report!$B$2-F786</f>
        <v>40</v>
      </c>
      <c r="M786" t="str" cm="1">
        <f t="array" ref="M786">_xlfn.IFS(L786&lt;=30,"0-30",L786&lt;=60,"31-60",L786&lt;=90,"61-90",TRUE,"90+")</f>
        <v>31-60</v>
      </c>
      <c r="N786">
        <f t="shared" si="25"/>
        <v>7625</v>
      </c>
      <c r="O786" t="str">
        <f>VLOOKUP(K786,Agents!$A$1:$C$11,2,0)</f>
        <v>Deepak Nair</v>
      </c>
      <c r="P786">
        <f t="shared" si="24"/>
        <v>0</v>
      </c>
    </row>
    <row r="787" spans="1:16" x14ac:dyDescent="0.25">
      <c r="A787" s="2" t="s">
        <v>1268</v>
      </c>
      <c r="B787" s="2" t="s">
        <v>1269</v>
      </c>
      <c r="C787" s="2" t="s">
        <v>36</v>
      </c>
      <c r="D787" s="2" t="s">
        <v>61</v>
      </c>
      <c r="E787" s="4">
        <v>46015</v>
      </c>
      <c r="F787" s="4">
        <v>46032</v>
      </c>
      <c r="G787" s="5">
        <v>4450</v>
      </c>
      <c r="H787" s="5">
        <v>4341.93</v>
      </c>
      <c r="I787" s="2" t="s">
        <v>37</v>
      </c>
      <c r="J787" s="2" t="s">
        <v>1541</v>
      </c>
      <c r="K787" t="s">
        <v>43</v>
      </c>
      <c r="L787" s="12">
        <f>MIS_Report!$B$2-F787</f>
        <v>278</v>
      </c>
      <c r="M787" t="str" cm="1">
        <f t="array" ref="M787">_xlfn.IFS(L787&lt;=30,"0-30",L787&lt;=60,"31-60",L787&lt;=90,"61-90",TRUE,"90+")</f>
        <v>90+</v>
      </c>
      <c r="N787">
        <f t="shared" si="25"/>
        <v>0</v>
      </c>
      <c r="O787" t="str">
        <f>VLOOKUP(K787,Agents!$A$1:$C$11,2,0)</f>
        <v>Manish Arora</v>
      </c>
      <c r="P787">
        <f t="shared" si="24"/>
        <v>0</v>
      </c>
    </row>
    <row r="788" spans="1:16" x14ac:dyDescent="0.25">
      <c r="A788" s="2" t="s">
        <v>1270</v>
      </c>
      <c r="B788" s="2" t="s">
        <v>953</v>
      </c>
      <c r="C788" s="2" t="s">
        <v>79</v>
      </c>
      <c r="D788" s="2" t="s">
        <v>30</v>
      </c>
      <c r="E788" s="4">
        <v>46007</v>
      </c>
      <c r="F788" s="4">
        <v>46023</v>
      </c>
      <c r="G788" s="5">
        <v>8900</v>
      </c>
      <c r="H788" s="5">
        <v>7066.76</v>
      </c>
      <c r="I788" s="2" t="s">
        <v>37</v>
      </c>
      <c r="J788" s="2" t="s">
        <v>1541</v>
      </c>
      <c r="K788" t="s">
        <v>33</v>
      </c>
      <c r="L788" s="12">
        <f>MIS_Report!$B$2-F788</f>
        <v>287</v>
      </c>
      <c r="M788" t="str" cm="1">
        <f t="array" ref="M788">_xlfn.IFS(L788&lt;=30,"0-30",L788&lt;=60,"31-60",L788&lt;=90,"61-90",TRUE,"90+")</f>
        <v>90+</v>
      </c>
      <c r="N788">
        <f t="shared" si="25"/>
        <v>0</v>
      </c>
      <c r="O788" t="str">
        <f>VLOOKUP(K788,Agents!$A$1:$C$11,2,0)</f>
        <v>Manish Arora</v>
      </c>
      <c r="P788">
        <f t="shared" si="24"/>
        <v>0</v>
      </c>
    </row>
    <row r="789" spans="1:16" x14ac:dyDescent="0.25">
      <c r="A789" s="2" t="s">
        <v>1271</v>
      </c>
      <c r="B789" s="2" t="s">
        <v>106</v>
      </c>
      <c r="C789" s="2" t="s">
        <v>29</v>
      </c>
      <c r="D789" s="2" t="s">
        <v>30</v>
      </c>
      <c r="E789" s="4">
        <v>46022</v>
      </c>
      <c r="F789" s="4">
        <v>46040</v>
      </c>
      <c r="G789" s="5">
        <v>7025</v>
      </c>
      <c r="H789" s="5">
        <v>6757.3</v>
      </c>
      <c r="I789" s="2" t="s">
        <v>37</v>
      </c>
      <c r="J789" s="2" t="s">
        <v>1541</v>
      </c>
      <c r="K789" t="s">
        <v>109</v>
      </c>
      <c r="L789" s="12">
        <f>MIS_Report!$B$2-F789</f>
        <v>270</v>
      </c>
      <c r="M789" t="str" cm="1">
        <f t="array" ref="M789">_xlfn.IFS(L789&lt;=30,"0-30",L789&lt;=60,"31-60",L789&lt;=90,"61-90",TRUE,"90+")</f>
        <v>90+</v>
      </c>
      <c r="N789">
        <f t="shared" si="25"/>
        <v>0</v>
      </c>
      <c r="O789" t="str">
        <f>VLOOKUP(K789,Agents!$A$1:$C$11,2,0)</f>
        <v>Deepak Nair</v>
      </c>
      <c r="P789">
        <f t="shared" si="24"/>
        <v>0</v>
      </c>
    </row>
    <row r="790" spans="1:16" x14ac:dyDescent="0.25">
      <c r="A790" s="2" t="s">
        <v>1272</v>
      </c>
      <c r="B790" s="2" t="s">
        <v>833</v>
      </c>
      <c r="C790" s="2" t="s">
        <v>79</v>
      </c>
      <c r="D790" s="2" t="s">
        <v>55</v>
      </c>
      <c r="E790" s="4">
        <v>46176</v>
      </c>
      <c r="F790" s="4">
        <v>46194</v>
      </c>
      <c r="G790" s="5">
        <v>11550</v>
      </c>
      <c r="H790" s="5">
        <v>7350.43</v>
      </c>
      <c r="I790" s="2" t="s">
        <v>37</v>
      </c>
      <c r="J790" s="2" t="s">
        <v>1541</v>
      </c>
      <c r="K790" t="s">
        <v>83</v>
      </c>
      <c r="L790" s="12">
        <f>MIS_Report!$B$2-F790</f>
        <v>116</v>
      </c>
      <c r="M790" t="str" cm="1">
        <f t="array" ref="M790">_xlfn.IFS(L790&lt;=30,"0-30",L790&lt;=60,"31-60",L790&lt;=90,"61-90",TRUE,"90+")</f>
        <v>90+</v>
      </c>
      <c r="N790">
        <f t="shared" si="25"/>
        <v>0</v>
      </c>
      <c r="O790" t="str">
        <f>VLOOKUP(K790,Agents!$A$1:$C$11,2,0)</f>
        <v>Deepak Nair</v>
      </c>
      <c r="P790">
        <f t="shared" si="24"/>
        <v>0</v>
      </c>
    </row>
    <row r="791" spans="1:16" x14ac:dyDescent="0.25">
      <c r="A791" s="2" t="s">
        <v>1274</v>
      </c>
      <c r="B791" s="2" t="s">
        <v>1161</v>
      </c>
      <c r="C791" s="2" t="s">
        <v>36</v>
      </c>
      <c r="D791" s="2" t="s">
        <v>41</v>
      </c>
      <c r="E791" s="4">
        <v>46196</v>
      </c>
      <c r="F791" s="4">
        <v>46199</v>
      </c>
      <c r="G791" s="5">
        <v>13475</v>
      </c>
      <c r="H791" s="5">
        <v>7413.18</v>
      </c>
      <c r="I791" s="2" t="s">
        <v>37</v>
      </c>
      <c r="J791" s="2" t="s">
        <v>1541</v>
      </c>
      <c r="K791" t="s">
        <v>62</v>
      </c>
      <c r="L791" s="12">
        <f>MIS_Report!$B$2-F791</f>
        <v>111</v>
      </c>
      <c r="M791" t="str" cm="1">
        <f t="array" ref="M791">_xlfn.IFS(L791&lt;=30,"0-30",L791&lt;=60,"31-60",L791&lt;=90,"61-90",TRUE,"90+")</f>
        <v>90+</v>
      </c>
      <c r="N791">
        <f t="shared" si="25"/>
        <v>0</v>
      </c>
      <c r="O791" t="str">
        <f>VLOOKUP(K791,Agents!$A$1:$C$11,2,0)</f>
        <v>Sunita Rao</v>
      </c>
      <c r="P791">
        <f t="shared" si="24"/>
        <v>0</v>
      </c>
    </row>
    <row r="792" spans="1:16" x14ac:dyDescent="0.25">
      <c r="A792" s="2" t="s">
        <v>1275</v>
      </c>
      <c r="B792" s="2" t="s">
        <v>1058</v>
      </c>
      <c r="C792" s="2" t="s">
        <v>29</v>
      </c>
      <c r="D792" s="2" t="s">
        <v>30</v>
      </c>
      <c r="E792" s="4">
        <v>46044</v>
      </c>
      <c r="F792" s="4">
        <v>46062</v>
      </c>
      <c r="G792" s="5">
        <v>11150</v>
      </c>
      <c r="H792" s="5">
        <v>10514.42</v>
      </c>
      <c r="I792" s="2" t="s">
        <v>37</v>
      </c>
      <c r="J792" s="2" t="s">
        <v>1541</v>
      </c>
      <c r="K792" t="s">
        <v>38</v>
      </c>
      <c r="L792" s="12">
        <f>MIS_Report!$B$2-F792</f>
        <v>248</v>
      </c>
      <c r="M792" t="str" cm="1">
        <f t="array" ref="M792">_xlfn.IFS(L792&lt;=30,"0-30",L792&lt;=60,"31-60",L792&lt;=90,"61-90",TRUE,"90+")</f>
        <v>90+</v>
      </c>
      <c r="N792">
        <f t="shared" si="25"/>
        <v>0</v>
      </c>
      <c r="O792" t="str">
        <f>VLOOKUP(K792,Agents!$A$1:$C$11,2,0)</f>
        <v>Sunita Rao</v>
      </c>
      <c r="P792">
        <f t="shared" si="24"/>
        <v>0</v>
      </c>
    </row>
    <row r="793" spans="1:16" x14ac:dyDescent="0.25">
      <c r="A793" s="2" t="s">
        <v>1276</v>
      </c>
      <c r="B793" s="2" t="s">
        <v>759</v>
      </c>
      <c r="C793" s="2" t="s">
        <v>46</v>
      </c>
      <c r="D793" s="2" t="s">
        <v>94</v>
      </c>
      <c r="E793" s="4">
        <v>46070</v>
      </c>
      <c r="F793" s="4">
        <v>46089</v>
      </c>
      <c r="G793" s="5">
        <v>3450</v>
      </c>
      <c r="H793" s="5"/>
      <c r="I793" s="2" t="s">
        <v>42</v>
      </c>
      <c r="J793" s="2" t="s">
        <v>1541</v>
      </c>
      <c r="K793" t="s">
        <v>48</v>
      </c>
      <c r="L793" s="12">
        <f>MIS_Report!$B$2-F793</f>
        <v>221</v>
      </c>
      <c r="M793" t="str" cm="1">
        <f t="array" ref="M793">_xlfn.IFS(L793&lt;=30,"0-30",L793&lt;=60,"31-60",L793&lt;=90,"61-90",TRUE,"90+")</f>
        <v>90+</v>
      </c>
      <c r="N793">
        <f t="shared" si="25"/>
        <v>3450</v>
      </c>
      <c r="O793" t="str">
        <f>VLOOKUP(K793,Agents!$A$1:$C$11,2,0)</f>
        <v>Manish Arora</v>
      </c>
      <c r="P793">
        <f t="shared" si="24"/>
        <v>0</v>
      </c>
    </row>
    <row r="794" spans="1:16" x14ac:dyDescent="0.25">
      <c r="A794" s="2" t="s">
        <v>1277</v>
      </c>
      <c r="B794" s="2" t="s">
        <v>887</v>
      </c>
      <c r="C794" s="2" t="s">
        <v>36</v>
      </c>
      <c r="D794" s="2" t="s">
        <v>71</v>
      </c>
      <c r="E794" s="4">
        <v>46167</v>
      </c>
      <c r="F794" s="4">
        <v>46176</v>
      </c>
      <c r="G794" s="5">
        <v>6700</v>
      </c>
      <c r="H794" s="5">
        <v>0</v>
      </c>
      <c r="I794" s="2" t="s">
        <v>31</v>
      </c>
      <c r="J794" s="2" t="s">
        <v>47</v>
      </c>
      <c r="K794" t="s">
        <v>52</v>
      </c>
      <c r="L794" s="12">
        <f>MIS_Report!$B$2-F794</f>
        <v>134</v>
      </c>
      <c r="M794" t="str" cm="1">
        <f t="array" ref="M794">_xlfn.IFS(L794&lt;=30,"0-30",L794&lt;=60,"31-60",L794&lt;=90,"61-90",TRUE,"90+")</f>
        <v>90+</v>
      </c>
      <c r="N794">
        <f t="shared" si="25"/>
        <v>0</v>
      </c>
      <c r="O794" t="str">
        <f>VLOOKUP(K794,Agents!$A$1:$C$11,2,0)</f>
        <v>Sunita Rao</v>
      </c>
      <c r="P794">
        <f t="shared" si="24"/>
        <v>6700</v>
      </c>
    </row>
    <row r="795" spans="1:16" x14ac:dyDescent="0.25">
      <c r="A795" s="2" t="s">
        <v>1278</v>
      </c>
      <c r="B795" s="2" t="s">
        <v>797</v>
      </c>
      <c r="C795" s="2" t="s">
        <v>29</v>
      </c>
      <c r="D795" s="2" t="s">
        <v>55</v>
      </c>
      <c r="E795" s="4">
        <v>46141</v>
      </c>
      <c r="F795" s="4">
        <v>46149</v>
      </c>
      <c r="G795" s="5">
        <v>350</v>
      </c>
      <c r="H795" s="5">
        <v>0</v>
      </c>
      <c r="I795" s="2" t="s">
        <v>31</v>
      </c>
      <c r="J795" s="2" t="s">
        <v>312</v>
      </c>
      <c r="K795" t="s">
        <v>38</v>
      </c>
      <c r="L795" s="12">
        <f>MIS_Report!$B$2-F795</f>
        <v>161</v>
      </c>
      <c r="M795" t="str" cm="1">
        <f t="array" ref="M795">_xlfn.IFS(L795&lt;=30,"0-30",L795&lt;=60,"31-60",L795&lt;=90,"61-90",TRUE,"90+")</f>
        <v>90+</v>
      </c>
      <c r="N795">
        <f t="shared" si="25"/>
        <v>0</v>
      </c>
      <c r="O795" t="str">
        <f>VLOOKUP(K795,Agents!$A$1:$C$11,2,0)</f>
        <v>Sunita Rao</v>
      </c>
      <c r="P795">
        <f t="shared" si="24"/>
        <v>350</v>
      </c>
    </row>
    <row r="796" spans="1:16" x14ac:dyDescent="0.25">
      <c r="A796" s="2" t="s">
        <v>1279</v>
      </c>
      <c r="B796" s="2" t="s">
        <v>298</v>
      </c>
      <c r="C796" s="2" t="s">
        <v>29</v>
      </c>
      <c r="D796" s="2" t="s">
        <v>41</v>
      </c>
      <c r="E796" s="4">
        <v>46195</v>
      </c>
      <c r="F796" s="4">
        <v>46200</v>
      </c>
      <c r="G796" s="5">
        <v>10525</v>
      </c>
      <c r="H796" s="5"/>
      <c r="I796" s="2" t="s">
        <v>42</v>
      </c>
      <c r="J796" s="2" t="s">
        <v>1541</v>
      </c>
      <c r="K796" t="s">
        <v>33</v>
      </c>
      <c r="L796" s="12">
        <f>MIS_Report!$B$2-F796</f>
        <v>110</v>
      </c>
      <c r="M796" t="str" cm="1">
        <f t="array" ref="M796">_xlfn.IFS(L796&lt;=30,"0-30",L796&lt;=60,"31-60",L796&lt;=90,"61-90",TRUE,"90+")</f>
        <v>90+</v>
      </c>
      <c r="N796">
        <f t="shared" si="25"/>
        <v>10525</v>
      </c>
      <c r="O796" t="str">
        <f>VLOOKUP(K796,Agents!$A$1:$C$11,2,0)</f>
        <v>Manish Arora</v>
      </c>
      <c r="P796">
        <f t="shared" si="24"/>
        <v>0</v>
      </c>
    </row>
    <row r="797" spans="1:16" x14ac:dyDescent="0.25">
      <c r="A797" s="2" t="s">
        <v>1280</v>
      </c>
      <c r="B797" s="2" t="s">
        <v>341</v>
      </c>
      <c r="C797" s="2" t="s">
        <v>79</v>
      </c>
      <c r="D797" s="2" t="s">
        <v>80</v>
      </c>
      <c r="E797" s="4">
        <v>46246</v>
      </c>
      <c r="F797" s="4">
        <v>46250</v>
      </c>
      <c r="G797" s="5">
        <v>3400</v>
      </c>
      <c r="H797" s="5">
        <v>2727.06</v>
      </c>
      <c r="I797" s="2" t="s">
        <v>37</v>
      </c>
      <c r="J797" s="2" t="s">
        <v>1541</v>
      </c>
      <c r="K797" t="s">
        <v>33</v>
      </c>
      <c r="L797" s="12">
        <f>MIS_Report!$B$2-F797</f>
        <v>60</v>
      </c>
      <c r="M797" t="str" cm="1">
        <f t="array" ref="M797">_xlfn.IFS(L797&lt;=30,"0-30",L797&lt;=60,"31-60",L797&lt;=90,"61-90",TRUE,"90+")</f>
        <v>31-60</v>
      </c>
      <c r="N797">
        <f t="shared" si="25"/>
        <v>0</v>
      </c>
      <c r="O797" t="str">
        <f>VLOOKUP(K797,Agents!$A$1:$C$11,2,0)</f>
        <v>Manish Arora</v>
      </c>
      <c r="P797">
        <f t="shared" si="24"/>
        <v>0</v>
      </c>
    </row>
    <row r="798" spans="1:16" x14ac:dyDescent="0.25">
      <c r="A798" s="2" t="s">
        <v>1281</v>
      </c>
      <c r="B798" s="2" t="s">
        <v>337</v>
      </c>
      <c r="C798" s="2" t="s">
        <v>46</v>
      </c>
      <c r="D798" s="2" t="s">
        <v>68</v>
      </c>
      <c r="E798" s="4">
        <v>46180</v>
      </c>
      <c r="F798" s="4">
        <v>46193</v>
      </c>
      <c r="G798" s="5">
        <v>1625</v>
      </c>
      <c r="H798" s="5">
        <v>1586.54</v>
      </c>
      <c r="I798" s="2" t="s">
        <v>37</v>
      </c>
      <c r="J798" s="2" t="s">
        <v>1541</v>
      </c>
      <c r="K798" t="s">
        <v>65</v>
      </c>
      <c r="L798" s="12">
        <f>MIS_Report!$B$2-F798</f>
        <v>117</v>
      </c>
      <c r="M798" t="str" cm="1">
        <f t="array" ref="M798">_xlfn.IFS(L798&lt;=30,"0-30",L798&lt;=60,"31-60",L798&lt;=90,"61-90",TRUE,"90+")</f>
        <v>90+</v>
      </c>
      <c r="N798">
        <f t="shared" si="25"/>
        <v>0</v>
      </c>
      <c r="O798" t="str">
        <f>VLOOKUP(K798,Agents!$A$1:$C$11,2,0)</f>
        <v>Deepak Nair</v>
      </c>
      <c r="P798">
        <f t="shared" si="24"/>
        <v>0</v>
      </c>
    </row>
    <row r="799" spans="1:16" x14ac:dyDescent="0.25">
      <c r="A799" s="2" t="s">
        <v>1282</v>
      </c>
      <c r="B799" s="2" t="s">
        <v>333</v>
      </c>
      <c r="C799" s="2" t="s">
        <v>36</v>
      </c>
      <c r="D799" s="2" t="s">
        <v>41</v>
      </c>
      <c r="E799" s="4">
        <v>46279</v>
      </c>
      <c r="F799" s="4">
        <v>46289</v>
      </c>
      <c r="G799" s="5">
        <v>11575</v>
      </c>
      <c r="H799" s="5"/>
      <c r="I799" s="2" t="s">
        <v>42</v>
      </c>
      <c r="J799" s="2" t="s">
        <v>1541</v>
      </c>
      <c r="K799" t="s">
        <v>52</v>
      </c>
      <c r="L799" s="12">
        <f>MIS_Report!$B$2-F799</f>
        <v>21</v>
      </c>
      <c r="M799" t="str" cm="1">
        <f t="array" ref="M799">_xlfn.IFS(L799&lt;=30,"0-30",L799&lt;=60,"31-60",L799&lt;=90,"61-90",TRUE,"90+")</f>
        <v>0-30</v>
      </c>
      <c r="N799">
        <f t="shared" si="25"/>
        <v>11575</v>
      </c>
      <c r="O799" t="str">
        <f>VLOOKUP(K799,Agents!$A$1:$C$11,2,0)</f>
        <v>Sunita Rao</v>
      </c>
      <c r="P799">
        <f t="shared" si="24"/>
        <v>0</v>
      </c>
    </row>
    <row r="800" spans="1:16" x14ac:dyDescent="0.25">
      <c r="A800" s="2" t="s">
        <v>1283</v>
      </c>
      <c r="B800" s="2" t="s">
        <v>239</v>
      </c>
      <c r="C800" s="2" t="s">
        <v>36</v>
      </c>
      <c r="D800" s="2" t="s">
        <v>30</v>
      </c>
      <c r="E800" s="4">
        <v>46032</v>
      </c>
      <c r="F800" s="4">
        <v>46036</v>
      </c>
      <c r="G800" s="5">
        <v>5350</v>
      </c>
      <c r="H800" s="5">
        <v>5185.8500000000004</v>
      </c>
      <c r="I800" s="2" t="s">
        <v>37</v>
      </c>
      <c r="J800" s="2" t="s">
        <v>1541</v>
      </c>
      <c r="K800" t="s">
        <v>62</v>
      </c>
      <c r="L800" s="12">
        <f>MIS_Report!$B$2-F800</f>
        <v>274</v>
      </c>
      <c r="M800" t="str" cm="1">
        <f t="array" ref="M800">_xlfn.IFS(L800&lt;=30,"0-30",L800&lt;=60,"31-60",L800&lt;=90,"61-90",TRUE,"90+")</f>
        <v>90+</v>
      </c>
      <c r="N800">
        <f t="shared" si="25"/>
        <v>0</v>
      </c>
      <c r="O800" t="str">
        <f>VLOOKUP(K800,Agents!$A$1:$C$11,2,0)</f>
        <v>Sunita Rao</v>
      </c>
      <c r="P800">
        <f t="shared" si="24"/>
        <v>0</v>
      </c>
    </row>
    <row r="801" spans="1:16" x14ac:dyDescent="0.25">
      <c r="A801" s="2" t="s">
        <v>1284</v>
      </c>
      <c r="B801" s="2" t="s">
        <v>1285</v>
      </c>
      <c r="C801" s="2" t="s">
        <v>36</v>
      </c>
      <c r="D801" s="2" t="s">
        <v>61</v>
      </c>
      <c r="E801" s="4">
        <v>46050</v>
      </c>
      <c r="F801" s="4">
        <v>46061</v>
      </c>
      <c r="G801" s="5">
        <v>7700</v>
      </c>
      <c r="H801" s="5">
        <v>4282.12</v>
      </c>
      <c r="I801" s="2" t="s">
        <v>37</v>
      </c>
      <c r="J801" s="2" t="s">
        <v>1541</v>
      </c>
      <c r="K801" t="s">
        <v>65</v>
      </c>
      <c r="L801" s="12">
        <f>MIS_Report!$B$2-F801</f>
        <v>249</v>
      </c>
      <c r="M801" t="str" cm="1">
        <f t="array" ref="M801">_xlfn.IFS(L801&lt;=30,"0-30",L801&lt;=60,"31-60",L801&lt;=90,"61-90",TRUE,"90+")</f>
        <v>90+</v>
      </c>
      <c r="N801">
        <f t="shared" si="25"/>
        <v>0</v>
      </c>
      <c r="O801" t="str">
        <f>VLOOKUP(K801,Agents!$A$1:$C$11,2,0)</f>
        <v>Deepak Nair</v>
      </c>
      <c r="P801">
        <f t="shared" si="24"/>
        <v>0</v>
      </c>
    </row>
    <row r="802" spans="1:16" x14ac:dyDescent="0.25">
      <c r="A802" s="2" t="s">
        <v>1286</v>
      </c>
      <c r="B802" s="2" t="s">
        <v>797</v>
      </c>
      <c r="C802" s="2" t="s">
        <v>36</v>
      </c>
      <c r="D802" s="2" t="s">
        <v>30</v>
      </c>
      <c r="E802" s="4">
        <v>46188</v>
      </c>
      <c r="F802" s="4">
        <v>46198</v>
      </c>
      <c r="G802" s="5">
        <v>5875</v>
      </c>
      <c r="H802" s="5">
        <v>5527.89</v>
      </c>
      <c r="I802" s="2" t="s">
        <v>37</v>
      </c>
      <c r="J802" s="2" t="s">
        <v>1541</v>
      </c>
      <c r="K802" t="s">
        <v>65</v>
      </c>
      <c r="L802" s="12">
        <f>MIS_Report!$B$2-F802</f>
        <v>112</v>
      </c>
      <c r="M802" t="str" cm="1">
        <f t="array" ref="M802">_xlfn.IFS(L802&lt;=30,"0-30",L802&lt;=60,"31-60",L802&lt;=90,"61-90",TRUE,"90+")</f>
        <v>90+</v>
      </c>
      <c r="N802">
        <f t="shared" si="25"/>
        <v>0</v>
      </c>
      <c r="O802" t="str">
        <f>VLOOKUP(K802,Agents!$A$1:$C$11,2,0)</f>
        <v>Deepak Nair</v>
      </c>
      <c r="P802">
        <f t="shared" si="24"/>
        <v>0</v>
      </c>
    </row>
    <row r="803" spans="1:16" x14ac:dyDescent="0.25">
      <c r="A803" s="2" t="s">
        <v>1287</v>
      </c>
      <c r="B803" s="2" t="s">
        <v>594</v>
      </c>
      <c r="C803" s="2" t="s">
        <v>46</v>
      </c>
      <c r="D803" s="2" t="s">
        <v>30</v>
      </c>
      <c r="E803" s="4">
        <v>46164</v>
      </c>
      <c r="F803" s="4">
        <v>46171</v>
      </c>
      <c r="G803" s="5">
        <v>4600</v>
      </c>
      <c r="H803" s="5">
        <v>4400.4799999999996</v>
      </c>
      <c r="I803" s="2" t="s">
        <v>37</v>
      </c>
      <c r="J803" s="2" t="s">
        <v>1541</v>
      </c>
      <c r="K803" t="s">
        <v>62</v>
      </c>
      <c r="L803" s="12">
        <f>MIS_Report!$B$2-F803</f>
        <v>139</v>
      </c>
      <c r="M803" t="str" cm="1">
        <f t="array" ref="M803">_xlfn.IFS(L803&lt;=30,"0-30",L803&lt;=60,"31-60",L803&lt;=90,"61-90",TRUE,"90+")</f>
        <v>90+</v>
      </c>
      <c r="N803">
        <f t="shared" si="25"/>
        <v>0</v>
      </c>
      <c r="O803" t="str">
        <f>VLOOKUP(K803,Agents!$A$1:$C$11,2,0)</f>
        <v>Sunita Rao</v>
      </c>
      <c r="P803">
        <f t="shared" si="24"/>
        <v>0</v>
      </c>
    </row>
    <row r="804" spans="1:16" x14ac:dyDescent="0.25">
      <c r="A804" s="2" t="s">
        <v>1288</v>
      </c>
      <c r="B804" s="2" t="s">
        <v>50</v>
      </c>
      <c r="C804" s="2" t="s">
        <v>79</v>
      </c>
      <c r="D804" s="2" t="s">
        <v>68</v>
      </c>
      <c r="E804" s="4">
        <v>46215</v>
      </c>
      <c r="F804" s="4">
        <v>46235</v>
      </c>
      <c r="G804" s="5">
        <v>7225</v>
      </c>
      <c r="H804" s="5"/>
      <c r="I804" s="2" t="s">
        <v>42</v>
      </c>
      <c r="J804" s="2" t="s">
        <v>1541</v>
      </c>
      <c r="K804" t="s">
        <v>83</v>
      </c>
      <c r="L804" s="12">
        <f>MIS_Report!$B$2-F804</f>
        <v>75</v>
      </c>
      <c r="M804" t="str" cm="1">
        <f t="array" ref="M804">_xlfn.IFS(L804&lt;=30,"0-30",L804&lt;=60,"31-60",L804&lt;=90,"61-90",TRUE,"90+")</f>
        <v>61-90</v>
      </c>
      <c r="N804">
        <f t="shared" si="25"/>
        <v>7225</v>
      </c>
      <c r="O804" t="str">
        <f>VLOOKUP(K804,Agents!$A$1:$C$11,2,0)</f>
        <v>Deepak Nair</v>
      </c>
      <c r="P804">
        <f t="shared" si="24"/>
        <v>0</v>
      </c>
    </row>
    <row r="805" spans="1:16" x14ac:dyDescent="0.25">
      <c r="A805" s="2" t="s">
        <v>1289</v>
      </c>
      <c r="B805" s="2" t="s">
        <v>1290</v>
      </c>
      <c r="C805" s="2" t="s">
        <v>36</v>
      </c>
      <c r="D805" s="2" t="s">
        <v>30</v>
      </c>
      <c r="E805" s="4">
        <v>46042</v>
      </c>
      <c r="F805" s="4">
        <v>46062</v>
      </c>
      <c r="G805" s="5">
        <v>13825</v>
      </c>
      <c r="H805" s="5"/>
      <c r="I805" s="2" t="s">
        <v>42</v>
      </c>
      <c r="J805" s="2" t="s">
        <v>1541</v>
      </c>
      <c r="K805" t="s">
        <v>65</v>
      </c>
      <c r="L805" s="12">
        <f>MIS_Report!$B$2-F805</f>
        <v>248</v>
      </c>
      <c r="M805" t="str" cm="1">
        <f t="array" ref="M805">_xlfn.IFS(L805&lt;=30,"0-30",L805&lt;=60,"31-60",L805&lt;=90,"61-90",TRUE,"90+")</f>
        <v>90+</v>
      </c>
      <c r="N805">
        <f t="shared" si="25"/>
        <v>13825</v>
      </c>
      <c r="O805" t="str">
        <f>VLOOKUP(K805,Agents!$A$1:$C$11,2,0)</f>
        <v>Deepak Nair</v>
      </c>
      <c r="P805">
        <f t="shared" si="24"/>
        <v>0</v>
      </c>
    </row>
    <row r="806" spans="1:16" x14ac:dyDescent="0.25">
      <c r="A806" s="2" t="s">
        <v>1291</v>
      </c>
      <c r="B806" s="2" t="s">
        <v>751</v>
      </c>
      <c r="C806" s="2" t="s">
        <v>29</v>
      </c>
      <c r="D806" s="2" t="s">
        <v>61</v>
      </c>
      <c r="E806" s="4">
        <v>46218</v>
      </c>
      <c r="F806" s="4">
        <v>46236</v>
      </c>
      <c r="G806" s="5">
        <v>11675</v>
      </c>
      <c r="H806" s="5"/>
      <c r="I806" s="2" t="s">
        <v>42</v>
      </c>
      <c r="J806" s="2" t="s">
        <v>1541</v>
      </c>
      <c r="K806" t="s">
        <v>56</v>
      </c>
      <c r="L806" s="12">
        <f>MIS_Report!$B$2-F806</f>
        <v>74</v>
      </c>
      <c r="M806" t="str" cm="1">
        <f t="array" ref="M806">_xlfn.IFS(L806&lt;=30,"0-30",L806&lt;=60,"31-60",L806&lt;=90,"61-90",TRUE,"90+")</f>
        <v>61-90</v>
      </c>
      <c r="N806">
        <f t="shared" si="25"/>
        <v>11675</v>
      </c>
      <c r="O806" t="str">
        <f>VLOOKUP(K806,Agents!$A$1:$C$11,2,0)</f>
        <v>Manish Arora</v>
      </c>
      <c r="P806">
        <f t="shared" si="24"/>
        <v>0</v>
      </c>
    </row>
    <row r="807" spans="1:16" x14ac:dyDescent="0.25">
      <c r="A807" s="2" t="s">
        <v>1292</v>
      </c>
      <c r="B807" s="2" t="s">
        <v>629</v>
      </c>
      <c r="C807" s="2" t="s">
        <v>79</v>
      </c>
      <c r="D807" s="2" t="s">
        <v>80</v>
      </c>
      <c r="E807" s="4">
        <v>46075</v>
      </c>
      <c r="F807" s="4">
        <v>46084</v>
      </c>
      <c r="G807" s="5">
        <v>10475</v>
      </c>
      <c r="H807" s="5">
        <v>10399.969999999999</v>
      </c>
      <c r="I807" s="2" t="s">
        <v>37</v>
      </c>
      <c r="J807" s="2" t="s">
        <v>1541</v>
      </c>
      <c r="K807" t="s">
        <v>62</v>
      </c>
      <c r="L807" s="12">
        <f>MIS_Report!$B$2-F807</f>
        <v>226</v>
      </c>
      <c r="M807" t="str" cm="1">
        <f t="array" ref="M807">_xlfn.IFS(L807&lt;=30,"0-30",L807&lt;=60,"31-60",L807&lt;=90,"61-90",TRUE,"90+")</f>
        <v>90+</v>
      </c>
      <c r="N807">
        <f t="shared" si="25"/>
        <v>0</v>
      </c>
      <c r="O807" t="str">
        <f>VLOOKUP(K807,Agents!$A$1:$C$11,2,0)</f>
        <v>Sunita Rao</v>
      </c>
      <c r="P807">
        <f t="shared" si="24"/>
        <v>0</v>
      </c>
    </row>
    <row r="808" spans="1:16" x14ac:dyDescent="0.25">
      <c r="A808" s="2" t="s">
        <v>1293</v>
      </c>
      <c r="B808" s="2" t="s">
        <v>853</v>
      </c>
      <c r="C808" s="2" t="s">
        <v>36</v>
      </c>
      <c r="D808" s="2" t="s">
        <v>61</v>
      </c>
      <c r="E808" s="4">
        <v>46198</v>
      </c>
      <c r="F808" s="4">
        <v>46210</v>
      </c>
      <c r="G808" s="5">
        <v>7500</v>
      </c>
      <c r="H808" s="5">
        <v>6644.43</v>
      </c>
      <c r="I808" s="2" t="s">
        <v>37</v>
      </c>
      <c r="J808" s="2" t="s">
        <v>1541</v>
      </c>
      <c r="K808" t="s">
        <v>109</v>
      </c>
      <c r="L808" s="12">
        <f>MIS_Report!$B$2-F808</f>
        <v>100</v>
      </c>
      <c r="M808" t="str" cm="1">
        <f t="array" ref="M808">_xlfn.IFS(L808&lt;=30,"0-30",L808&lt;=60,"31-60",L808&lt;=90,"61-90",TRUE,"90+")</f>
        <v>90+</v>
      </c>
      <c r="N808">
        <f t="shared" si="25"/>
        <v>0</v>
      </c>
      <c r="O808" t="str">
        <f>VLOOKUP(K808,Agents!$A$1:$C$11,2,0)</f>
        <v>Deepak Nair</v>
      </c>
      <c r="P808">
        <f t="shared" si="24"/>
        <v>0</v>
      </c>
    </row>
    <row r="809" spans="1:16" x14ac:dyDescent="0.25">
      <c r="A809" s="2" t="s">
        <v>1294</v>
      </c>
      <c r="B809" s="2" t="s">
        <v>407</v>
      </c>
      <c r="C809" s="2" t="s">
        <v>46</v>
      </c>
      <c r="D809" s="2" t="s">
        <v>80</v>
      </c>
      <c r="E809" s="4">
        <v>46194</v>
      </c>
      <c r="F809" s="4">
        <v>46202</v>
      </c>
      <c r="G809" s="5">
        <v>10100</v>
      </c>
      <c r="H809" s="5"/>
      <c r="I809" s="2" t="s">
        <v>42</v>
      </c>
      <c r="J809" s="2" t="s">
        <v>1541</v>
      </c>
      <c r="K809" t="s">
        <v>48</v>
      </c>
      <c r="L809" s="12">
        <f>MIS_Report!$B$2-F809</f>
        <v>108</v>
      </c>
      <c r="M809" t="str" cm="1">
        <f t="array" ref="M809">_xlfn.IFS(L809&lt;=30,"0-30",L809&lt;=60,"31-60",L809&lt;=90,"61-90",TRUE,"90+")</f>
        <v>90+</v>
      </c>
      <c r="N809">
        <f t="shared" si="25"/>
        <v>10100</v>
      </c>
      <c r="O809" t="str">
        <f>VLOOKUP(K809,Agents!$A$1:$C$11,2,0)</f>
        <v>Manish Arora</v>
      </c>
      <c r="P809">
        <f t="shared" si="24"/>
        <v>0</v>
      </c>
    </row>
    <row r="810" spans="1:16" x14ac:dyDescent="0.25">
      <c r="A810" s="2" t="s">
        <v>1295</v>
      </c>
      <c r="B810" s="2" t="s">
        <v>1296</v>
      </c>
      <c r="C810" s="2" t="s">
        <v>79</v>
      </c>
      <c r="D810" s="2" t="s">
        <v>80</v>
      </c>
      <c r="E810" s="4">
        <v>46092</v>
      </c>
      <c r="F810" s="4">
        <v>46103</v>
      </c>
      <c r="G810" s="5">
        <v>1000</v>
      </c>
      <c r="H810" s="5"/>
      <c r="I810" s="2" t="s">
        <v>42</v>
      </c>
      <c r="J810" s="2" t="s">
        <v>1541</v>
      </c>
      <c r="K810" t="s">
        <v>48</v>
      </c>
      <c r="L810" s="12">
        <f>MIS_Report!$B$2-F810</f>
        <v>207</v>
      </c>
      <c r="M810" t="str" cm="1">
        <f t="array" ref="M810">_xlfn.IFS(L810&lt;=30,"0-30",L810&lt;=60,"31-60",L810&lt;=90,"61-90",TRUE,"90+")</f>
        <v>90+</v>
      </c>
      <c r="N810">
        <f t="shared" si="25"/>
        <v>1000</v>
      </c>
      <c r="O810" t="str">
        <f>VLOOKUP(K810,Agents!$A$1:$C$11,2,0)</f>
        <v>Manish Arora</v>
      </c>
      <c r="P810">
        <f t="shared" si="24"/>
        <v>0</v>
      </c>
    </row>
    <row r="811" spans="1:16" x14ac:dyDescent="0.25">
      <c r="A811" s="2" t="s">
        <v>1297</v>
      </c>
      <c r="B811" s="2" t="s">
        <v>925</v>
      </c>
      <c r="C811" s="2" t="s">
        <v>46</v>
      </c>
      <c r="D811" s="2" t="s">
        <v>55</v>
      </c>
      <c r="E811" s="4">
        <v>46062</v>
      </c>
      <c r="F811" s="4">
        <v>46070</v>
      </c>
      <c r="G811" s="5">
        <v>4725</v>
      </c>
      <c r="H811" s="5">
        <v>2742.53</v>
      </c>
      <c r="I811" s="2" t="s">
        <v>37</v>
      </c>
      <c r="J811" s="2" t="s">
        <v>1541</v>
      </c>
      <c r="K811" t="s">
        <v>48</v>
      </c>
      <c r="L811" s="12">
        <f>MIS_Report!$B$2-F811</f>
        <v>240</v>
      </c>
      <c r="M811" t="str" cm="1">
        <f t="array" ref="M811">_xlfn.IFS(L811&lt;=30,"0-30",L811&lt;=60,"31-60",L811&lt;=90,"61-90",TRUE,"90+")</f>
        <v>90+</v>
      </c>
      <c r="N811">
        <f t="shared" si="25"/>
        <v>0</v>
      </c>
      <c r="O811" t="str">
        <f>VLOOKUP(K811,Agents!$A$1:$C$11,2,0)</f>
        <v>Manish Arora</v>
      </c>
      <c r="P811">
        <f t="shared" si="24"/>
        <v>0</v>
      </c>
    </row>
    <row r="812" spans="1:16" x14ac:dyDescent="0.25">
      <c r="A812" s="2" t="s">
        <v>1298</v>
      </c>
      <c r="B812" s="2" t="s">
        <v>1299</v>
      </c>
      <c r="C812" s="2" t="s">
        <v>79</v>
      </c>
      <c r="D812" s="2" t="s">
        <v>30</v>
      </c>
      <c r="E812" s="4">
        <v>46184</v>
      </c>
      <c r="F812" s="4">
        <v>46200</v>
      </c>
      <c r="G812" s="5">
        <v>6425</v>
      </c>
      <c r="H812" s="5">
        <v>3909.53</v>
      </c>
      <c r="I812" s="2" t="s">
        <v>37</v>
      </c>
      <c r="J812" s="2" t="s">
        <v>1541</v>
      </c>
      <c r="K812" t="s">
        <v>109</v>
      </c>
      <c r="L812" s="12">
        <f>MIS_Report!$B$2-F812</f>
        <v>110</v>
      </c>
      <c r="M812" t="str" cm="1">
        <f t="array" ref="M812">_xlfn.IFS(L812&lt;=30,"0-30",L812&lt;=60,"31-60",L812&lt;=90,"61-90",TRUE,"90+")</f>
        <v>90+</v>
      </c>
      <c r="N812">
        <f t="shared" si="25"/>
        <v>0</v>
      </c>
      <c r="O812" t="str">
        <f>VLOOKUP(K812,Agents!$A$1:$C$11,2,0)</f>
        <v>Deepak Nair</v>
      </c>
      <c r="P812">
        <f t="shared" si="24"/>
        <v>0</v>
      </c>
    </row>
    <row r="813" spans="1:16" x14ac:dyDescent="0.25">
      <c r="A813" s="2" t="s">
        <v>1300</v>
      </c>
      <c r="B813" s="2" t="s">
        <v>850</v>
      </c>
      <c r="C813" s="2" t="s">
        <v>29</v>
      </c>
      <c r="D813" s="2" t="s">
        <v>94</v>
      </c>
      <c r="E813" s="4">
        <v>46280</v>
      </c>
      <c r="F813" s="4">
        <v>46292</v>
      </c>
      <c r="G813" s="5">
        <v>10825</v>
      </c>
      <c r="H813" s="5"/>
      <c r="I813" s="2" t="s">
        <v>42</v>
      </c>
      <c r="J813" s="2" t="s">
        <v>1541</v>
      </c>
      <c r="K813" t="s">
        <v>83</v>
      </c>
      <c r="L813" s="12">
        <f>MIS_Report!$B$2-F813</f>
        <v>18</v>
      </c>
      <c r="M813" t="str" cm="1">
        <f t="array" ref="M813">_xlfn.IFS(L813&lt;=30,"0-30",L813&lt;=60,"31-60",L813&lt;=90,"61-90",TRUE,"90+")</f>
        <v>0-30</v>
      </c>
      <c r="N813">
        <f t="shared" si="25"/>
        <v>10825</v>
      </c>
      <c r="O813" t="str">
        <f>VLOOKUP(K813,Agents!$A$1:$C$11,2,0)</f>
        <v>Deepak Nair</v>
      </c>
      <c r="P813">
        <f t="shared" si="24"/>
        <v>0</v>
      </c>
    </row>
    <row r="814" spans="1:16" x14ac:dyDescent="0.25">
      <c r="A814" s="2" t="s">
        <v>1301</v>
      </c>
      <c r="B814" s="2" t="s">
        <v>375</v>
      </c>
      <c r="C814" s="2" t="s">
        <v>36</v>
      </c>
      <c r="D814" s="2" t="s">
        <v>30</v>
      </c>
      <c r="E814" s="4">
        <v>46094</v>
      </c>
      <c r="F814" s="4">
        <v>46105</v>
      </c>
      <c r="G814" s="5">
        <v>10900</v>
      </c>
      <c r="H814" s="5">
        <v>9136.06</v>
      </c>
      <c r="I814" s="2" t="s">
        <v>37</v>
      </c>
      <c r="J814" s="2" t="s">
        <v>1541</v>
      </c>
      <c r="K814" t="s">
        <v>83</v>
      </c>
      <c r="L814" s="12">
        <f>MIS_Report!$B$2-F814</f>
        <v>205</v>
      </c>
      <c r="M814" t="str" cm="1">
        <f t="array" ref="M814">_xlfn.IFS(L814&lt;=30,"0-30",L814&lt;=60,"31-60",L814&lt;=90,"61-90",TRUE,"90+")</f>
        <v>90+</v>
      </c>
      <c r="N814">
        <f t="shared" si="25"/>
        <v>0</v>
      </c>
      <c r="O814" t="str">
        <f>VLOOKUP(K814,Agents!$A$1:$C$11,2,0)</f>
        <v>Deepak Nair</v>
      </c>
      <c r="P814">
        <f t="shared" si="24"/>
        <v>0</v>
      </c>
    </row>
    <row r="815" spans="1:16" x14ac:dyDescent="0.25">
      <c r="A815" s="2" t="s">
        <v>1302</v>
      </c>
      <c r="B815" s="2" t="s">
        <v>728</v>
      </c>
      <c r="C815" s="2" t="s">
        <v>79</v>
      </c>
      <c r="D815" s="2" t="s">
        <v>71</v>
      </c>
      <c r="E815" s="4">
        <v>46261</v>
      </c>
      <c r="F815" s="4">
        <v>46274</v>
      </c>
      <c r="G815" s="5">
        <v>7400</v>
      </c>
      <c r="H815" s="5"/>
      <c r="I815" s="2" t="s">
        <v>42</v>
      </c>
      <c r="J815" s="2" t="s">
        <v>1541</v>
      </c>
      <c r="K815" t="s">
        <v>109</v>
      </c>
      <c r="L815" s="12">
        <f>MIS_Report!$B$2-F815</f>
        <v>36</v>
      </c>
      <c r="M815" t="str" cm="1">
        <f t="array" ref="M815">_xlfn.IFS(L815&lt;=30,"0-30",L815&lt;=60,"31-60",L815&lt;=90,"61-90",TRUE,"90+")</f>
        <v>31-60</v>
      </c>
      <c r="N815">
        <f t="shared" si="25"/>
        <v>7400</v>
      </c>
      <c r="O815" t="str">
        <f>VLOOKUP(K815,Agents!$A$1:$C$11,2,0)</f>
        <v>Deepak Nair</v>
      </c>
      <c r="P815">
        <f t="shared" si="24"/>
        <v>0</v>
      </c>
    </row>
    <row r="816" spans="1:16" x14ac:dyDescent="0.25">
      <c r="A816" s="2" t="s">
        <v>1303</v>
      </c>
      <c r="B816" s="2" t="s">
        <v>1304</v>
      </c>
      <c r="C816" s="2" t="s">
        <v>79</v>
      </c>
      <c r="D816" s="2" t="s">
        <v>41</v>
      </c>
      <c r="E816" s="4">
        <v>46134</v>
      </c>
      <c r="F816" s="4">
        <v>46140</v>
      </c>
      <c r="G816" s="5">
        <v>10225</v>
      </c>
      <c r="H816" s="5">
        <v>0</v>
      </c>
      <c r="I816" s="2" t="s">
        <v>31</v>
      </c>
      <c r="J816" s="2" t="s">
        <v>72</v>
      </c>
      <c r="K816" t="s">
        <v>33</v>
      </c>
      <c r="L816" s="12">
        <f>MIS_Report!$B$2-F816</f>
        <v>170</v>
      </c>
      <c r="M816" t="str" cm="1">
        <f t="array" ref="M816">_xlfn.IFS(L816&lt;=30,"0-30",L816&lt;=60,"31-60",L816&lt;=90,"61-90",TRUE,"90+")</f>
        <v>90+</v>
      </c>
      <c r="N816">
        <f t="shared" si="25"/>
        <v>0</v>
      </c>
      <c r="O816" t="str">
        <f>VLOOKUP(K816,Agents!$A$1:$C$11,2,0)</f>
        <v>Manish Arora</v>
      </c>
      <c r="P816">
        <f t="shared" si="24"/>
        <v>10225</v>
      </c>
    </row>
    <row r="817" spans="1:16" x14ac:dyDescent="0.25">
      <c r="A817" s="2" t="s">
        <v>1305</v>
      </c>
      <c r="B817" s="2" t="s">
        <v>208</v>
      </c>
      <c r="C817" s="2" t="s">
        <v>36</v>
      </c>
      <c r="D817" s="2" t="s">
        <v>55</v>
      </c>
      <c r="E817" s="4">
        <v>46102</v>
      </c>
      <c r="F817" s="4">
        <v>46109</v>
      </c>
      <c r="G817" s="5">
        <v>13925</v>
      </c>
      <c r="H817" s="5">
        <v>0</v>
      </c>
      <c r="I817" s="2" t="s">
        <v>31</v>
      </c>
      <c r="J817" s="2" t="s">
        <v>271</v>
      </c>
      <c r="K817" t="s">
        <v>48</v>
      </c>
      <c r="L817" s="12">
        <f>MIS_Report!$B$2-F817</f>
        <v>201</v>
      </c>
      <c r="M817" t="str" cm="1">
        <f t="array" ref="M817">_xlfn.IFS(L817&lt;=30,"0-30",L817&lt;=60,"31-60",L817&lt;=90,"61-90",TRUE,"90+")</f>
        <v>90+</v>
      </c>
      <c r="N817">
        <f t="shared" si="25"/>
        <v>0</v>
      </c>
      <c r="O817" t="str">
        <f>VLOOKUP(K817,Agents!$A$1:$C$11,2,0)</f>
        <v>Manish Arora</v>
      </c>
      <c r="P817">
        <f t="shared" si="24"/>
        <v>13925</v>
      </c>
    </row>
    <row r="818" spans="1:16" x14ac:dyDescent="0.25">
      <c r="A818" s="2" t="s">
        <v>1306</v>
      </c>
      <c r="B818" s="2" t="s">
        <v>722</v>
      </c>
      <c r="C818" s="2" t="s">
        <v>46</v>
      </c>
      <c r="D818" s="2" t="s">
        <v>80</v>
      </c>
      <c r="E818" s="4">
        <v>46036</v>
      </c>
      <c r="F818" s="4">
        <v>46054</v>
      </c>
      <c r="G818" s="5">
        <v>6025</v>
      </c>
      <c r="H818" s="5">
        <v>0</v>
      </c>
      <c r="I818" s="2" t="s">
        <v>31</v>
      </c>
      <c r="J818" s="2" t="s">
        <v>271</v>
      </c>
      <c r="K818" t="s">
        <v>83</v>
      </c>
      <c r="L818" s="12">
        <f>MIS_Report!$B$2-F818</f>
        <v>256</v>
      </c>
      <c r="M818" t="str" cm="1">
        <f t="array" ref="M818">_xlfn.IFS(L818&lt;=30,"0-30",L818&lt;=60,"31-60",L818&lt;=90,"61-90",TRUE,"90+")</f>
        <v>90+</v>
      </c>
      <c r="N818">
        <f t="shared" si="25"/>
        <v>0</v>
      </c>
      <c r="O818" t="str">
        <f>VLOOKUP(K818,Agents!$A$1:$C$11,2,0)</f>
        <v>Deepak Nair</v>
      </c>
      <c r="P818">
        <f t="shared" si="24"/>
        <v>6025</v>
      </c>
    </row>
    <row r="819" spans="1:16" x14ac:dyDescent="0.25">
      <c r="A819" s="2" t="s">
        <v>1307</v>
      </c>
      <c r="B819" s="2" t="s">
        <v>483</v>
      </c>
      <c r="C819" s="2" t="s">
        <v>36</v>
      </c>
      <c r="D819" s="2" t="s">
        <v>68</v>
      </c>
      <c r="E819" s="4">
        <v>46282</v>
      </c>
      <c r="F819" s="4">
        <v>46300</v>
      </c>
      <c r="G819" s="5">
        <v>11675</v>
      </c>
      <c r="H819" s="5"/>
      <c r="I819" s="2" t="s">
        <v>42</v>
      </c>
      <c r="J819" s="2" t="s">
        <v>1541</v>
      </c>
      <c r="K819" t="s">
        <v>43</v>
      </c>
      <c r="L819" s="12">
        <f>MIS_Report!$B$2-F819</f>
        <v>10</v>
      </c>
      <c r="M819" t="str" cm="1">
        <f t="array" ref="M819">_xlfn.IFS(L819&lt;=30,"0-30",L819&lt;=60,"31-60",L819&lt;=90,"61-90",TRUE,"90+")</f>
        <v>0-30</v>
      </c>
      <c r="N819">
        <f t="shared" si="25"/>
        <v>11675</v>
      </c>
      <c r="O819" t="str">
        <f>VLOOKUP(K819,Agents!$A$1:$C$11,2,0)</f>
        <v>Manish Arora</v>
      </c>
      <c r="P819">
        <f t="shared" si="24"/>
        <v>0</v>
      </c>
    </row>
    <row r="820" spans="1:16" x14ac:dyDescent="0.25">
      <c r="A820" s="2" t="s">
        <v>1308</v>
      </c>
      <c r="B820" s="2" t="s">
        <v>93</v>
      </c>
      <c r="C820" s="2" t="s">
        <v>79</v>
      </c>
      <c r="D820" s="2" t="s">
        <v>30</v>
      </c>
      <c r="E820" s="4">
        <v>46079</v>
      </c>
      <c r="F820" s="4">
        <v>46085</v>
      </c>
      <c r="G820" s="5">
        <v>13175</v>
      </c>
      <c r="H820" s="5">
        <v>11726.77</v>
      </c>
      <c r="I820" s="2" t="s">
        <v>37</v>
      </c>
      <c r="J820" s="2" t="s">
        <v>1541</v>
      </c>
      <c r="K820" t="s">
        <v>33</v>
      </c>
      <c r="L820" s="12">
        <f>MIS_Report!$B$2-F820</f>
        <v>225</v>
      </c>
      <c r="M820" t="str" cm="1">
        <f t="array" ref="M820">_xlfn.IFS(L820&lt;=30,"0-30",L820&lt;=60,"31-60",L820&lt;=90,"61-90",TRUE,"90+")</f>
        <v>90+</v>
      </c>
      <c r="N820">
        <f t="shared" si="25"/>
        <v>0</v>
      </c>
      <c r="O820" t="str">
        <f>VLOOKUP(K820,Agents!$A$1:$C$11,2,0)</f>
        <v>Manish Arora</v>
      </c>
      <c r="P820">
        <f t="shared" si="24"/>
        <v>0</v>
      </c>
    </row>
    <row r="821" spans="1:16" x14ac:dyDescent="0.25">
      <c r="A821" s="2" t="s">
        <v>1309</v>
      </c>
      <c r="B821" s="2" t="s">
        <v>314</v>
      </c>
      <c r="C821" s="2" t="s">
        <v>46</v>
      </c>
      <c r="D821" s="2" t="s">
        <v>30</v>
      </c>
      <c r="E821" s="4">
        <v>46248</v>
      </c>
      <c r="F821" s="4">
        <v>46261</v>
      </c>
      <c r="G821" s="5">
        <v>7400</v>
      </c>
      <c r="H821" s="5">
        <v>6191.4</v>
      </c>
      <c r="I821" s="2" t="s">
        <v>37</v>
      </c>
      <c r="J821" s="2" t="s">
        <v>1541</v>
      </c>
      <c r="K821" t="s">
        <v>65</v>
      </c>
      <c r="L821" s="12">
        <f>MIS_Report!$B$2-F821</f>
        <v>49</v>
      </c>
      <c r="M821" t="str" cm="1">
        <f t="array" ref="M821">_xlfn.IFS(L821&lt;=30,"0-30",L821&lt;=60,"31-60",L821&lt;=90,"61-90",TRUE,"90+")</f>
        <v>31-60</v>
      </c>
      <c r="N821">
        <f t="shared" si="25"/>
        <v>0</v>
      </c>
      <c r="O821" t="str">
        <f>VLOOKUP(K821,Agents!$A$1:$C$11,2,0)</f>
        <v>Deepak Nair</v>
      </c>
      <c r="P821">
        <f t="shared" si="24"/>
        <v>0</v>
      </c>
    </row>
    <row r="822" spans="1:16" x14ac:dyDescent="0.25">
      <c r="A822" s="2" t="s">
        <v>1310</v>
      </c>
      <c r="B822" s="2" t="s">
        <v>1311</v>
      </c>
      <c r="C822" s="2" t="s">
        <v>46</v>
      </c>
      <c r="D822" s="2" t="s">
        <v>41</v>
      </c>
      <c r="E822" s="4">
        <v>46220</v>
      </c>
      <c r="F822" s="4">
        <v>46239</v>
      </c>
      <c r="G822" s="5">
        <v>12775</v>
      </c>
      <c r="H822" s="5"/>
      <c r="I822" s="2" t="s">
        <v>42</v>
      </c>
      <c r="J822" s="2" t="s">
        <v>1541</v>
      </c>
      <c r="K822" t="s">
        <v>48</v>
      </c>
      <c r="L822" s="12">
        <f>MIS_Report!$B$2-F822</f>
        <v>71</v>
      </c>
      <c r="M822" t="str" cm="1">
        <f t="array" ref="M822">_xlfn.IFS(L822&lt;=30,"0-30",L822&lt;=60,"31-60",L822&lt;=90,"61-90",TRUE,"90+")</f>
        <v>61-90</v>
      </c>
      <c r="N822">
        <f t="shared" si="25"/>
        <v>12775</v>
      </c>
      <c r="O822" t="str">
        <f>VLOOKUP(K822,Agents!$A$1:$C$11,2,0)</f>
        <v>Manish Arora</v>
      </c>
      <c r="P822">
        <f t="shared" si="24"/>
        <v>0</v>
      </c>
    </row>
    <row r="823" spans="1:16" x14ac:dyDescent="0.25">
      <c r="A823" s="2" t="s">
        <v>1312</v>
      </c>
      <c r="B823" s="2" t="s">
        <v>1313</v>
      </c>
      <c r="C823" s="2" t="s">
        <v>79</v>
      </c>
      <c r="D823" s="2" t="s">
        <v>30</v>
      </c>
      <c r="E823" s="4">
        <v>46202</v>
      </c>
      <c r="F823" s="4">
        <v>46220</v>
      </c>
      <c r="G823" s="5">
        <v>7175</v>
      </c>
      <c r="H823" s="5">
        <v>6179.74</v>
      </c>
      <c r="I823" s="2" t="s">
        <v>37</v>
      </c>
      <c r="J823" s="2" t="s">
        <v>1541</v>
      </c>
      <c r="K823" t="s">
        <v>38</v>
      </c>
      <c r="L823" s="12">
        <f>MIS_Report!$B$2-F823</f>
        <v>90</v>
      </c>
      <c r="M823" t="str" cm="1">
        <f t="array" ref="M823">_xlfn.IFS(L823&lt;=30,"0-30",L823&lt;=60,"31-60",L823&lt;=90,"61-90",TRUE,"90+")</f>
        <v>61-90</v>
      </c>
      <c r="N823">
        <f t="shared" si="25"/>
        <v>0</v>
      </c>
      <c r="O823" t="str">
        <f>VLOOKUP(K823,Agents!$A$1:$C$11,2,0)</f>
        <v>Sunita Rao</v>
      </c>
      <c r="P823">
        <f t="shared" si="24"/>
        <v>0</v>
      </c>
    </row>
    <row r="824" spans="1:16" x14ac:dyDescent="0.25">
      <c r="A824" s="2" t="s">
        <v>1314</v>
      </c>
      <c r="B824" s="2" t="s">
        <v>433</v>
      </c>
      <c r="C824" s="2" t="s">
        <v>29</v>
      </c>
      <c r="D824" s="2" t="s">
        <v>30</v>
      </c>
      <c r="E824" s="4">
        <v>46214</v>
      </c>
      <c r="F824" s="4">
        <v>46221</v>
      </c>
      <c r="G824" s="5">
        <v>6825</v>
      </c>
      <c r="H824" s="5"/>
      <c r="I824" s="2" t="s">
        <v>42</v>
      </c>
      <c r="J824" s="2" t="s">
        <v>1541</v>
      </c>
      <c r="K824" t="s">
        <v>83</v>
      </c>
      <c r="L824" s="12">
        <f>MIS_Report!$B$2-F824</f>
        <v>89</v>
      </c>
      <c r="M824" t="str" cm="1">
        <f t="array" ref="M824">_xlfn.IFS(L824&lt;=30,"0-30",L824&lt;=60,"31-60",L824&lt;=90,"61-90",TRUE,"90+")</f>
        <v>61-90</v>
      </c>
      <c r="N824">
        <f t="shared" si="25"/>
        <v>6825</v>
      </c>
      <c r="O824" t="str">
        <f>VLOOKUP(K824,Agents!$A$1:$C$11,2,0)</f>
        <v>Deepak Nair</v>
      </c>
      <c r="P824">
        <f t="shared" si="24"/>
        <v>0</v>
      </c>
    </row>
    <row r="825" spans="1:16" x14ac:dyDescent="0.25">
      <c r="A825" s="2" t="s">
        <v>1315</v>
      </c>
      <c r="B825" s="2" t="s">
        <v>989</v>
      </c>
      <c r="C825" s="2" t="s">
        <v>36</v>
      </c>
      <c r="D825" s="2" t="s">
        <v>68</v>
      </c>
      <c r="E825" s="4">
        <v>46208</v>
      </c>
      <c r="F825" s="4">
        <v>46228</v>
      </c>
      <c r="G825" s="5">
        <v>14125</v>
      </c>
      <c r="H825" s="5"/>
      <c r="I825" s="2" t="s">
        <v>42</v>
      </c>
      <c r="J825" s="2" t="s">
        <v>1541</v>
      </c>
      <c r="K825" t="s">
        <v>48</v>
      </c>
      <c r="L825" s="12">
        <f>MIS_Report!$B$2-F825</f>
        <v>82</v>
      </c>
      <c r="M825" t="str" cm="1">
        <f t="array" ref="M825">_xlfn.IFS(L825&lt;=30,"0-30",L825&lt;=60,"31-60",L825&lt;=90,"61-90",TRUE,"90+")</f>
        <v>61-90</v>
      </c>
      <c r="N825">
        <f t="shared" si="25"/>
        <v>14125</v>
      </c>
      <c r="O825" t="str">
        <f>VLOOKUP(K825,Agents!$A$1:$C$11,2,0)</f>
        <v>Manish Arora</v>
      </c>
      <c r="P825">
        <f t="shared" si="24"/>
        <v>0</v>
      </c>
    </row>
    <row r="826" spans="1:16" x14ac:dyDescent="0.25">
      <c r="A826" s="2" t="s">
        <v>1316</v>
      </c>
      <c r="B826" s="2" t="s">
        <v>1317</v>
      </c>
      <c r="C826" s="2" t="s">
        <v>36</v>
      </c>
      <c r="D826" s="2" t="s">
        <v>30</v>
      </c>
      <c r="E826" s="4">
        <v>46195</v>
      </c>
      <c r="F826" s="4">
        <v>46213</v>
      </c>
      <c r="G826" s="5">
        <v>8225</v>
      </c>
      <c r="H826" s="5">
        <v>0</v>
      </c>
      <c r="I826" s="2" t="s">
        <v>31</v>
      </c>
      <c r="J826" s="2" t="s">
        <v>312</v>
      </c>
      <c r="K826" t="s">
        <v>65</v>
      </c>
      <c r="L826" s="12">
        <f>MIS_Report!$B$2-F826</f>
        <v>97</v>
      </c>
      <c r="M826" t="str" cm="1">
        <f t="array" ref="M826">_xlfn.IFS(L826&lt;=30,"0-30",L826&lt;=60,"31-60",L826&lt;=90,"61-90",TRUE,"90+")</f>
        <v>90+</v>
      </c>
      <c r="N826">
        <f t="shared" si="25"/>
        <v>0</v>
      </c>
      <c r="O826" t="str">
        <f>VLOOKUP(K826,Agents!$A$1:$C$11,2,0)</f>
        <v>Deepak Nair</v>
      </c>
      <c r="P826">
        <f t="shared" si="24"/>
        <v>8225</v>
      </c>
    </row>
    <row r="827" spans="1:16" x14ac:dyDescent="0.25">
      <c r="A827" s="2" t="s">
        <v>1318</v>
      </c>
      <c r="B827" s="2" t="s">
        <v>436</v>
      </c>
      <c r="C827" s="2" t="s">
        <v>79</v>
      </c>
      <c r="D827" s="2" t="s">
        <v>55</v>
      </c>
      <c r="E827" s="4">
        <v>46271</v>
      </c>
      <c r="F827" s="4">
        <v>46279</v>
      </c>
      <c r="G827" s="5">
        <v>11175</v>
      </c>
      <c r="H827" s="5"/>
      <c r="I827" s="2" t="s">
        <v>42</v>
      </c>
      <c r="J827" s="2" t="s">
        <v>1541</v>
      </c>
      <c r="K827" t="s">
        <v>52</v>
      </c>
      <c r="L827" s="12">
        <f>MIS_Report!$B$2-F827</f>
        <v>31</v>
      </c>
      <c r="M827" t="str" cm="1">
        <f t="array" ref="M827">_xlfn.IFS(L827&lt;=30,"0-30",L827&lt;=60,"31-60",L827&lt;=90,"61-90",TRUE,"90+")</f>
        <v>31-60</v>
      </c>
      <c r="N827">
        <f t="shared" si="25"/>
        <v>11175</v>
      </c>
      <c r="O827" t="str">
        <f>VLOOKUP(K827,Agents!$A$1:$C$11,2,0)</f>
        <v>Sunita Rao</v>
      </c>
      <c r="P827">
        <f t="shared" si="24"/>
        <v>0</v>
      </c>
    </row>
    <row r="828" spans="1:16" x14ac:dyDescent="0.25">
      <c r="A828" s="2" t="s">
        <v>1319</v>
      </c>
      <c r="B828" s="2" t="s">
        <v>1320</v>
      </c>
      <c r="C828" s="2" t="s">
        <v>46</v>
      </c>
      <c r="D828" s="2" t="s">
        <v>68</v>
      </c>
      <c r="E828" s="4">
        <v>46297</v>
      </c>
      <c r="F828" s="4">
        <v>46300</v>
      </c>
      <c r="G828" s="5">
        <v>1325</v>
      </c>
      <c r="H828" s="5">
        <v>0</v>
      </c>
      <c r="I828" s="2" t="s">
        <v>31</v>
      </c>
      <c r="J828" s="2" t="s">
        <v>72</v>
      </c>
      <c r="K828" t="s">
        <v>56</v>
      </c>
      <c r="L828" s="12">
        <f>MIS_Report!$B$2-F828</f>
        <v>10</v>
      </c>
      <c r="M828" t="str" cm="1">
        <f t="array" ref="M828">_xlfn.IFS(L828&lt;=30,"0-30",L828&lt;=60,"31-60",L828&lt;=90,"61-90",TRUE,"90+")</f>
        <v>0-30</v>
      </c>
      <c r="N828">
        <f t="shared" si="25"/>
        <v>0</v>
      </c>
      <c r="O828" t="str">
        <f>VLOOKUP(K828,Agents!$A$1:$C$11,2,0)</f>
        <v>Manish Arora</v>
      </c>
      <c r="P828">
        <f t="shared" si="24"/>
        <v>1325</v>
      </c>
    </row>
    <row r="829" spans="1:16" x14ac:dyDescent="0.25">
      <c r="A829" s="2" t="s">
        <v>1321</v>
      </c>
      <c r="B829" s="2" t="s">
        <v>720</v>
      </c>
      <c r="C829" s="2" t="s">
        <v>46</v>
      </c>
      <c r="D829" s="2" t="s">
        <v>55</v>
      </c>
      <c r="E829" s="4">
        <v>46209</v>
      </c>
      <c r="F829" s="4">
        <v>46216</v>
      </c>
      <c r="G829" s="5">
        <v>5525</v>
      </c>
      <c r="H829" s="5">
        <v>0</v>
      </c>
      <c r="I829" s="2" t="s">
        <v>31</v>
      </c>
      <c r="J829" s="2" t="s">
        <v>347</v>
      </c>
      <c r="K829" t="s">
        <v>52</v>
      </c>
      <c r="L829" s="12">
        <f>MIS_Report!$B$2-F829</f>
        <v>94</v>
      </c>
      <c r="M829" t="str" cm="1">
        <f t="array" ref="M829">_xlfn.IFS(L829&lt;=30,"0-30",L829&lt;=60,"31-60",L829&lt;=90,"61-90",TRUE,"90+")</f>
        <v>90+</v>
      </c>
      <c r="N829">
        <f t="shared" si="25"/>
        <v>0</v>
      </c>
      <c r="O829" t="str">
        <f>VLOOKUP(K829,Agents!$A$1:$C$11,2,0)</f>
        <v>Sunita Rao</v>
      </c>
      <c r="P829">
        <f t="shared" si="24"/>
        <v>5525</v>
      </c>
    </row>
    <row r="830" spans="1:16" x14ac:dyDescent="0.25">
      <c r="A830" s="2" t="s">
        <v>1322</v>
      </c>
      <c r="B830" s="2" t="s">
        <v>387</v>
      </c>
      <c r="C830" s="2" t="s">
        <v>79</v>
      </c>
      <c r="D830" s="2" t="s">
        <v>61</v>
      </c>
      <c r="E830" s="4">
        <v>46161</v>
      </c>
      <c r="F830" s="4">
        <v>46178</v>
      </c>
      <c r="G830" s="5">
        <v>3200</v>
      </c>
      <c r="H830" s="5">
        <v>0</v>
      </c>
      <c r="I830" s="2" t="s">
        <v>31</v>
      </c>
      <c r="J830" s="2" t="s">
        <v>32</v>
      </c>
      <c r="K830" t="s">
        <v>52</v>
      </c>
      <c r="L830" s="12">
        <f>MIS_Report!$B$2-F830</f>
        <v>132</v>
      </c>
      <c r="M830" t="str" cm="1">
        <f t="array" ref="M830">_xlfn.IFS(L830&lt;=30,"0-30",L830&lt;=60,"31-60",L830&lt;=90,"61-90",TRUE,"90+")</f>
        <v>90+</v>
      </c>
      <c r="N830">
        <f t="shared" si="25"/>
        <v>0</v>
      </c>
      <c r="O830" t="str">
        <f>VLOOKUP(K830,Agents!$A$1:$C$11,2,0)</f>
        <v>Sunita Rao</v>
      </c>
      <c r="P830">
        <f t="shared" si="24"/>
        <v>3200</v>
      </c>
    </row>
    <row r="831" spans="1:16" x14ac:dyDescent="0.25">
      <c r="A831" s="2" t="s">
        <v>1323</v>
      </c>
      <c r="B831" s="2" t="s">
        <v>1324</v>
      </c>
      <c r="C831" s="2" t="s">
        <v>36</v>
      </c>
      <c r="D831" s="2" t="s">
        <v>55</v>
      </c>
      <c r="E831" s="4">
        <v>46040</v>
      </c>
      <c r="F831" s="4">
        <v>46055</v>
      </c>
      <c r="G831" s="5">
        <v>5125</v>
      </c>
      <c r="H831" s="5">
        <v>0</v>
      </c>
      <c r="I831" s="2" t="s">
        <v>31</v>
      </c>
      <c r="J831" s="2" t="s">
        <v>72</v>
      </c>
      <c r="K831" t="s">
        <v>109</v>
      </c>
      <c r="L831" s="12">
        <f>MIS_Report!$B$2-F831</f>
        <v>255</v>
      </c>
      <c r="M831" t="str" cm="1">
        <f t="array" ref="M831">_xlfn.IFS(L831&lt;=30,"0-30",L831&lt;=60,"31-60",L831&lt;=90,"61-90",TRUE,"90+")</f>
        <v>90+</v>
      </c>
      <c r="N831">
        <f t="shared" si="25"/>
        <v>0</v>
      </c>
      <c r="O831" t="str">
        <f>VLOOKUP(K831,Agents!$A$1:$C$11,2,0)</f>
        <v>Deepak Nair</v>
      </c>
      <c r="P831">
        <f t="shared" si="24"/>
        <v>5125</v>
      </c>
    </row>
    <row r="832" spans="1:16" x14ac:dyDescent="0.25">
      <c r="A832" s="2" t="s">
        <v>1325</v>
      </c>
      <c r="B832" s="2" t="s">
        <v>720</v>
      </c>
      <c r="C832" s="2" t="s">
        <v>36</v>
      </c>
      <c r="D832" s="2" t="s">
        <v>41</v>
      </c>
      <c r="E832" s="4">
        <v>46225</v>
      </c>
      <c r="F832" s="4">
        <v>46230</v>
      </c>
      <c r="G832" s="5">
        <v>9975</v>
      </c>
      <c r="H832" s="5"/>
      <c r="I832" s="2" t="s">
        <v>42</v>
      </c>
      <c r="J832" s="2" t="s">
        <v>1541</v>
      </c>
      <c r="K832" t="s">
        <v>65</v>
      </c>
      <c r="L832" s="12">
        <f>MIS_Report!$B$2-F832</f>
        <v>80</v>
      </c>
      <c r="M832" t="str" cm="1">
        <f t="array" ref="M832">_xlfn.IFS(L832&lt;=30,"0-30",L832&lt;=60,"31-60",L832&lt;=90,"61-90",TRUE,"90+")</f>
        <v>61-90</v>
      </c>
      <c r="N832">
        <f t="shared" si="25"/>
        <v>9975</v>
      </c>
      <c r="O832" t="str">
        <f>VLOOKUP(K832,Agents!$A$1:$C$11,2,0)</f>
        <v>Deepak Nair</v>
      </c>
      <c r="P832">
        <f t="shared" si="24"/>
        <v>0</v>
      </c>
    </row>
    <row r="833" spans="1:16" x14ac:dyDescent="0.25">
      <c r="A833" s="2" t="s">
        <v>1326</v>
      </c>
      <c r="B833" s="2" t="s">
        <v>1327</v>
      </c>
      <c r="C833" s="2" t="s">
        <v>36</v>
      </c>
      <c r="D833" s="2" t="s">
        <v>80</v>
      </c>
      <c r="E833" s="4">
        <v>46158</v>
      </c>
      <c r="F833" s="4">
        <v>46169</v>
      </c>
      <c r="G833" s="5">
        <v>3700</v>
      </c>
      <c r="H833" s="5">
        <v>2061.06</v>
      </c>
      <c r="I833" s="2" t="s">
        <v>37</v>
      </c>
      <c r="J833" s="2" t="s">
        <v>1541</v>
      </c>
      <c r="K833" t="s">
        <v>65</v>
      </c>
      <c r="L833" s="12">
        <f>MIS_Report!$B$2-F833</f>
        <v>141</v>
      </c>
      <c r="M833" t="str" cm="1">
        <f t="array" ref="M833">_xlfn.IFS(L833&lt;=30,"0-30",L833&lt;=60,"31-60",L833&lt;=90,"61-90",TRUE,"90+")</f>
        <v>90+</v>
      </c>
      <c r="N833">
        <f t="shared" si="25"/>
        <v>0</v>
      </c>
      <c r="O833" t="str">
        <f>VLOOKUP(K833,Agents!$A$1:$C$11,2,0)</f>
        <v>Deepak Nair</v>
      </c>
      <c r="P833">
        <f t="shared" si="24"/>
        <v>0</v>
      </c>
    </row>
    <row r="834" spans="1:16" x14ac:dyDescent="0.25">
      <c r="A834" s="2" t="s">
        <v>1328</v>
      </c>
      <c r="B834" s="2" t="s">
        <v>276</v>
      </c>
      <c r="C834" s="2" t="s">
        <v>46</v>
      </c>
      <c r="D834" s="2" t="s">
        <v>80</v>
      </c>
      <c r="E834" s="4">
        <v>46054</v>
      </c>
      <c r="F834" s="4">
        <v>46073</v>
      </c>
      <c r="G834" s="5">
        <v>5925</v>
      </c>
      <c r="H834" s="5">
        <v>3760.68</v>
      </c>
      <c r="I834" s="2" t="s">
        <v>37</v>
      </c>
      <c r="J834" s="2" t="s">
        <v>1541</v>
      </c>
      <c r="K834" t="s">
        <v>62</v>
      </c>
      <c r="L834" s="12">
        <f>MIS_Report!$B$2-F834</f>
        <v>237</v>
      </c>
      <c r="M834" t="str" cm="1">
        <f t="array" ref="M834">_xlfn.IFS(L834&lt;=30,"0-30",L834&lt;=60,"31-60",L834&lt;=90,"61-90",TRUE,"90+")</f>
        <v>90+</v>
      </c>
      <c r="N834">
        <f t="shared" si="25"/>
        <v>0</v>
      </c>
      <c r="O834" t="str">
        <f>VLOOKUP(K834,Agents!$A$1:$C$11,2,0)</f>
        <v>Sunita Rao</v>
      </c>
      <c r="P834">
        <f t="shared" si="24"/>
        <v>0</v>
      </c>
    </row>
    <row r="835" spans="1:16" x14ac:dyDescent="0.25">
      <c r="A835" s="2" t="s">
        <v>1329</v>
      </c>
      <c r="B835" s="2" t="s">
        <v>1330</v>
      </c>
      <c r="C835" s="2" t="s">
        <v>79</v>
      </c>
      <c r="D835" s="2" t="s">
        <v>80</v>
      </c>
      <c r="E835" s="4">
        <v>46254</v>
      </c>
      <c r="F835" s="4">
        <v>46258</v>
      </c>
      <c r="G835" s="5">
        <v>6825</v>
      </c>
      <c r="H835" s="5"/>
      <c r="I835" s="2" t="s">
        <v>42</v>
      </c>
      <c r="J835" s="2" t="s">
        <v>1541</v>
      </c>
      <c r="K835" t="s">
        <v>52</v>
      </c>
      <c r="L835" s="12">
        <f>MIS_Report!$B$2-F835</f>
        <v>52</v>
      </c>
      <c r="M835" t="str" cm="1">
        <f t="array" ref="M835">_xlfn.IFS(L835&lt;=30,"0-30",L835&lt;=60,"31-60",L835&lt;=90,"61-90",TRUE,"90+")</f>
        <v>31-60</v>
      </c>
      <c r="N835">
        <f t="shared" si="25"/>
        <v>6825</v>
      </c>
      <c r="O835" t="str">
        <f>VLOOKUP(K835,Agents!$A$1:$C$11,2,0)</f>
        <v>Sunita Rao</v>
      </c>
      <c r="P835">
        <f t="shared" ref="P835:P898" si="26">IF(I835="Denied",G835,0)</f>
        <v>0</v>
      </c>
    </row>
    <row r="836" spans="1:16" x14ac:dyDescent="0.25">
      <c r="A836" s="2" t="s">
        <v>1331</v>
      </c>
      <c r="B836" s="2" t="s">
        <v>975</v>
      </c>
      <c r="C836" s="2" t="s">
        <v>46</v>
      </c>
      <c r="D836" s="2" t="s">
        <v>80</v>
      </c>
      <c r="E836" s="4">
        <v>46283</v>
      </c>
      <c r="F836" s="4">
        <v>46295</v>
      </c>
      <c r="G836" s="5">
        <v>7250</v>
      </c>
      <c r="H836" s="5"/>
      <c r="I836" s="2" t="s">
        <v>42</v>
      </c>
      <c r="J836" s="2" t="s">
        <v>1541</v>
      </c>
      <c r="K836" t="s">
        <v>33</v>
      </c>
      <c r="L836" s="12">
        <f>MIS_Report!$B$2-F836</f>
        <v>15</v>
      </c>
      <c r="M836" t="str" cm="1">
        <f t="array" ref="M836">_xlfn.IFS(L836&lt;=30,"0-30",L836&lt;=60,"31-60",L836&lt;=90,"61-90",TRUE,"90+")</f>
        <v>0-30</v>
      </c>
      <c r="N836">
        <f t="shared" si="25"/>
        <v>7250</v>
      </c>
      <c r="O836" t="str">
        <f>VLOOKUP(K836,Agents!$A$1:$C$11,2,0)</f>
        <v>Manish Arora</v>
      </c>
      <c r="P836">
        <f t="shared" si="26"/>
        <v>0</v>
      </c>
    </row>
    <row r="837" spans="1:16" x14ac:dyDescent="0.25">
      <c r="A837" s="2" t="s">
        <v>1332</v>
      </c>
      <c r="B837" s="2" t="s">
        <v>835</v>
      </c>
      <c r="C837" s="2" t="s">
        <v>36</v>
      </c>
      <c r="D837" s="2" t="s">
        <v>41</v>
      </c>
      <c r="E837" s="4">
        <v>46080</v>
      </c>
      <c r="F837" s="4">
        <v>46096</v>
      </c>
      <c r="G837" s="5">
        <v>10625</v>
      </c>
      <c r="H837" s="5"/>
      <c r="I837" s="2" t="s">
        <v>42</v>
      </c>
      <c r="J837" s="2" t="s">
        <v>1541</v>
      </c>
      <c r="K837" t="s">
        <v>83</v>
      </c>
      <c r="L837" s="12">
        <f>MIS_Report!$B$2-F837</f>
        <v>214</v>
      </c>
      <c r="M837" t="str" cm="1">
        <f t="array" ref="M837">_xlfn.IFS(L837&lt;=30,"0-30",L837&lt;=60,"31-60",L837&lt;=90,"61-90",TRUE,"90+")</f>
        <v>90+</v>
      </c>
      <c r="N837">
        <f t="shared" ref="N837:N900" si="27">IF(I837="Pending",G837-H837,0)</f>
        <v>10625</v>
      </c>
      <c r="O837" t="str">
        <f>VLOOKUP(K837,Agents!$A$1:$C$11,2,0)</f>
        <v>Deepak Nair</v>
      </c>
      <c r="P837">
        <f t="shared" si="26"/>
        <v>0</v>
      </c>
    </row>
    <row r="838" spans="1:16" x14ac:dyDescent="0.25">
      <c r="A838" s="2" t="s">
        <v>1333</v>
      </c>
      <c r="B838" s="2" t="s">
        <v>724</v>
      </c>
      <c r="C838" s="2" t="s">
        <v>36</v>
      </c>
      <c r="D838" s="2" t="s">
        <v>61</v>
      </c>
      <c r="E838" s="4">
        <v>46253</v>
      </c>
      <c r="F838" s="4">
        <v>46265</v>
      </c>
      <c r="G838" s="5">
        <v>14850</v>
      </c>
      <c r="H838" s="5"/>
      <c r="I838" s="2" t="s">
        <v>42</v>
      </c>
      <c r="J838" s="2" t="s">
        <v>1541</v>
      </c>
      <c r="K838" t="s">
        <v>56</v>
      </c>
      <c r="L838" s="12">
        <f>MIS_Report!$B$2-F838</f>
        <v>45</v>
      </c>
      <c r="M838" t="str" cm="1">
        <f t="array" ref="M838">_xlfn.IFS(L838&lt;=30,"0-30",L838&lt;=60,"31-60",L838&lt;=90,"61-90",TRUE,"90+")</f>
        <v>31-60</v>
      </c>
      <c r="N838">
        <f t="shared" si="27"/>
        <v>14850</v>
      </c>
      <c r="O838" t="str">
        <f>VLOOKUP(K838,Agents!$A$1:$C$11,2,0)</f>
        <v>Manish Arora</v>
      </c>
      <c r="P838">
        <f t="shared" si="26"/>
        <v>0</v>
      </c>
    </row>
    <row r="839" spans="1:16" x14ac:dyDescent="0.25">
      <c r="A839" s="2" t="s">
        <v>1334</v>
      </c>
      <c r="B839" s="2" t="s">
        <v>569</v>
      </c>
      <c r="C839" s="2" t="s">
        <v>46</v>
      </c>
      <c r="D839" s="2" t="s">
        <v>68</v>
      </c>
      <c r="E839" s="4">
        <v>46273</v>
      </c>
      <c r="F839" s="4">
        <v>46282</v>
      </c>
      <c r="G839" s="5">
        <v>12225</v>
      </c>
      <c r="H839" s="5">
        <v>9985.14</v>
      </c>
      <c r="I839" s="2" t="s">
        <v>37</v>
      </c>
      <c r="J839" s="2" t="s">
        <v>1541</v>
      </c>
      <c r="K839" t="s">
        <v>62</v>
      </c>
      <c r="L839" s="12">
        <f>MIS_Report!$B$2-F839</f>
        <v>28</v>
      </c>
      <c r="M839" t="str" cm="1">
        <f t="array" ref="M839">_xlfn.IFS(L839&lt;=30,"0-30",L839&lt;=60,"31-60",L839&lt;=90,"61-90",TRUE,"90+")</f>
        <v>0-30</v>
      </c>
      <c r="N839">
        <f t="shared" si="27"/>
        <v>0</v>
      </c>
      <c r="O839" t="str">
        <f>VLOOKUP(K839,Agents!$A$1:$C$11,2,0)</f>
        <v>Sunita Rao</v>
      </c>
      <c r="P839">
        <f t="shared" si="26"/>
        <v>0</v>
      </c>
    </row>
    <row r="840" spans="1:16" x14ac:dyDescent="0.25">
      <c r="A840" s="2" t="s">
        <v>1335</v>
      </c>
      <c r="B840" s="2" t="s">
        <v>761</v>
      </c>
      <c r="C840" s="2" t="s">
        <v>46</v>
      </c>
      <c r="D840" s="2" t="s">
        <v>80</v>
      </c>
      <c r="E840" s="4">
        <v>46112</v>
      </c>
      <c r="F840" s="4">
        <v>46123</v>
      </c>
      <c r="G840" s="5">
        <v>12250</v>
      </c>
      <c r="H840" s="5"/>
      <c r="I840" s="2" t="s">
        <v>42</v>
      </c>
      <c r="J840" s="2" t="s">
        <v>1541</v>
      </c>
      <c r="K840" t="s">
        <v>43</v>
      </c>
      <c r="L840" s="12">
        <f>MIS_Report!$B$2-F840</f>
        <v>187</v>
      </c>
      <c r="M840" t="str" cm="1">
        <f t="array" ref="M840">_xlfn.IFS(L840&lt;=30,"0-30",L840&lt;=60,"31-60",L840&lt;=90,"61-90",TRUE,"90+")</f>
        <v>90+</v>
      </c>
      <c r="N840">
        <f t="shared" si="27"/>
        <v>12250</v>
      </c>
      <c r="O840" t="str">
        <f>VLOOKUP(K840,Agents!$A$1:$C$11,2,0)</f>
        <v>Manish Arora</v>
      </c>
      <c r="P840">
        <f t="shared" si="26"/>
        <v>0</v>
      </c>
    </row>
    <row r="841" spans="1:16" x14ac:dyDescent="0.25">
      <c r="A841" s="2" t="s">
        <v>1336</v>
      </c>
      <c r="B841" s="2" t="s">
        <v>814</v>
      </c>
      <c r="C841" s="2" t="s">
        <v>79</v>
      </c>
      <c r="D841" s="2" t="s">
        <v>41</v>
      </c>
      <c r="E841" s="4">
        <v>46075</v>
      </c>
      <c r="F841" s="4">
        <v>46088</v>
      </c>
      <c r="G841" s="5">
        <v>11275</v>
      </c>
      <c r="H841" s="5">
        <v>7779.37</v>
      </c>
      <c r="I841" s="2" t="s">
        <v>37</v>
      </c>
      <c r="J841" s="2" t="s">
        <v>1541</v>
      </c>
      <c r="K841" t="s">
        <v>62</v>
      </c>
      <c r="L841" s="12">
        <f>MIS_Report!$B$2-F841</f>
        <v>222</v>
      </c>
      <c r="M841" t="str" cm="1">
        <f t="array" ref="M841">_xlfn.IFS(L841&lt;=30,"0-30",L841&lt;=60,"31-60",L841&lt;=90,"61-90",TRUE,"90+")</f>
        <v>90+</v>
      </c>
      <c r="N841">
        <f t="shared" si="27"/>
        <v>0</v>
      </c>
      <c r="O841" t="str">
        <f>VLOOKUP(K841,Agents!$A$1:$C$11,2,0)</f>
        <v>Sunita Rao</v>
      </c>
      <c r="P841">
        <f t="shared" si="26"/>
        <v>0</v>
      </c>
    </row>
    <row r="842" spans="1:16" x14ac:dyDescent="0.25">
      <c r="A842" s="2" t="s">
        <v>1337</v>
      </c>
      <c r="B842" s="2" t="s">
        <v>1269</v>
      </c>
      <c r="C842" s="2" t="s">
        <v>36</v>
      </c>
      <c r="D842" s="2" t="s">
        <v>41</v>
      </c>
      <c r="E842" s="4">
        <v>46065</v>
      </c>
      <c r="F842" s="4">
        <v>46076</v>
      </c>
      <c r="G842" s="5">
        <v>5075</v>
      </c>
      <c r="H842" s="5">
        <v>5074.8599999999997</v>
      </c>
      <c r="I842" s="2" t="s">
        <v>37</v>
      </c>
      <c r="J842" s="2" t="s">
        <v>1541</v>
      </c>
      <c r="K842" t="s">
        <v>65</v>
      </c>
      <c r="L842" s="12">
        <f>MIS_Report!$B$2-F842</f>
        <v>234</v>
      </c>
      <c r="M842" t="str" cm="1">
        <f t="array" ref="M842">_xlfn.IFS(L842&lt;=30,"0-30",L842&lt;=60,"31-60",L842&lt;=90,"61-90",TRUE,"90+")</f>
        <v>90+</v>
      </c>
      <c r="N842">
        <f t="shared" si="27"/>
        <v>0</v>
      </c>
      <c r="O842" t="str">
        <f>VLOOKUP(K842,Agents!$A$1:$C$11,2,0)</f>
        <v>Deepak Nair</v>
      </c>
      <c r="P842">
        <f t="shared" si="26"/>
        <v>0</v>
      </c>
    </row>
    <row r="843" spans="1:16" x14ac:dyDescent="0.25">
      <c r="A843" s="2" t="s">
        <v>1338</v>
      </c>
      <c r="B843" s="2" t="s">
        <v>771</v>
      </c>
      <c r="C843" s="2" t="s">
        <v>79</v>
      </c>
      <c r="D843" s="2" t="s">
        <v>30</v>
      </c>
      <c r="E843" s="4">
        <v>46270</v>
      </c>
      <c r="F843" s="4">
        <v>46275</v>
      </c>
      <c r="G843" s="5">
        <v>1825</v>
      </c>
      <c r="H843" s="5"/>
      <c r="I843" s="2" t="s">
        <v>42</v>
      </c>
      <c r="J843" s="2" t="s">
        <v>1541</v>
      </c>
      <c r="K843" t="s">
        <v>62</v>
      </c>
      <c r="L843" s="12">
        <f>MIS_Report!$B$2-F843</f>
        <v>35</v>
      </c>
      <c r="M843" t="str" cm="1">
        <f t="array" ref="M843">_xlfn.IFS(L843&lt;=30,"0-30",L843&lt;=60,"31-60",L843&lt;=90,"61-90",TRUE,"90+")</f>
        <v>31-60</v>
      </c>
      <c r="N843">
        <f t="shared" si="27"/>
        <v>1825</v>
      </c>
      <c r="O843" t="str">
        <f>VLOOKUP(K843,Agents!$A$1:$C$11,2,0)</f>
        <v>Sunita Rao</v>
      </c>
      <c r="P843">
        <f t="shared" si="26"/>
        <v>0</v>
      </c>
    </row>
    <row r="844" spans="1:16" x14ac:dyDescent="0.25">
      <c r="A844" s="2" t="s">
        <v>1339</v>
      </c>
      <c r="B844" s="2" t="s">
        <v>136</v>
      </c>
      <c r="C844" s="2" t="s">
        <v>29</v>
      </c>
      <c r="D844" s="2" t="s">
        <v>94</v>
      </c>
      <c r="E844" s="4">
        <v>46021</v>
      </c>
      <c r="F844" s="4">
        <v>46031</v>
      </c>
      <c r="G844" s="5">
        <v>2425</v>
      </c>
      <c r="H844" s="5">
        <v>2119.0100000000002</v>
      </c>
      <c r="I844" s="2" t="s">
        <v>37</v>
      </c>
      <c r="J844" s="2" t="s">
        <v>1541</v>
      </c>
      <c r="K844" t="s">
        <v>83</v>
      </c>
      <c r="L844" s="12">
        <f>MIS_Report!$B$2-F844</f>
        <v>279</v>
      </c>
      <c r="M844" t="str" cm="1">
        <f t="array" ref="M844">_xlfn.IFS(L844&lt;=30,"0-30",L844&lt;=60,"31-60",L844&lt;=90,"61-90",TRUE,"90+")</f>
        <v>90+</v>
      </c>
      <c r="N844">
        <f t="shared" si="27"/>
        <v>0</v>
      </c>
      <c r="O844" t="str">
        <f>VLOOKUP(K844,Agents!$A$1:$C$11,2,0)</f>
        <v>Deepak Nair</v>
      </c>
      <c r="P844">
        <f t="shared" si="26"/>
        <v>0</v>
      </c>
    </row>
    <row r="845" spans="1:16" x14ac:dyDescent="0.25">
      <c r="A845" s="2" t="s">
        <v>1340</v>
      </c>
      <c r="B845" s="2" t="s">
        <v>1341</v>
      </c>
      <c r="C845" s="2" t="s">
        <v>36</v>
      </c>
      <c r="D845" s="2" t="s">
        <v>30</v>
      </c>
      <c r="E845" s="4">
        <v>46183</v>
      </c>
      <c r="F845" s="4">
        <v>46190</v>
      </c>
      <c r="G845" s="5">
        <v>13500</v>
      </c>
      <c r="H845" s="5">
        <v>10229.23</v>
      </c>
      <c r="I845" s="2" t="s">
        <v>37</v>
      </c>
      <c r="J845" s="2" t="s">
        <v>1541</v>
      </c>
      <c r="K845" t="s">
        <v>56</v>
      </c>
      <c r="L845" s="12">
        <f>MIS_Report!$B$2-F845</f>
        <v>120</v>
      </c>
      <c r="M845" t="str" cm="1">
        <f t="array" ref="M845">_xlfn.IFS(L845&lt;=30,"0-30",L845&lt;=60,"31-60",L845&lt;=90,"61-90",TRUE,"90+")</f>
        <v>90+</v>
      </c>
      <c r="N845">
        <f t="shared" si="27"/>
        <v>0</v>
      </c>
      <c r="O845" t="str">
        <f>VLOOKUP(K845,Agents!$A$1:$C$11,2,0)</f>
        <v>Manish Arora</v>
      </c>
      <c r="P845">
        <f t="shared" si="26"/>
        <v>0</v>
      </c>
    </row>
    <row r="846" spans="1:16" x14ac:dyDescent="0.25">
      <c r="A846" s="2" t="s">
        <v>1342</v>
      </c>
      <c r="B846" s="2" t="s">
        <v>549</v>
      </c>
      <c r="C846" s="2" t="s">
        <v>46</v>
      </c>
      <c r="D846" s="2" t="s">
        <v>61</v>
      </c>
      <c r="E846" s="4">
        <v>46078</v>
      </c>
      <c r="F846" s="4">
        <v>46094</v>
      </c>
      <c r="G846" s="5">
        <v>12275</v>
      </c>
      <c r="H846" s="5">
        <v>0</v>
      </c>
      <c r="I846" s="2" t="s">
        <v>31</v>
      </c>
      <c r="J846" s="2" t="s">
        <v>47</v>
      </c>
      <c r="K846" t="s">
        <v>43</v>
      </c>
      <c r="L846" s="12">
        <f>MIS_Report!$B$2-F846</f>
        <v>216</v>
      </c>
      <c r="M846" t="str" cm="1">
        <f t="array" ref="M846">_xlfn.IFS(L846&lt;=30,"0-30",L846&lt;=60,"31-60",L846&lt;=90,"61-90",TRUE,"90+")</f>
        <v>90+</v>
      </c>
      <c r="N846">
        <f t="shared" si="27"/>
        <v>0</v>
      </c>
      <c r="O846" t="str">
        <f>VLOOKUP(K846,Agents!$A$1:$C$11,2,0)</f>
        <v>Manish Arora</v>
      </c>
      <c r="P846">
        <f t="shared" si="26"/>
        <v>12275</v>
      </c>
    </row>
    <row r="847" spans="1:16" x14ac:dyDescent="0.25">
      <c r="A847" s="2" t="s">
        <v>1343</v>
      </c>
      <c r="B847" s="2" t="s">
        <v>349</v>
      </c>
      <c r="C847" s="2" t="s">
        <v>29</v>
      </c>
      <c r="D847" s="2" t="s">
        <v>61</v>
      </c>
      <c r="E847" s="4">
        <v>46079</v>
      </c>
      <c r="F847" s="4">
        <v>46098</v>
      </c>
      <c r="G847" s="5">
        <v>2625</v>
      </c>
      <c r="H847" s="5"/>
      <c r="I847" s="2" t="s">
        <v>42</v>
      </c>
      <c r="J847" s="2" t="s">
        <v>1541</v>
      </c>
      <c r="K847" t="s">
        <v>38</v>
      </c>
      <c r="L847" s="12">
        <f>MIS_Report!$B$2-F847</f>
        <v>212</v>
      </c>
      <c r="M847" t="str" cm="1">
        <f t="array" ref="M847">_xlfn.IFS(L847&lt;=30,"0-30",L847&lt;=60,"31-60",L847&lt;=90,"61-90",TRUE,"90+")</f>
        <v>90+</v>
      </c>
      <c r="N847">
        <f t="shared" si="27"/>
        <v>2625</v>
      </c>
      <c r="O847" t="str">
        <f>VLOOKUP(K847,Agents!$A$1:$C$11,2,0)</f>
        <v>Sunita Rao</v>
      </c>
      <c r="P847">
        <f t="shared" si="26"/>
        <v>0</v>
      </c>
    </row>
    <row r="848" spans="1:16" x14ac:dyDescent="0.25">
      <c r="A848" s="2" t="s">
        <v>1344</v>
      </c>
      <c r="B848" s="2" t="s">
        <v>1345</v>
      </c>
      <c r="C848" s="2" t="s">
        <v>36</v>
      </c>
      <c r="D848" s="2" t="s">
        <v>30</v>
      </c>
      <c r="E848" s="4">
        <v>46157</v>
      </c>
      <c r="F848" s="4">
        <v>46171</v>
      </c>
      <c r="G848" s="5">
        <v>7500</v>
      </c>
      <c r="H848" s="5">
        <v>0</v>
      </c>
      <c r="I848" s="2" t="s">
        <v>31</v>
      </c>
      <c r="J848" s="2" t="s">
        <v>116</v>
      </c>
      <c r="K848" t="s">
        <v>65</v>
      </c>
      <c r="L848" s="12">
        <f>MIS_Report!$B$2-F848</f>
        <v>139</v>
      </c>
      <c r="M848" t="str" cm="1">
        <f t="array" ref="M848">_xlfn.IFS(L848&lt;=30,"0-30",L848&lt;=60,"31-60",L848&lt;=90,"61-90",TRUE,"90+")</f>
        <v>90+</v>
      </c>
      <c r="N848">
        <f t="shared" si="27"/>
        <v>0</v>
      </c>
      <c r="O848" t="str">
        <f>VLOOKUP(K848,Agents!$A$1:$C$11,2,0)</f>
        <v>Deepak Nair</v>
      </c>
      <c r="P848">
        <f t="shared" si="26"/>
        <v>7500</v>
      </c>
    </row>
    <row r="849" spans="1:16" x14ac:dyDescent="0.25">
      <c r="A849" s="2" t="s">
        <v>1346</v>
      </c>
      <c r="B849" s="2" t="s">
        <v>1347</v>
      </c>
      <c r="C849" s="2" t="s">
        <v>46</v>
      </c>
      <c r="D849" s="2" t="s">
        <v>94</v>
      </c>
      <c r="E849" s="4">
        <v>46062</v>
      </c>
      <c r="F849" s="4">
        <v>46066</v>
      </c>
      <c r="G849" s="5">
        <v>12400</v>
      </c>
      <c r="H849" s="5">
        <v>7054.01</v>
      </c>
      <c r="I849" s="2" t="s">
        <v>37</v>
      </c>
      <c r="J849" s="2" t="s">
        <v>1541</v>
      </c>
      <c r="K849" t="s">
        <v>52</v>
      </c>
      <c r="L849" s="12">
        <f>MIS_Report!$B$2-F849</f>
        <v>244</v>
      </c>
      <c r="M849" t="str" cm="1">
        <f t="array" ref="M849">_xlfn.IFS(L849&lt;=30,"0-30",L849&lt;=60,"31-60",L849&lt;=90,"61-90",TRUE,"90+")</f>
        <v>90+</v>
      </c>
      <c r="N849">
        <f t="shared" si="27"/>
        <v>0</v>
      </c>
      <c r="O849" t="str">
        <f>VLOOKUP(K849,Agents!$A$1:$C$11,2,0)</f>
        <v>Sunita Rao</v>
      </c>
      <c r="P849">
        <f t="shared" si="26"/>
        <v>0</v>
      </c>
    </row>
    <row r="850" spans="1:16" x14ac:dyDescent="0.25">
      <c r="A850" s="2" t="s">
        <v>1348</v>
      </c>
      <c r="B850" s="2" t="s">
        <v>649</v>
      </c>
      <c r="C850" s="2" t="s">
        <v>29</v>
      </c>
      <c r="D850" s="2" t="s">
        <v>80</v>
      </c>
      <c r="E850" s="4">
        <v>46182</v>
      </c>
      <c r="F850" s="4">
        <v>46192</v>
      </c>
      <c r="G850" s="5">
        <v>2700</v>
      </c>
      <c r="H850" s="5">
        <v>0</v>
      </c>
      <c r="I850" s="2" t="s">
        <v>31</v>
      </c>
      <c r="J850" s="2" t="s">
        <v>116</v>
      </c>
      <c r="K850" t="s">
        <v>38</v>
      </c>
      <c r="L850" s="12">
        <f>MIS_Report!$B$2-F850</f>
        <v>118</v>
      </c>
      <c r="M850" t="str" cm="1">
        <f t="array" ref="M850">_xlfn.IFS(L850&lt;=30,"0-30",L850&lt;=60,"31-60",L850&lt;=90,"61-90",TRUE,"90+")</f>
        <v>90+</v>
      </c>
      <c r="N850">
        <f t="shared" si="27"/>
        <v>0</v>
      </c>
      <c r="O850" t="str">
        <f>VLOOKUP(K850,Agents!$A$1:$C$11,2,0)</f>
        <v>Sunita Rao</v>
      </c>
      <c r="P850">
        <f t="shared" si="26"/>
        <v>2700</v>
      </c>
    </row>
    <row r="851" spans="1:16" x14ac:dyDescent="0.25">
      <c r="A851" s="2" t="s">
        <v>1349</v>
      </c>
      <c r="B851" s="2" t="s">
        <v>1202</v>
      </c>
      <c r="C851" s="2" t="s">
        <v>79</v>
      </c>
      <c r="D851" s="2" t="s">
        <v>94</v>
      </c>
      <c r="E851" s="4">
        <v>46064</v>
      </c>
      <c r="F851" s="4">
        <v>46077</v>
      </c>
      <c r="G851" s="5">
        <v>12725</v>
      </c>
      <c r="H851" s="5">
        <v>8099.71</v>
      </c>
      <c r="I851" s="2" t="s">
        <v>37</v>
      </c>
      <c r="J851" s="2" t="s">
        <v>1541</v>
      </c>
      <c r="K851" t="s">
        <v>48</v>
      </c>
      <c r="L851" s="12">
        <f>MIS_Report!$B$2-F851</f>
        <v>233</v>
      </c>
      <c r="M851" t="str" cm="1">
        <f t="array" ref="M851">_xlfn.IFS(L851&lt;=30,"0-30",L851&lt;=60,"31-60",L851&lt;=90,"61-90",TRUE,"90+")</f>
        <v>90+</v>
      </c>
      <c r="N851">
        <f t="shared" si="27"/>
        <v>0</v>
      </c>
      <c r="O851" t="str">
        <f>VLOOKUP(K851,Agents!$A$1:$C$11,2,0)</f>
        <v>Manish Arora</v>
      </c>
      <c r="P851">
        <f t="shared" si="26"/>
        <v>0</v>
      </c>
    </row>
    <row r="852" spans="1:16" x14ac:dyDescent="0.25">
      <c r="A852" s="2" t="s">
        <v>1350</v>
      </c>
      <c r="B852" s="2" t="s">
        <v>749</v>
      </c>
      <c r="C852" s="2" t="s">
        <v>29</v>
      </c>
      <c r="D852" s="2" t="s">
        <v>55</v>
      </c>
      <c r="E852" s="4">
        <v>46090</v>
      </c>
      <c r="F852" s="4">
        <v>46101</v>
      </c>
      <c r="G852" s="5">
        <v>6475</v>
      </c>
      <c r="H852" s="5">
        <v>4902.2700000000004</v>
      </c>
      <c r="I852" s="2" t="s">
        <v>37</v>
      </c>
      <c r="J852" s="2" t="s">
        <v>1541</v>
      </c>
      <c r="K852" t="s">
        <v>43</v>
      </c>
      <c r="L852" s="12">
        <f>MIS_Report!$B$2-F852</f>
        <v>209</v>
      </c>
      <c r="M852" t="str" cm="1">
        <f t="array" ref="M852">_xlfn.IFS(L852&lt;=30,"0-30",L852&lt;=60,"31-60",L852&lt;=90,"61-90",TRUE,"90+")</f>
        <v>90+</v>
      </c>
      <c r="N852">
        <f t="shared" si="27"/>
        <v>0</v>
      </c>
      <c r="O852" t="str">
        <f>VLOOKUP(K852,Agents!$A$1:$C$11,2,0)</f>
        <v>Manish Arora</v>
      </c>
      <c r="P852">
        <f t="shared" si="26"/>
        <v>0</v>
      </c>
    </row>
    <row r="853" spans="1:16" x14ac:dyDescent="0.25">
      <c r="A853" s="2" t="s">
        <v>1351</v>
      </c>
      <c r="B853" s="2" t="s">
        <v>1352</v>
      </c>
      <c r="C853" s="2" t="s">
        <v>36</v>
      </c>
      <c r="D853" s="2" t="s">
        <v>71</v>
      </c>
      <c r="E853" s="4">
        <v>46197</v>
      </c>
      <c r="F853" s="4">
        <v>46215</v>
      </c>
      <c r="G853" s="5">
        <v>4125</v>
      </c>
      <c r="H853" s="5"/>
      <c r="I853" s="2" t="s">
        <v>42</v>
      </c>
      <c r="J853" s="2" t="s">
        <v>1541</v>
      </c>
      <c r="K853" t="s">
        <v>56</v>
      </c>
      <c r="L853" s="12">
        <f>MIS_Report!$B$2-F853</f>
        <v>95</v>
      </c>
      <c r="M853" t="str" cm="1">
        <f t="array" ref="M853">_xlfn.IFS(L853&lt;=30,"0-30",L853&lt;=60,"31-60",L853&lt;=90,"61-90",TRUE,"90+")</f>
        <v>90+</v>
      </c>
      <c r="N853">
        <f t="shared" si="27"/>
        <v>4125</v>
      </c>
      <c r="O853" t="str">
        <f>VLOOKUP(K853,Agents!$A$1:$C$11,2,0)</f>
        <v>Manish Arora</v>
      </c>
      <c r="P853">
        <f t="shared" si="26"/>
        <v>0</v>
      </c>
    </row>
    <row r="854" spans="1:16" x14ac:dyDescent="0.25">
      <c r="A854" s="2" t="s">
        <v>1353</v>
      </c>
      <c r="B854" s="2" t="s">
        <v>617</v>
      </c>
      <c r="C854" s="2" t="s">
        <v>36</v>
      </c>
      <c r="D854" s="2" t="s">
        <v>30</v>
      </c>
      <c r="E854" s="4">
        <v>46170</v>
      </c>
      <c r="F854" s="4">
        <v>46181</v>
      </c>
      <c r="G854" s="5">
        <v>9575</v>
      </c>
      <c r="H854" s="5">
        <v>8674.99</v>
      </c>
      <c r="I854" s="2" t="s">
        <v>37</v>
      </c>
      <c r="J854" s="2" t="s">
        <v>1541</v>
      </c>
      <c r="K854" t="s">
        <v>83</v>
      </c>
      <c r="L854" s="12">
        <f>MIS_Report!$B$2-F854</f>
        <v>129</v>
      </c>
      <c r="M854" t="str" cm="1">
        <f t="array" ref="M854">_xlfn.IFS(L854&lt;=30,"0-30",L854&lt;=60,"31-60",L854&lt;=90,"61-90",TRUE,"90+")</f>
        <v>90+</v>
      </c>
      <c r="N854">
        <f t="shared" si="27"/>
        <v>0</v>
      </c>
      <c r="O854" t="str">
        <f>VLOOKUP(K854,Agents!$A$1:$C$11,2,0)</f>
        <v>Deepak Nair</v>
      </c>
      <c r="P854">
        <f t="shared" si="26"/>
        <v>0</v>
      </c>
    </row>
    <row r="855" spans="1:16" x14ac:dyDescent="0.25">
      <c r="A855" s="2" t="s">
        <v>1354</v>
      </c>
      <c r="B855" s="2" t="s">
        <v>1355</v>
      </c>
      <c r="C855" s="2" t="s">
        <v>29</v>
      </c>
      <c r="D855" s="2" t="s">
        <v>30</v>
      </c>
      <c r="E855" s="4">
        <v>46071</v>
      </c>
      <c r="F855" s="4">
        <v>46091</v>
      </c>
      <c r="G855" s="5">
        <v>4425</v>
      </c>
      <c r="H855" s="5">
        <v>4363.6899999999996</v>
      </c>
      <c r="I855" s="2" t="s">
        <v>37</v>
      </c>
      <c r="J855" s="2" t="s">
        <v>1541</v>
      </c>
      <c r="K855" t="s">
        <v>48</v>
      </c>
      <c r="L855" s="12">
        <f>MIS_Report!$B$2-F855</f>
        <v>219</v>
      </c>
      <c r="M855" t="str" cm="1">
        <f t="array" ref="M855">_xlfn.IFS(L855&lt;=30,"0-30",L855&lt;=60,"31-60",L855&lt;=90,"61-90",TRUE,"90+")</f>
        <v>90+</v>
      </c>
      <c r="N855">
        <f t="shared" si="27"/>
        <v>0</v>
      </c>
      <c r="O855" t="str">
        <f>VLOOKUP(K855,Agents!$A$1:$C$11,2,0)</f>
        <v>Manish Arora</v>
      </c>
      <c r="P855">
        <f t="shared" si="26"/>
        <v>0</v>
      </c>
    </row>
    <row r="856" spans="1:16" x14ac:dyDescent="0.25">
      <c r="A856" s="2" t="s">
        <v>1356</v>
      </c>
      <c r="B856" s="2" t="s">
        <v>1345</v>
      </c>
      <c r="C856" s="2" t="s">
        <v>79</v>
      </c>
      <c r="D856" s="2" t="s">
        <v>68</v>
      </c>
      <c r="E856" s="4">
        <v>46012</v>
      </c>
      <c r="F856" s="4">
        <v>46032</v>
      </c>
      <c r="G856" s="5">
        <v>1425</v>
      </c>
      <c r="H856" s="5">
        <v>923.17</v>
      </c>
      <c r="I856" s="2" t="s">
        <v>37</v>
      </c>
      <c r="J856" s="2" t="s">
        <v>1541</v>
      </c>
      <c r="K856" t="s">
        <v>83</v>
      </c>
      <c r="L856" s="12">
        <f>MIS_Report!$B$2-F856</f>
        <v>278</v>
      </c>
      <c r="M856" t="str" cm="1">
        <f t="array" ref="M856">_xlfn.IFS(L856&lt;=30,"0-30",L856&lt;=60,"31-60",L856&lt;=90,"61-90",TRUE,"90+")</f>
        <v>90+</v>
      </c>
      <c r="N856">
        <f t="shared" si="27"/>
        <v>0</v>
      </c>
      <c r="O856" t="str">
        <f>VLOOKUP(K856,Agents!$A$1:$C$11,2,0)</f>
        <v>Deepak Nair</v>
      </c>
      <c r="P856">
        <f t="shared" si="26"/>
        <v>0</v>
      </c>
    </row>
    <row r="857" spans="1:16" x14ac:dyDescent="0.25">
      <c r="A857" s="2" t="s">
        <v>1357</v>
      </c>
      <c r="B857" s="2" t="s">
        <v>493</v>
      </c>
      <c r="C857" s="2" t="s">
        <v>29</v>
      </c>
      <c r="D857" s="2" t="s">
        <v>30</v>
      </c>
      <c r="E857" s="4">
        <v>46226</v>
      </c>
      <c r="F857" s="4">
        <v>46246</v>
      </c>
      <c r="G857" s="5">
        <v>3350</v>
      </c>
      <c r="H857" s="5">
        <v>2251.8200000000002</v>
      </c>
      <c r="I857" s="2" t="s">
        <v>37</v>
      </c>
      <c r="J857" s="2" t="s">
        <v>1541</v>
      </c>
      <c r="K857" t="s">
        <v>52</v>
      </c>
      <c r="L857" s="12">
        <f>MIS_Report!$B$2-F857</f>
        <v>64</v>
      </c>
      <c r="M857" t="str" cm="1">
        <f t="array" ref="M857">_xlfn.IFS(L857&lt;=30,"0-30",L857&lt;=60,"31-60",L857&lt;=90,"61-90",TRUE,"90+")</f>
        <v>61-90</v>
      </c>
      <c r="N857">
        <f t="shared" si="27"/>
        <v>0</v>
      </c>
      <c r="O857" t="str">
        <f>VLOOKUP(K857,Agents!$A$1:$C$11,2,0)</f>
        <v>Sunita Rao</v>
      </c>
      <c r="P857">
        <f t="shared" si="26"/>
        <v>0</v>
      </c>
    </row>
    <row r="858" spans="1:16" x14ac:dyDescent="0.25">
      <c r="A858" s="2" t="s">
        <v>1358</v>
      </c>
      <c r="B858" s="2" t="s">
        <v>237</v>
      </c>
      <c r="C858" s="2" t="s">
        <v>29</v>
      </c>
      <c r="D858" s="2" t="s">
        <v>41</v>
      </c>
      <c r="E858" s="4">
        <v>46201</v>
      </c>
      <c r="F858" s="4">
        <v>46215</v>
      </c>
      <c r="G858" s="5">
        <v>325</v>
      </c>
      <c r="H858" s="5">
        <v>236.8</v>
      </c>
      <c r="I858" s="2" t="s">
        <v>37</v>
      </c>
      <c r="J858" s="2" t="s">
        <v>1541</v>
      </c>
      <c r="K858" t="s">
        <v>62</v>
      </c>
      <c r="L858" s="12">
        <f>MIS_Report!$B$2-F858</f>
        <v>95</v>
      </c>
      <c r="M858" t="str" cm="1">
        <f t="array" ref="M858">_xlfn.IFS(L858&lt;=30,"0-30",L858&lt;=60,"31-60",L858&lt;=90,"61-90",TRUE,"90+")</f>
        <v>90+</v>
      </c>
      <c r="N858">
        <f t="shared" si="27"/>
        <v>0</v>
      </c>
      <c r="O858" t="str">
        <f>VLOOKUP(K858,Agents!$A$1:$C$11,2,0)</f>
        <v>Sunita Rao</v>
      </c>
      <c r="P858">
        <f t="shared" si="26"/>
        <v>0</v>
      </c>
    </row>
    <row r="859" spans="1:16" x14ac:dyDescent="0.25">
      <c r="A859" s="2" t="s">
        <v>1359</v>
      </c>
      <c r="B859" s="2" t="s">
        <v>1360</v>
      </c>
      <c r="C859" s="2" t="s">
        <v>46</v>
      </c>
      <c r="D859" s="2" t="s">
        <v>55</v>
      </c>
      <c r="E859" s="4">
        <v>46065</v>
      </c>
      <c r="F859" s="4">
        <v>46068</v>
      </c>
      <c r="G859" s="5">
        <v>4175</v>
      </c>
      <c r="H859" s="5">
        <v>3286.42</v>
      </c>
      <c r="I859" s="2" t="s">
        <v>37</v>
      </c>
      <c r="J859" s="2" t="s">
        <v>1541</v>
      </c>
      <c r="K859" t="s">
        <v>33</v>
      </c>
      <c r="L859" s="12">
        <f>MIS_Report!$B$2-F859</f>
        <v>242</v>
      </c>
      <c r="M859" t="str" cm="1">
        <f t="array" ref="M859">_xlfn.IFS(L859&lt;=30,"0-30",L859&lt;=60,"31-60",L859&lt;=90,"61-90",TRUE,"90+")</f>
        <v>90+</v>
      </c>
      <c r="N859">
        <f t="shared" si="27"/>
        <v>0</v>
      </c>
      <c r="O859" t="str">
        <f>VLOOKUP(K859,Agents!$A$1:$C$11,2,0)</f>
        <v>Manish Arora</v>
      </c>
      <c r="P859">
        <f t="shared" si="26"/>
        <v>0</v>
      </c>
    </row>
    <row r="860" spans="1:16" x14ac:dyDescent="0.25">
      <c r="A860" s="2" t="s">
        <v>1361</v>
      </c>
      <c r="B860" s="2" t="s">
        <v>409</v>
      </c>
      <c r="C860" s="2" t="s">
        <v>36</v>
      </c>
      <c r="D860" s="2" t="s">
        <v>30</v>
      </c>
      <c r="E860" s="4">
        <v>46033</v>
      </c>
      <c r="F860" s="4">
        <v>46044</v>
      </c>
      <c r="G860" s="5">
        <v>5675</v>
      </c>
      <c r="H860" s="5"/>
      <c r="I860" s="2" t="s">
        <v>42</v>
      </c>
      <c r="J860" s="2" t="s">
        <v>1541</v>
      </c>
      <c r="K860" t="s">
        <v>83</v>
      </c>
      <c r="L860" s="12">
        <f>MIS_Report!$B$2-F860</f>
        <v>266</v>
      </c>
      <c r="M860" t="str" cm="1">
        <f t="array" ref="M860">_xlfn.IFS(L860&lt;=30,"0-30",L860&lt;=60,"31-60",L860&lt;=90,"61-90",TRUE,"90+")</f>
        <v>90+</v>
      </c>
      <c r="N860">
        <f t="shared" si="27"/>
        <v>5675</v>
      </c>
      <c r="O860" t="str">
        <f>VLOOKUP(K860,Agents!$A$1:$C$11,2,0)</f>
        <v>Deepak Nair</v>
      </c>
      <c r="P860">
        <f t="shared" si="26"/>
        <v>0</v>
      </c>
    </row>
    <row r="861" spans="1:16" x14ac:dyDescent="0.25">
      <c r="A861" s="2" t="s">
        <v>1362</v>
      </c>
      <c r="B861" s="2" t="s">
        <v>1363</v>
      </c>
      <c r="C861" s="2" t="s">
        <v>79</v>
      </c>
      <c r="D861" s="2" t="s">
        <v>61</v>
      </c>
      <c r="E861" s="4">
        <v>46200</v>
      </c>
      <c r="F861" s="4">
        <v>46217</v>
      </c>
      <c r="G861" s="5">
        <v>14450</v>
      </c>
      <c r="H861" s="5">
        <v>10776.45</v>
      </c>
      <c r="I861" s="2" t="s">
        <v>37</v>
      </c>
      <c r="J861" s="2" t="s">
        <v>1541</v>
      </c>
      <c r="K861" t="s">
        <v>52</v>
      </c>
      <c r="L861" s="12">
        <f>MIS_Report!$B$2-F861</f>
        <v>93</v>
      </c>
      <c r="M861" t="str" cm="1">
        <f t="array" ref="M861">_xlfn.IFS(L861&lt;=30,"0-30",L861&lt;=60,"31-60",L861&lt;=90,"61-90",TRUE,"90+")</f>
        <v>90+</v>
      </c>
      <c r="N861">
        <f t="shared" si="27"/>
        <v>0</v>
      </c>
      <c r="O861" t="str">
        <f>VLOOKUP(K861,Agents!$A$1:$C$11,2,0)</f>
        <v>Sunita Rao</v>
      </c>
      <c r="P861">
        <f t="shared" si="26"/>
        <v>0</v>
      </c>
    </row>
    <row r="862" spans="1:16" x14ac:dyDescent="0.25">
      <c r="A862" s="2" t="s">
        <v>1364</v>
      </c>
      <c r="B862" s="2" t="s">
        <v>1365</v>
      </c>
      <c r="C862" s="2" t="s">
        <v>46</v>
      </c>
      <c r="D862" s="2" t="s">
        <v>94</v>
      </c>
      <c r="E862" s="4">
        <v>46193</v>
      </c>
      <c r="F862" s="4">
        <v>46211</v>
      </c>
      <c r="G862" s="5">
        <v>4275</v>
      </c>
      <c r="H862" s="5">
        <v>4159.72</v>
      </c>
      <c r="I862" s="2" t="s">
        <v>37</v>
      </c>
      <c r="J862" s="2" t="s">
        <v>1541</v>
      </c>
      <c r="K862" t="s">
        <v>65</v>
      </c>
      <c r="L862" s="12">
        <f>MIS_Report!$B$2-F862</f>
        <v>99</v>
      </c>
      <c r="M862" t="str" cm="1">
        <f t="array" ref="M862">_xlfn.IFS(L862&lt;=30,"0-30",L862&lt;=60,"31-60",L862&lt;=90,"61-90",TRUE,"90+")</f>
        <v>90+</v>
      </c>
      <c r="N862">
        <f t="shared" si="27"/>
        <v>0</v>
      </c>
      <c r="O862" t="str">
        <f>VLOOKUP(K862,Agents!$A$1:$C$11,2,0)</f>
        <v>Deepak Nair</v>
      </c>
      <c r="P862">
        <f t="shared" si="26"/>
        <v>0</v>
      </c>
    </row>
    <row r="863" spans="1:16" x14ac:dyDescent="0.25">
      <c r="A863" s="2" t="s">
        <v>1366</v>
      </c>
      <c r="B863" s="2" t="s">
        <v>138</v>
      </c>
      <c r="C863" s="2" t="s">
        <v>46</v>
      </c>
      <c r="D863" s="2" t="s">
        <v>41</v>
      </c>
      <c r="E863" s="4">
        <v>46178</v>
      </c>
      <c r="F863" s="4">
        <v>46192</v>
      </c>
      <c r="G863" s="5">
        <v>3300</v>
      </c>
      <c r="H863" s="5">
        <v>1863.82</v>
      </c>
      <c r="I863" s="2" t="s">
        <v>37</v>
      </c>
      <c r="J863" s="2" t="s">
        <v>1541</v>
      </c>
      <c r="K863" t="s">
        <v>83</v>
      </c>
      <c r="L863" s="12">
        <f>MIS_Report!$B$2-F863</f>
        <v>118</v>
      </c>
      <c r="M863" t="str" cm="1">
        <f t="array" ref="M863">_xlfn.IFS(L863&lt;=30,"0-30",L863&lt;=60,"31-60",L863&lt;=90,"61-90",TRUE,"90+")</f>
        <v>90+</v>
      </c>
      <c r="N863">
        <f t="shared" si="27"/>
        <v>0</v>
      </c>
      <c r="O863" t="str">
        <f>VLOOKUP(K863,Agents!$A$1:$C$11,2,0)</f>
        <v>Deepak Nair</v>
      </c>
      <c r="P863">
        <f t="shared" si="26"/>
        <v>0</v>
      </c>
    </row>
    <row r="864" spans="1:16" x14ac:dyDescent="0.25">
      <c r="A864" s="2" t="s">
        <v>1367</v>
      </c>
      <c r="B864" s="2" t="s">
        <v>290</v>
      </c>
      <c r="C864" s="2" t="s">
        <v>36</v>
      </c>
      <c r="D864" s="2" t="s">
        <v>61</v>
      </c>
      <c r="E864" s="4">
        <v>46089</v>
      </c>
      <c r="F864" s="4">
        <v>46103</v>
      </c>
      <c r="G864" s="5">
        <v>14700</v>
      </c>
      <c r="H864" s="5">
        <v>13771.23</v>
      </c>
      <c r="I864" s="2" t="s">
        <v>37</v>
      </c>
      <c r="J864" s="2" t="s">
        <v>1541</v>
      </c>
      <c r="K864" t="s">
        <v>83</v>
      </c>
      <c r="L864" s="12">
        <f>MIS_Report!$B$2-F864</f>
        <v>207</v>
      </c>
      <c r="M864" t="str" cm="1">
        <f t="array" ref="M864">_xlfn.IFS(L864&lt;=30,"0-30",L864&lt;=60,"31-60",L864&lt;=90,"61-90",TRUE,"90+")</f>
        <v>90+</v>
      </c>
      <c r="N864">
        <f t="shared" si="27"/>
        <v>0</v>
      </c>
      <c r="O864" t="str">
        <f>VLOOKUP(K864,Agents!$A$1:$C$11,2,0)</f>
        <v>Deepak Nair</v>
      </c>
      <c r="P864">
        <f t="shared" si="26"/>
        <v>0</v>
      </c>
    </row>
    <row r="865" spans="1:16" x14ac:dyDescent="0.25">
      <c r="A865" s="2" t="s">
        <v>1368</v>
      </c>
      <c r="B865" s="2" t="s">
        <v>1183</v>
      </c>
      <c r="C865" s="2" t="s">
        <v>79</v>
      </c>
      <c r="D865" s="2" t="s">
        <v>94</v>
      </c>
      <c r="E865" s="4">
        <v>46221</v>
      </c>
      <c r="F865" s="4">
        <v>46230</v>
      </c>
      <c r="G865" s="5">
        <v>6875</v>
      </c>
      <c r="H865" s="5">
        <v>5847.86</v>
      </c>
      <c r="I865" s="2" t="s">
        <v>37</v>
      </c>
      <c r="J865" s="2" t="s">
        <v>1541</v>
      </c>
      <c r="K865" t="s">
        <v>65</v>
      </c>
      <c r="L865" s="12">
        <f>MIS_Report!$B$2-F865</f>
        <v>80</v>
      </c>
      <c r="M865" t="str" cm="1">
        <f t="array" ref="M865">_xlfn.IFS(L865&lt;=30,"0-30",L865&lt;=60,"31-60",L865&lt;=90,"61-90",TRUE,"90+")</f>
        <v>61-90</v>
      </c>
      <c r="N865">
        <f t="shared" si="27"/>
        <v>0</v>
      </c>
      <c r="O865" t="str">
        <f>VLOOKUP(K865,Agents!$A$1:$C$11,2,0)</f>
        <v>Deepak Nair</v>
      </c>
      <c r="P865">
        <f t="shared" si="26"/>
        <v>0</v>
      </c>
    </row>
    <row r="866" spans="1:16" x14ac:dyDescent="0.25">
      <c r="A866" s="2" t="s">
        <v>1369</v>
      </c>
      <c r="B866" s="2" t="s">
        <v>1370</v>
      </c>
      <c r="C866" s="2" t="s">
        <v>46</v>
      </c>
      <c r="D866" s="2" t="s">
        <v>41</v>
      </c>
      <c r="E866" s="4">
        <v>46293</v>
      </c>
      <c r="F866" s="4">
        <v>46297</v>
      </c>
      <c r="G866" s="5">
        <v>13875</v>
      </c>
      <c r="H866" s="5">
        <v>10991.45</v>
      </c>
      <c r="I866" s="2" t="s">
        <v>37</v>
      </c>
      <c r="J866" s="2" t="s">
        <v>1541</v>
      </c>
      <c r="K866" t="s">
        <v>56</v>
      </c>
      <c r="L866" s="12">
        <f>MIS_Report!$B$2-F866</f>
        <v>13</v>
      </c>
      <c r="M866" t="str" cm="1">
        <f t="array" ref="M866">_xlfn.IFS(L866&lt;=30,"0-30",L866&lt;=60,"31-60",L866&lt;=90,"61-90",TRUE,"90+")</f>
        <v>0-30</v>
      </c>
      <c r="N866">
        <f t="shared" si="27"/>
        <v>0</v>
      </c>
      <c r="O866" t="str">
        <f>VLOOKUP(K866,Agents!$A$1:$C$11,2,0)</f>
        <v>Manish Arora</v>
      </c>
      <c r="P866">
        <f t="shared" si="26"/>
        <v>0</v>
      </c>
    </row>
    <row r="867" spans="1:16" x14ac:dyDescent="0.25">
      <c r="A867" s="2" t="s">
        <v>1371</v>
      </c>
      <c r="B867" s="2" t="s">
        <v>1317</v>
      </c>
      <c r="C867" s="2" t="s">
        <v>29</v>
      </c>
      <c r="D867" s="2" t="s">
        <v>61</v>
      </c>
      <c r="E867" s="4">
        <v>46042</v>
      </c>
      <c r="F867" s="4">
        <v>46056</v>
      </c>
      <c r="G867" s="5">
        <v>4375</v>
      </c>
      <c r="H867" s="5">
        <v>4300.63</v>
      </c>
      <c r="I867" s="2" t="s">
        <v>37</v>
      </c>
      <c r="J867" s="2" t="s">
        <v>1541</v>
      </c>
      <c r="K867" t="s">
        <v>33</v>
      </c>
      <c r="L867" s="12">
        <f>MIS_Report!$B$2-F867</f>
        <v>254</v>
      </c>
      <c r="M867" t="str" cm="1">
        <f t="array" ref="M867">_xlfn.IFS(L867&lt;=30,"0-30",L867&lt;=60,"31-60",L867&lt;=90,"61-90",TRUE,"90+")</f>
        <v>90+</v>
      </c>
      <c r="N867">
        <f t="shared" si="27"/>
        <v>0</v>
      </c>
      <c r="O867" t="str">
        <f>VLOOKUP(K867,Agents!$A$1:$C$11,2,0)</f>
        <v>Manish Arora</v>
      </c>
      <c r="P867">
        <f t="shared" si="26"/>
        <v>0</v>
      </c>
    </row>
    <row r="868" spans="1:16" x14ac:dyDescent="0.25">
      <c r="A868" s="2" t="s">
        <v>1372</v>
      </c>
      <c r="B868" s="2" t="s">
        <v>513</v>
      </c>
      <c r="C868" s="2" t="s">
        <v>46</v>
      </c>
      <c r="D868" s="2" t="s">
        <v>61</v>
      </c>
      <c r="E868" s="4">
        <v>46041</v>
      </c>
      <c r="F868" s="4">
        <v>46053</v>
      </c>
      <c r="G868" s="5">
        <v>14825</v>
      </c>
      <c r="H868" s="5">
        <v>11148.76</v>
      </c>
      <c r="I868" s="2" t="s">
        <v>37</v>
      </c>
      <c r="J868" s="2" t="s">
        <v>1541</v>
      </c>
      <c r="K868" t="s">
        <v>62</v>
      </c>
      <c r="L868" s="12">
        <f>MIS_Report!$B$2-F868</f>
        <v>257</v>
      </c>
      <c r="M868" t="str" cm="1">
        <f t="array" ref="M868">_xlfn.IFS(L868&lt;=30,"0-30",L868&lt;=60,"31-60",L868&lt;=90,"61-90",TRUE,"90+")</f>
        <v>90+</v>
      </c>
      <c r="N868">
        <f t="shared" si="27"/>
        <v>0</v>
      </c>
      <c r="O868" t="str">
        <f>VLOOKUP(K868,Agents!$A$1:$C$11,2,0)</f>
        <v>Sunita Rao</v>
      </c>
      <c r="P868">
        <f t="shared" si="26"/>
        <v>0</v>
      </c>
    </row>
    <row r="869" spans="1:16" x14ac:dyDescent="0.25">
      <c r="A869" s="2" t="s">
        <v>1373</v>
      </c>
      <c r="B869" s="2" t="s">
        <v>89</v>
      </c>
      <c r="C869" s="2" t="s">
        <v>29</v>
      </c>
      <c r="D869" s="2" t="s">
        <v>30</v>
      </c>
      <c r="E869" s="4">
        <v>46178</v>
      </c>
      <c r="F869" s="4">
        <v>46186</v>
      </c>
      <c r="G869" s="5">
        <v>3550</v>
      </c>
      <c r="H869" s="5">
        <v>0</v>
      </c>
      <c r="I869" s="2" t="s">
        <v>31</v>
      </c>
      <c r="J869" s="2" t="s">
        <v>32</v>
      </c>
      <c r="K869" t="s">
        <v>52</v>
      </c>
      <c r="L869" s="12">
        <f>MIS_Report!$B$2-F869</f>
        <v>124</v>
      </c>
      <c r="M869" t="str" cm="1">
        <f t="array" ref="M869">_xlfn.IFS(L869&lt;=30,"0-30",L869&lt;=60,"31-60",L869&lt;=90,"61-90",TRUE,"90+")</f>
        <v>90+</v>
      </c>
      <c r="N869">
        <f t="shared" si="27"/>
        <v>0</v>
      </c>
      <c r="O869" t="str">
        <f>VLOOKUP(K869,Agents!$A$1:$C$11,2,0)</f>
        <v>Sunita Rao</v>
      </c>
      <c r="P869">
        <f t="shared" si="26"/>
        <v>3550</v>
      </c>
    </row>
    <row r="870" spans="1:16" x14ac:dyDescent="0.25">
      <c r="A870" s="2" t="s">
        <v>1374</v>
      </c>
      <c r="B870" s="2" t="s">
        <v>679</v>
      </c>
      <c r="C870" s="2" t="s">
        <v>46</v>
      </c>
      <c r="D870" s="2" t="s">
        <v>80</v>
      </c>
      <c r="E870" s="4">
        <v>46221</v>
      </c>
      <c r="F870" s="4">
        <v>46235</v>
      </c>
      <c r="G870" s="5">
        <v>5800</v>
      </c>
      <c r="H870" s="5"/>
      <c r="I870" s="2" t="s">
        <v>42</v>
      </c>
      <c r="J870" s="2" t="s">
        <v>1541</v>
      </c>
      <c r="K870" t="s">
        <v>65</v>
      </c>
      <c r="L870" s="12">
        <f>MIS_Report!$B$2-F870</f>
        <v>75</v>
      </c>
      <c r="M870" t="str" cm="1">
        <f t="array" ref="M870">_xlfn.IFS(L870&lt;=30,"0-30",L870&lt;=60,"31-60",L870&lt;=90,"61-90",TRUE,"90+")</f>
        <v>61-90</v>
      </c>
      <c r="N870">
        <f t="shared" si="27"/>
        <v>5800</v>
      </c>
      <c r="O870" t="str">
        <f>VLOOKUP(K870,Agents!$A$1:$C$11,2,0)</f>
        <v>Deepak Nair</v>
      </c>
      <c r="P870">
        <f t="shared" si="26"/>
        <v>0</v>
      </c>
    </row>
    <row r="871" spans="1:16" x14ac:dyDescent="0.25">
      <c r="A871" s="2" t="s">
        <v>1375</v>
      </c>
      <c r="B871" s="2" t="s">
        <v>1376</v>
      </c>
      <c r="C871" s="2" t="s">
        <v>46</v>
      </c>
      <c r="D871" s="2" t="s">
        <v>41</v>
      </c>
      <c r="E871" s="4">
        <v>46167</v>
      </c>
      <c r="F871" s="4">
        <v>46171</v>
      </c>
      <c r="G871" s="5">
        <v>4100</v>
      </c>
      <c r="H871" s="5">
        <v>0</v>
      </c>
      <c r="I871" s="2" t="s">
        <v>31</v>
      </c>
      <c r="J871" s="2" t="s">
        <v>47</v>
      </c>
      <c r="K871" t="s">
        <v>33</v>
      </c>
      <c r="L871" s="12">
        <f>MIS_Report!$B$2-F871</f>
        <v>139</v>
      </c>
      <c r="M871" t="str" cm="1">
        <f t="array" ref="M871">_xlfn.IFS(L871&lt;=30,"0-30",L871&lt;=60,"31-60",L871&lt;=90,"61-90",TRUE,"90+")</f>
        <v>90+</v>
      </c>
      <c r="N871">
        <f t="shared" si="27"/>
        <v>0</v>
      </c>
      <c r="O871" t="str">
        <f>VLOOKUP(K871,Agents!$A$1:$C$11,2,0)</f>
        <v>Manish Arora</v>
      </c>
      <c r="P871">
        <f t="shared" si="26"/>
        <v>4100</v>
      </c>
    </row>
    <row r="872" spans="1:16" x14ac:dyDescent="0.25">
      <c r="A872" s="2" t="s">
        <v>1377</v>
      </c>
      <c r="B872" s="2" t="s">
        <v>894</v>
      </c>
      <c r="C872" s="2" t="s">
        <v>79</v>
      </c>
      <c r="D872" s="2" t="s">
        <v>80</v>
      </c>
      <c r="E872" s="4">
        <v>46075</v>
      </c>
      <c r="F872" s="4">
        <v>46084</v>
      </c>
      <c r="G872" s="5">
        <v>8000</v>
      </c>
      <c r="H872" s="5">
        <v>5718.28</v>
      </c>
      <c r="I872" s="2" t="s">
        <v>37</v>
      </c>
      <c r="J872" s="2" t="s">
        <v>1541</v>
      </c>
      <c r="K872" t="s">
        <v>33</v>
      </c>
      <c r="L872" s="12">
        <f>MIS_Report!$B$2-F872</f>
        <v>226</v>
      </c>
      <c r="M872" t="str" cm="1">
        <f t="array" ref="M872">_xlfn.IFS(L872&lt;=30,"0-30",L872&lt;=60,"31-60",L872&lt;=90,"61-90",TRUE,"90+")</f>
        <v>90+</v>
      </c>
      <c r="N872">
        <f t="shared" si="27"/>
        <v>0</v>
      </c>
      <c r="O872" t="str">
        <f>VLOOKUP(K872,Agents!$A$1:$C$11,2,0)</f>
        <v>Manish Arora</v>
      </c>
      <c r="P872">
        <f t="shared" si="26"/>
        <v>0</v>
      </c>
    </row>
    <row r="873" spans="1:16" x14ac:dyDescent="0.25">
      <c r="A873" s="2" t="s">
        <v>1378</v>
      </c>
      <c r="B873" s="2" t="s">
        <v>803</v>
      </c>
      <c r="C873" s="2" t="s">
        <v>79</v>
      </c>
      <c r="D873" s="2" t="s">
        <v>94</v>
      </c>
      <c r="E873" s="4">
        <v>46034</v>
      </c>
      <c r="F873" s="4">
        <v>46053</v>
      </c>
      <c r="G873" s="5">
        <v>12075</v>
      </c>
      <c r="H873" s="5">
        <v>6657.32</v>
      </c>
      <c r="I873" s="2" t="s">
        <v>37</v>
      </c>
      <c r="J873" s="2" t="s">
        <v>1541</v>
      </c>
      <c r="K873" t="s">
        <v>56</v>
      </c>
      <c r="L873" s="12">
        <f>MIS_Report!$B$2-F873</f>
        <v>257</v>
      </c>
      <c r="M873" t="str" cm="1">
        <f t="array" ref="M873">_xlfn.IFS(L873&lt;=30,"0-30",L873&lt;=60,"31-60",L873&lt;=90,"61-90",TRUE,"90+")</f>
        <v>90+</v>
      </c>
      <c r="N873">
        <f t="shared" si="27"/>
        <v>0</v>
      </c>
      <c r="O873" t="str">
        <f>VLOOKUP(K873,Agents!$A$1:$C$11,2,0)</f>
        <v>Manish Arora</v>
      </c>
      <c r="P873">
        <f t="shared" si="26"/>
        <v>0</v>
      </c>
    </row>
    <row r="874" spans="1:16" x14ac:dyDescent="0.25">
      <c r="A874" s="2" t="s">
        <v>1379</v>
      </c>
      <c r="B874" s="2" t="s">
        <v>894</v>
      </c>
      <c r="C874" s="2" t="s">
        <v>79</v>
      </c>
      <c r="D874" s="2" t="s">
        <v>41</v>
      </c>
      <c r="E874" s="4">
        <v>46224</v>
      </c>
      <c r="F874" s="4">
        <v>46237</v>
      </c>
      <c r="G874" s="5">
        <v>3575</v>
      </c>
      <c r="H874" s="5">
        <v>0</v>
      </c>
      <c r="I874" s="2" t="s">
        <v>31</v>
      </c>
      <c r="J874" s="2" t="s">
        <v>72</v>
      </c>
      <c r="K874" t="s">
        <v>56</v>
      </c>
      <c r="L874" s="12">
        <f>MIS_Report!$B$2-F874</f>
        <v>73</v>
      </c>
      <c r="M874" t="str" cm="1">
        <f t="array" ref="M874">_xlfn.IFS(L874&lt;=30,"0-30",L874&lt;=60,"31-60",L874&lt;=90,"61-90",TRUE,"90+")</f>
        <v>61-90</v>
      </c>
      <c r="N874">
        <f t="shared" si="27"/>
        <v>0</v>
      </c>
      <c r="O874" t="str">
        <f>VLOOKUP(K874,Agents!$A$1:$C$11,2,0)</f>
        <v>Manish Arora</v>
      </c>
      <c r="P874">
        <f t="shared" si="26"/>
        <v>3575</v>
      </c>
    </row>
    <row r="875" spans="1:16" x14ac:dyDescent="0.25">
      <c r="A875" s="2" t="s">
        <v>1380</v>
      </c>
      <c r="B875" s="2" t="s">
        <v>460</v>
      </c>
      <c r="C875" s="2" t="s">
        <v>36</v>
      </c>
      <c r="D875" s="2" t="s">
        <v>80</v>
      </c>
      <c r="E875" s="4">
        <v>46092</v>
      </c>
      <c r="F875" s="4">
        <v>46096</v>
      </c>
      <c r="G875" s="5">
        <v>2575</v>
      </c>
      <c r="H875" s="5">
        <v>2090.37</v>
      </c>
      <c r="I875" s="2" t="s">
        <v>37</v>
      </c>
      <c r="J875" s="2" t="s">
        <v>1541</v>
      </c>
      <c r="K875" t="s">
        <v>43</v>
      </c>
      <c r="L875" s="12">
        <f>MIS_Report!$B$2-F875</f>
        <v>214</v>
      </c>
      <c r="M875" t="str" cm="1">
        <f t="array" ref="M875">_xlfn.IFS(L875&lt;=30,"0-30",L875&lt;=60,"31-60",L875&lt;=90,"61-90",TRUE,"90+")</f>
        <v>90+</v>
      </c>
      <c r="N875">
        <f t="shared" si="27"/>
        <v>0</v>
      </c>
      <c r="O875" t="str">
        <f>VLOOKUP(K875,Agents!$A$1:$C$11,2,0)</f>
        <v>Manish Arora</v>
      </c>
      <c r="P875">
        <f t="shared" si="26"/>
        <v>0</v>
      </c>
    </row>
    <row r="876" spans="1:16" x14ac:dyDescent="0.25">
      <c r="A876" s="2" t="s">
        <v>1381</v>
      </c>
      <c r="B876" s="2" t="s">
        <v>316</v>
      </c>
      <c r="C876" s="2" t="s">
        <v>79</v>
      </c>
      <c r="D876" s="2" t="s">
        <v>41</v>
      </c>
      <c r="E876" s="4">
        <v>46030</v>
      </c>
      <c r="F876" s="4">
        <v>46042</v>
      </c>
      <c r="G876" s="5">
        <v>5325</v>
      </c>
      <c r="H876" s="5">
        <v>3243.34</v>
      </c>
      <c r="I876" s="2" t="s">
        <v>37</v>
      </c>
      <c r="J876" s="2" t="s">
        <v>1541</v>
      </c>
      <c r="K876" t="s">
        <v>33</v>
      </c>
      <c r="L876" s="12">
        <f>MIS_Report!$B$2-F876</f>
        <v>268</v>
      </c>
      <c r="M876" t="str" cm="1">
        <f t="array" ref="M876">_xlfn.IFS(L876&lt;=30,"0-30",L876&lt;=60,"31-60",L876&lt;=90,"61-90",TRUE,"90+")</f>
        <v>90+</v>
      </c>
      <c r="N876">
        <f t="shared" si="27"/>
        <v>0</v>
      </c>
      <c r="O876" t="str">
        <f>VLOOKUP(K876,Agents!$A$1:$C$11,2,0)</f>
        <v>Manish Arora</v>
      </c>
      <c r="P876">
        <f t="shared" si="26"/>
        <v>0</v>
      </c>
    </row>
    <row r="877" spans="1:16" x14ac:dyDescent="0.25">
      <c r="A877" s="2" t="s">
        <v>1382</v>
      </c>
      <c r="B877" s="2" t="s">
        <v>100</v>
      </c>
      <c r="C877" s="2" t="s">
        <v>29</v>
      </c>
      <c r="D877" s="2" t="s">
        <v>41</v>
      </c>
      <c r="E877" s="4">
        <v>46022</v>
      </c>
      <c r="F877" s="4">
        <v>46028</v>
      </c>
      <c r="G877" s="5">
        <v>8700</v>
      </c>
      <c r="H877" s="5">
        <v>5980.2</v>
      </c>
      <c r="I877" s="2" t="s">
        <v>37</v>
      </c>
      <c r="J877" s="2" t="s">
        <v>1541</v>
      </c>
      <c r="K877" t="s">
        <v>109</v>
      </c>
      <c r="L877" s="12">
        <f>MIS_Report!$B$2-F877</f>
        <v>282</v>
      </c>
      <c r="M877" t="str" cm="1">
        <f t="array" ref="M877">_xlfn.IFS(L877&lt;=30,"0-30",L877&lt;=60,"31-60",L877&lt;=90,"61-90",TRUE,"90+")</f>
        <v>90+</v>
      </c>
      <c r="N877">
        <f t="shared" si="27"/>
        <v>0</v>
      </c>
      <c r="O877" t="str">
        <f>VLOOKUP(K877,Agents!$A$1:$C$11,2,0)</f>
        <v>Deepak Nair</v>
      </c>
      <c r="P877">
        <f t="shared" si="26"/>
        <v>0</v>
      </c>
    </row>
    <row r="878" spans="1:16" x14ac:dyDescent="0.25">
      <c r="A878" s="2" t="s">
        <v>1383</v>
      </c>
      <c r="B878" s="2" t="s">
        <v>557</v>
      </c>
      <c r="C878" s="2" t="s">
        <v>46</v>
      </c>
      <c r="D878" s="2" t="s">
        <v>55</v>
      </c>
      <c r="E878" s="4">
        <v>46099</v>
      </c>
      <c r="F878" s="4">
        <v>46103</v>
      </c>
      <c r="G878" s="5">
        <v>4275</v>
      </c>
      <c r="H878" s="5">
        <v>2423.31</v>
      </c>
      <c r="I878" s="2" t="s">
        <v>37</v>
      </c>
      <c r="J878" s="2" t="s">
        <v>1541</v>
      </c>
      <c r="K878" t="s">
        <v>38</v>
      </c>
      <c r="L878" s="12">
        <f>MIS_Report!$B$2-F878</f>
        <v>207</v>
      </c>
      <c r="M878" t="str" cm="1">
        <f t="array" ref="M878">_xlfn.IFS(L878&lt;=30,"0-30",L878&lt;=60,"31-60",L878&lt;=90,"61-90",TRUE,"90+")</f>
        <v>90+</v>
      </c>
      <c r="N878">
        <f t="shared" si="27"/>
        <v>0</v>
      </c>
      <c r="O878" t="str">
        <f>VLOOKUP(K878,Agents!$A$1:$C$11,2,0)</f>
        <v>Sunita Rao</v>
      </c>
      <c r="P878">
        <f t="shared" si="26"/>
        <v>0</v>
      </c>
    </row>
    <row r="879" spans="1:16" x14ac:dyDescent="0.25">
      <c r="A879" s="2" t="s">
        <v>1384</v>
      </c>
      <c r="B879" s="2" t="s">
        <v>259</v>
      </c>
      <c r="C879" s="2" t="s">
        <v>46</v>
      </c>
      <c r="D879" s="2" t="s">
        <v>30</v>
      </c>
      <c r="E879" s="4">
        <v>46226</v>
      </c>
      <c r="F879" s="4">
        <v>46242</v>
      </c>
      <c r="G879" s="5">
        <v>2500</v>
      </c>
      <c r="H879" s="5"/>
      <c r="I879" s="2" t="s">
        <v>42</v>
      </c>
      <c r="J879" s="2" t="s">
        <v>1541</v>
      </c>
      <c r="K879" t="s">
        <v>109</v>
      </c>
      <c r="L879" s="12">
        <f>MIS_Report!$B$2-F879</f>
        <v>68</v>
      </c>
      <c r="M879" t="str" cm="1">
        <f t="array" ref="M879">_xlfn.IFS(L879&lt;=30,"0-30",L879&lt;=60,"31-60",L879&lt;=90,"61-90",TRUE,"90+")</f>
        <v>61-90</v>
      </c>
      <c r="N879">
        <f t="shared" si="27"/>
        <v>2500</v>
      </c>
      <c r="O879" t="str">
        <f>VLOOKUP(K879,Agents!$A$1:$C$11,2,0)</f>
        <v>Deepak Nair</v>
      </c>
      <c r="P879">
        <f t="shared" si="26"/>
        <v>0</v>
      </c>
    </row>
    <row r="880" spans="1:16" x14ac:dyDescent="0.25">
      <c r="A880" s="2" t="s">
        <v>1386</v>
      </c>
      <c r="B880" s="2" t="s">
        <v>89</v>
      </c>
      <c r="C880" s="2" t="s">
        <v>79</v>
      </c>
      <c r="D880" s="2" t="s">
        <v>71</v>
      </c>
      <c r="E880" s="4">
        <v>46159</v>
      </c>
      <c r="F880" s="4">
        <v>46178</v>
      </c>
      <c r="G880" s="5">
        <v>11625</v>
      </c>
      <c r="H880" s="5">
        <v>9827.57</v>
      </c>
      <c r="I880" s="2" t="s">
        <v>37</v>
      </c>
      <c r="J880" s="2" t="s">
        <v>1541</v>
      </c>
      <c r="K880" t="s">
        <v>38</v>
      </c>
      <c r="L880" s="12">
        <f>MIS_Report!$B$2-F880</f>
        <v>132</v>
      </c>
      <c r="M880" t="str" cm="1">
        <f t="array" ref="M880">_xlfn.IFS(L880&lt;=30,"0-30",L880&lt;=60,"31-60",L880&lt;=90,"61-90",TRUE,"90+")</f>
        <v>90+</v>
      </c>
      <c r="N880">
        <f t="shared" si="27"/>
        <v>0</v>
      </c>
      <c r="O880" t="str">
        <f>VLOOKUP(K880,Agents!$A$1:$C$11,2,0)</f>
        <v>Sunita Rao</v>
      </c>
      <c r="P880">
        <f t="shared" si="26"/>
        <v>0</v>
      </c>
    </row>
    <row r="881" spans="1:16" x14ac:dyDescent="0.25">
      <c r="A881" s="2" t="s">
        <v>1387</v>
      </c>
      <c r="B881" s="2" t="s">
        <v>1388</v>
      </c>
      <c r="C881" s="2" t="s">
        <v>79</v>
      </c>
      <c r="D881" s="2" t="s">
        <v>61</v>
      </c>
      <c r="E881" s="4">
        <v>46106</v>
      </c>
      <c r="F881" s="4">
        <v>46119</v>
      </c>
      <c r="G881" s="5">
        <v>7000</v>
      </c>
      <c r="H881" s="5">
        <v>6293.38</v>
      </c>
      <c r="I881" s="2" t="s">
        <v>37</v>
      </c>
      <c r="J881" s="2" t="s">
        <v>1541</v>
      </c>
      <c r="K881" t="s">
        <v>109</v>
      </c>
      <c r="L881" s="12">
        <f>MIS_Report!$B$2-F881</f>
        <v>191</v>
      </c>
      <c r="M881" t="str" cm="1">
        <f t="array" ref="M881">_xlfn.IFS(L881&lt;=30,"0-30",L881&lt;=60,"31-60",L881&lt;=90,"61-90",TRUE,"90+")</f>
        <v>90+</v>
      </c>
      <c r="N881">
        <f t="shared" si="27"/>
        <v>0</v>
      </c>
      <c r="O881" t="str">
        <f>VLOOKUP(K881,Agents!$A$1:$C$11,2,0)</f>
        <v>Deepak Nair</v>
      </c>
      <c r="P881">
        <f t="shared" si="26"/>
        <v>0</v>
      </c>
    </row>
    <row r="882" spans="1:16" x14ac:dyDescent="0.25">
      <c r="A882" s="2" t="s">
        <v>1389</v>
      </c>
      <c r="B882" s="2" t="s">
        <v>925</v>
      </c>
      <c r="C882" s="2" t="s">
        <v>79</v>
      </c>
      <c r="D882" s="2" t="s">
        <v>80</v>
      </c>
      <c r="E882" s="4">
        <v>46114</v>
      </c>
      <c r="F882" s="4">
        <v>46131</v>
      </c>
      <c r="G882" s="5">
        <v>12375</v>
      </c>
      <c r="H882" s="5">
        <v>8737.06</v>
      </c>
      <c r="I882" s="2" t="s">
        <v>37</v>
      </c>
      <c r="J882" s="2" t="s">
        <v>1541</v>
      </c>
      <c r="K882" t="s">
        <v>43</v>
      </c>
      <c r="L882" s="12">
        <f>MIS_Report!$B$2-F882</f>
        <v>179</v>
      </c>
      <c r="M882" t="str" cm="1">
        <f t="array" ref="M882">_xlfn.IFS(L882&lt;=30,"0-30",L882&lt;=60,"31-60",L882&lt;=90,"61-90",TRUE,"90+")</f>
        <v>90+</v>
      </c>
      <c r="N882">
        <f t="shared" si="27"/>
        <v>0</v>
      </c>
      <c r="O882" t="str">
        <f>VLOOKUP(K882,Agents!$A$1:$C$11,2,0)</f>
        <v>Manish Arora</v>
      </c>
      <c r="P882">
        <f t="shared" si="26"/>
        <v>0</v>
      </c>
    </row>
    <row r="883" spans="1:16" x14ac:dyDescent="0.25">
      <c r="A883" s="2" t="s">
        <v>1390</v>
      </c>
      <c r="B883" s="2" t="s">
        <v>835</v>
      </c>
      <c r="C883" s="2" t="s">
        <v>46</v>
      </c>
      <c r="D883" s="2" t="s">
        <v>30</v>
      </c>
      <c r="E883" s="4">
        <v>46275</v>
      </c>
      <c r="F883" s="4">
        <v>46288</v>
      </c>
      <c r="G883" s="5">
        <v>5575</v>
      </c>
      <c r="H883" s="5">
        <v>5276.24</v>
      </c>
      <c r="I883" s="2" t="s">
        <v>37</v>
      </c>
      <c r="J883" s="2" t="s">
        <v>1541</v>
      </c>
      <c r="K883" t="s">
        <v>43</v>
      </c>
      <c r="L883" s="12">
        <f>MIS_Report!$B$2-F883</f>
        <v>22</v>
      </c>
      <c r="M883" t="str" cm="1">
        <f t="array" ref="M883">_xlfn.IFS(L883&lt;=30,"0-30",L883&lt;=60,"31-60",L883&lt;=90,"61-90",TRUE,"90+")</f>
        <v>0-30</v>
      </c>
      <c r="N883">
        <f t="shared" si="27"/>
        <v>0</v>
      </c>
      <c r="O883" t="str">
        <f>VLOOKUP(K883,Agents!$A$1:$C$11,2,0)</f>
        <v>Manish Arora</v>
      </c>
      <c r="P883">
        <f t="shared" si="26"/>
        <v>0</v>
      </c>
    </row>
    <row r="884" spans="1:16" x14ac:dyDescent="0.25">
      <c r="A884" s="2" t="s">
        <v>1391</v>
      </c>
      <c r="B884" s="2" t="s">
        <v>899</v>
      </c>
      <c r="C884" s="2" t="s">
        <v>46</v>
      </c>
      <c r="D884" s="2" t="s">
        <v>61</v>
      </c>
      <c r="E884" s="4">
        <v>46032</v>
      </c>
      <c r="F884" s="4">
        <v>46046</v>
      </c>
      <c r="G884" s="5">
        <v>8125</v>
      </c>
      <c r="H884" s="5"/>
      <c r="I884" s="2" t="s">
        <v>42</v>
      </c>
      <c r="J884" s="2" t="s">
        <v>1541</v>
      </c>
      <c r="K884" t="s">
        <v>65</v>
      </c>
      <c r="L884" s="12">
        <f>MIS_Report!$B$2-F884</f>
        <v>264</v>
      </c>
      <c r="M884" t="str" cm="1">
        <f t="array" ref="M884">_xlfn.IFS(L884&lt;=30,"0-30",L884&lt;=60,"31-60",L884&lt;=90,"61-90",TRUE,"90+")</f>
        <v>90+</v>
      </c>
      <c r="N884">
        <f t="shared" si="27"/>
        <v>8125</v>
      </c>
      <c r="O884" t="str">
        <f>VLOOKUP(K884,Agents!$A$1:$C$11,2,0)</f>
        <v>Deepak Nair</v>
      </c>
      <c r="P884">
        <f t="shared" si="26"/>
        <v>0</v>
      </c>
    </row>
    <row r="885" spans="1:16" x14ac:dyDescent="0.25">
      <c r="A885" s="2" t="s">
        <v>1392</v>
      </c>
      <c r="B885" s="2" t="s">
        <v>978</v>
      </c>
      <c r="C885" s="2" t="s">
        <v>46</v>
      </c>
      <c r="D885" s="2" t="s">
        <v>30</v>
      </c>
      <c r="E885" s="4">
        <v>46177</v>
      </c>
      <c r="F885" s="4">
        <v>46194</v>
      </c>
      <c r="G885" s="5">
        <v>7850</v>
      </c>
      <c r="H885" s="5">
        <v>5635.58</v>
      </c>
      <c r="I885" s="2" t="s">
        <v>37</v>
      </c>
      <c r="J885" s="2" t="s">
        <v>1541</v>
      </c>
      <c r="K885" t="s">
        <v>56</v>
      </c>
      <c r="L885" s="12">
        <f>MIS_Report!$B$2-F885</f>
        <v>116</v>
      </c>
      <c r="M885" t="str" cm="1">
        <f t="array" ref="M885">_xlfn.IFS(L885&lt;=30,"0-30",L885&lt;=60,"31-60",L885&lt;=90,"61-90",TRUE,"90+")</f>
        <v>90+</v>
      </c>
      <c r="N885">
        <f t="shared" si="27"/>
        <v>0</v>
      </c>
      <c r="O885" t="str">
        <f>VLOOKUP(K885,Agents!$A$1:$C$11,2,0)</f>
        <v>Manish Arora</v>
      </c>
      <c r="P885">
        <f t="shared" si="26"/>
        <v>0</v>
      </c>
    </row>
    <row r="886" spans="1:16" x14ac:dyDescent="0.25">
      <c r="A886" s="2" t="s">
        <v>1393</v>
      </c>
      <c r="B886" s="2" t="s">
        <v>1394</v>
      </c>
      <c r="C886" s="2" t="s">
        <v>46</v>
      </c>
      <c r="D886" s="2" t="s">
        <v>41</v>
      </c>
      <c r="E886" s="4">
        <v>46083</v>
      </c>
      <c r="F886" s="4">
        <v>46097</v>
      </c>
      <c r="G886" s="5">
        <v>9650</v>
      </c>
      <c r="H886" s="5">
        <v>9023.26</v>
      </c>
      <c r="I886" s="2" t="s">
        <v>37</v>
      </c>
      <c r="J886" s="2" t="s">
        <v>1541</v>
      </c>
      <c r="K886" t="s">
        <v>56</v>
      </c>
      <c r="L886" s="12">
        <f>MIS_Report!$B$2-F886</f>
        <v>213</v>
      </c>
      <c r="M886" t="str" cm="1">
        <f t="array" ref="M886">_xlfn.IFS(L886&lt;=30,"0-30",L886&lt;=60,"31-60",L886&lt;=90,"61-90",TRUE,"90+")</f>
        <v>90+</v>
      </c>
      <c r="N886">
        <f t="shared" si="27"/>
        <v>0</v>
      </c>
      <c r="O886" t="str">
        <f>VLOOKUP(K886,Agents!$A$1:$C$11,2,0)</f>
        <v>Manish Arora</v>
      </c>
      <c r="P886">
        <f t="shared" si="26"/>
        <v>0</v>
      </c>
    </row>
    <row r="887" spans="1:16" x14ac:dyDescent="0.25">
      <c r="A887" s="2" t="s">
        <v>1395</v>
      </c>
      <c r="B887" s="2" t="s">
        <v>759</v>
      </c>
      <c r="C887" s="2" t="s">
        <v>36</v>
      </c>
      <c r="D887" s="2" t="s">
        <v>41</v>
      </c>
      <c r="E887" s="4">
        <v>46162</v>
      </c>
      <c r="F887" s="4">
        <v>46176</v>
      </c>
      <c r="G887" s="5">
        <v>13275</v>
      </c>
      <c r="H887" s="5">
        <v>11963.53</v>
      </c>
      <c r="I887" s="2" t="s">
        <v>37</v>
      </c>
      <c r="J887" s="2" t="s">
        <v>1541</v>
      </c>
      <c r="K887" t="s">
        <v>56</v>
      </c>
      <c r="L887" s="12">
        <f>MIS_Report!$B$2-F887</f>
        <v>134</v>
      </c>
      <c r="M887" t="str" cm="1">
        <f t="array" ref="M887">_xlfn.IFS(L887&lt;=30,"0-30",L887&lt;=60,"31-60",L887&lt;=90,"61-90",TRUE,"90+")</f>
        <v>90+</v>
      </c>
      <c r="N887">
        <f t="shared" si="27"/>
        <v>0</v>
      </c>
      <c r="O887" t="str">
        <f>VLOOKUP(K887,Agents!$A$1:$C$11,2,0)</f>
        <v>Manish Arora</v>
      </c>
      <c r="P887">
        <f t="shared" si="26"/>
        <v>0</v>
      </c>
    </row>
    <row r="888" spans="1:16" x14ac:dyDescent="0.25">
      <c r="A888" s="2" t="s">
        <v>1396</v>
      </c>
      <c r="B888" s="2" t="s">
        <v>50</v>
      </c>
      <c r="C888" s="2" t="s">
        <v>46</v>
      </c>
      <c r="D888" s="2" t="s">
        <v>68</v>
      </c>
      <c r="E888" s="4">
        <v>46230</v>
      </c>
      <c r="F888" s="4">
        <v>46248</v>
      </c>
      <c r="G888" s="5">
        <v>5650</v>
      </c>
      <c r="H888" s="5">
        <v>5542.24</v>
      </c>
      <c r="I888" s="2" t="s">
        <v>37</v>
      </c>
      <c r="J888" s="2" t="s">
        <v>1541</v>
      </c>
      <c r="K888" t="s">
        <v>33</v>
      </c>
      <c r="L888" s="12">
        <f>MIS_Report!$B$2-F888</f>
        <v>62</v>
      </c>
      <c r="M888" t="str" cm="1">
        <f t="array" ref="M888">_xlfn.IFS(L888&lt;=30,"0-30",L888&lt;=60,"31-60",L888&lt;=90,"61-90",TRUE,"90+")</f>
        <v>61-90</v>
      </c>
      <c r="N888">
        <f t="shared" si="27"/>
        <v>0</v>
      </c>
      <c r="O888" t="str">
        <f>VLOOKUP(K888,Agents!$A$1:$C$11,2,0)</f>
        <v>Manish Arora</v>
      </c>
      <c r="P888">
        <f t="shared" si="26"/>
        <v>0</v>
      </c>
    </row>
    <row r="889" spans="1:16" x14ac:dyDescent="0.25">
      <c r="A889" s="2" t="s">
        <v>1397</v>
      </c>
      <c r="B889" s="2" t="s">
        <v>1226</v>
      </c>
      <c r="C889" s="2" t="s">
        <v>46</v>
      </c>
      <c r="D889" s="2" t="s">
        <v>68</v>
      </c>
      <c r="E889" s="4">
        <v>46191</v>
      </c>
      <c r="F889" s="4">
        <v>46196</v>
      </c>
      <c r="G889" s="5">
        <v>9125</v>
      </c>
      <c r="H889" s="5">
        <v>0</v>
      </c>
      <c r="I889" s="2" t="s">
        <v>31</v>
      </c>
      <c r="J889" s="2" t="s">
        <v>347</v>
      </c>
      <c r="K889" t="s">
        <v>109</v>
      </c>
      <c r="L889" s="12">
        <f>MIS_Report!$B$2-F889</f>
        <v>114</v>
      </c>
      <c r="M889" t="str" cm="1">
        <f t="array" ref="M889">_xlfn.IFS(L889&lt;=30,"0-30",L889&lt;=60,"31-60",L889&lt;=90,"61-90",TRUE,"90+")</f>
        <v>90+</v>
      </c>
      <c r="N889">
        <f t="shared" si="27"/>
        <v>0</v>
      </c>
      <c r="O889" t="str">
        <f>VLOOKUP(K889,Agents!$A$1:$C$11,2,0)</f>
        <v>Deepak Nair</v>
      </c>
      <c r="P889">
        <f t="shared" si="26"/>
        <v>9125</v>
      </c>
    </row>
    <row r="890" spans="1:16" x14ac:dyDescent="0.25">
      <c r="A890" s="2" t="s">
        <v>1398</v>
      </c>
      <c r="B890" s="2" t="s">
        <v>452</v>
      </c>
      <c r="C890" s="2" t="s">
        <v>36</v>
      </c>
      <c r="D890" s="2" t="s">
        <v>41</v>
      </c>
      <c r="E890" s="4">
        <v>46177</v>
      </c>
      <c r="F890" s="4">
        <v>46193</v>
      </c>
      <c r="G890" s="5">
        <v>13875</v>
      </c>
      <c r="H890" s="5">
        <v>0</v>
      </c>
      <c r="I890" s="2" t="s">
        <v>31</v>
      </c>
      <c r="J890" s="2" t="s">
        <v>32</v>
      </c>
      <c r="K890" t="s">
        <v>38</v>
      </c>
      <c r="L890" s="12">
        <f>MIS_Report!$B$2-F890</f>
        <v>117</v>
      </c>
      <c r="M890" t="str" cm="1">
        <f t="array" ref="M890">_xlfn.IFS(L890&lt;=30,"0-30",L890&lt;=60,"31-60",L890&lt;=90,"61-90",TRUE,"90+")</f>
        <v>90+</v>
      </c>
      <c r="N890">
        <f t="shared" si="27"/>
        <v>0</v>
      </c>
      <c r="O890" t="str">
        <f>VLOOKUP(K890,Agents!$A$1:$C$11,2,0)</f>
        <v>Sunita Rao</v>
      </c>
      <c r="P890">
        <f t="shared" si="26"/>
        <v>13875</v>
      </c>
    </row>
    <row r="891" spans="1:16" x14ac:dyDescent="0.25">
      <c r="A891" s="2" t="s">
        <v>1399</v>
      </c>
      <c r="B891" s="2" t="s">
        <v>480</v>
      </c>
      <c r="C891" s="2" t="s">
        <v>46</v>
      </c>
      <c r="D891" s="2" t="s">
        <v>80</v>
      </c>
      <c r="E891" s="4">
        <v>46160</v>
      </c>
      <c r="F891" s="4">
        <v>46174</v>
      </c>
      <c r="G891" s="5">
        <v>11900</v>
      </c>
      <c r="H891" s="5">
        <v>11786.6</v>
      </c>
      <c r="I891" s="2" t="s">
        <v>37</v>
      </c>
      <c r="J891" s="2" t="s">
        <v>1541</v>
      </c>
      <c r="K891" t="s">
        <v>38</v>
      </c>
      <c r="L891" s="12">
        <f>MIS_Report!$B$2-F891</f>
        <v>136</v>
      </c>
      <c r="M891" t="str" cm="1">
        <f t="array" ref="M891">_xlfn.IFS(L891&lt;=30,"0-30",L891&lt;=60,"31-60",L891&lt;=90,"61-90",TRUE,"90+")</f>
        <v>90+</v>
      </c>
      <c r="N891">
        <f t="shared" si="27"/>
        <v>0</v>
      </c>
      <c r="O891" t="str">
        <f>VLOOKUP(K891,Agents!$A$1:$C$11,2,0)</f>
        <v>Sunita Rao</v>
      </c>
      <c r="P891">
        <f t="shared" si="26"/>
        <v>0</v>
      </c>
    </row>
    <row r="892" spans="1:16" x14ac:dyDescent="0.25">
      <c r="A892" s="2" t="s">
        <v>1400</v>
      </c>
      <c r="B892" s="2" t="s">
        <v>779</v>
      </c>
      <c r="C892" s="2" t="s">
        <v>46</v>
      </c>
      <c r="D892" s="2" t="s">
        <v>68</v>
      </c>
      <c r="E892" s="4">
        <v>46246</v>
      </c>
      <c r="F892" s="4">
        <v>46264</v>
      </c>
      <c r="G892" s="5">
        <v>14875</v>
      </c>
      <c r="H892" s="5"/>
      <c r="I892" s="2" t="s">
        <v>42</v>
      </c>
      <c r="J892" s="2" t="s">
        <v>1541</v>
      </c>
      <c r="K892" t="s">
        <v>43</v>
      </c>
      <c r="L892" s="12">
        <f>MIS_Report!$B$2-F892</f>
        <v>46</v>
      </c>
      <c r="M892" t="str" cm="1">
        <f t="array" ref="M892">_xlfn.IFS(L892&lt;=30,"0-30",L892&lt;=60,"31-60",L892&lt;=90,"61-90",TRUE,"90+")</f>
        <v>31-60</v>
      </c>
      <c r="N892">
        <f t="shared" si="27"/>
        <v>14875</v>
      </c>
      <c r="O892" t="str">
        <f>VLOOKUP(K892,Agents!$A$1:$C$11,2,0)</f>
        <v>Manish Arora</v>
      </c>
      <c r="P892">
        <f t="shared" si="26"/>
        <v>0</v>
      </c>
    </row>
    <row r="893" spans="1:16" x14ac:dyDescent="0.25">
      <c r="A893" s="2" t="s">
        <v>1401</v>
      </c>
      <c r="B893" s="2" t="s">
        <v>349</v>
      </c>
      <c r="C893" s="2" t="s">
        <v>29</v>
      </c>
      <c r="D893" s="2" t="s">
        <v>68</v>
      </c>
      <c r="E893" s="4">
        <v>46078</v>
      </c>
      <c r="F893" s="4">
        <v>46085</v>
      </c>
      <c r="G893" s="5">
        <v>5575</v>
      </c>
      <c r="H893" s="5">
        <v>3102.83</v>
      </c>
      <c r="I893" s="2" t="s">
        <v>37</v>
      </c>
      <c r="J893" s="2" t="s">
        <v>1541</v>
      </c>
      <c r="K893" t="s">
        <v>43</v>
      </c>
      <c r="L893" s="12">
        <f>MIS_Report!$B$2-F893</f>
        <v>225</v>
      </c>
      <c r="M893" t="str" cm="1">
        <f t="array" ref="M893">_xlfn.IFS(L893&lt;=30,"0-30",L893&lt;=60,"31-60",L893&lt;=90,"61-90",TRUE,"90+")</f>
        <v>90+</v>
      </c>
      <c r="N893">
        <f t="shared" si="27"/>
        <v>0</v>
      </c>
      <c r="O893" t="str">
        <f>VLOOKUP(K893,Agents!$A$1:$C$11,2,0)</f>
        <v>Manish Arora</v>
      </c>
      <c r="P893">
        <f t="shared" si="26"/>
        <v>0</v>
      </c>
    </row>
    <row r="894" spans="1:16" x14ac:dyDescent="0.25">
      <c r="A894" s="2" t="s">
        <v>1403</v>
      </c>
      <c r="B894" s="2" t="s">
        <v>93</v>
      </c>
      <c r="C894" s="2" t="s">
        <v>29</v>
      </c>
      <c r="D894" s="2" t="s">
        <v>30</v>
      </c>
      <c r="E894" s="4">
        <v>46163</v>
      </c>
      <c r="F894" s="4">
        <v>46183</v>
      </c>
      <c r="G894" s="5">
        <v>14400</v>
      </c>
      <c r="H894" s="5"/>
      <c r="I894" s="2" t="s">
        <v>42</v>
      </c>
      <c r="J894" s="2" t="s">
        <v>1541</v>
      </c>
      <c r="K894" t="s">
        <v>83</v>
      </c>
      <c r="L894" s="12">
        <f>MIS_Report!$B$2-F894</f>
        <v>127</v>
      </c>
      <c r="M894" t="str" cm="1">
        <f t="array" ref="M894">_xlfn.IFS(L894&lt;=30,"0-30",L894&lt;=60,"31-60",L894&lt;=90,"61-90",TRUE,"90+")</f>
        <v>90+</v>
      </c>
      <c r="N894">
        <f t="shared" si="27"/>
        <v>14400</v>
      </c>
      <c r="O894" t="str">
        <f>VLOOKUP(K894,Agents!$A$1:$C$11,2,0)</f>
        <v>Deepak Nair</v>
      </c>
      <c r="P894">
        <f t="shared" si="26"/>
        <v>0</v>
      </c>
    </row>
    <row r="895" spans="1:16" x14ac:dyDescent="0.25">
      <c r="A895" s="2" t="s">
        <v>1404</v>
      </c>
      <c r="B895" s="2" t="s">
        <v>220</v>
      </c>
      <c r="C895" s="2" t="s">
        <v>79</v>
      </c>
      <c r="D895" s="2" t="s">
        <v>68</v>
      </c>
      <c r="E895" s="4">
        <v>46089</v>
      </c>
      <c r="F895" s="4">
        <v>46100</v>
      </c>
      <c r="G895" s="5">
        <v>1150</v>
      </c>
      <c r="H895" s="5">
        <v>1132.0899999999999</v>
      </c>
      <c r="I895" s="2" t="s">
        <v>37</v>
      </c>
      <c r="J895" s="2" t="s">
        <v>1541</v>
      </c>
      <c r="K895" t="s">
        <v>43</v>
      </c>
      <c r="L895" s="12">
        <f>MIS_Report!$B$2-F895</f>
        <v>210</v>
      </c>
      <c r="M895" t="str" cm="1">
        <f t="array" ref="M895">_xlfn.IFS(L895&lt;=30,"0-30",L895&lt;=60,"31-60",L895&lt;=90,"61-90",TRUE,"90+")</f>
        <v>90+</v>
      </c>
      <c r="N895">
        <f t="shared" si="27"/>
        <v>0</v>
      </c>
      <c r="O895" t="str">
        <f>VLOOKUP(K895,Agents!$A$1:$C$11,2,0)</f>
        <v>Manish Arora</v>
      </c>
      <c r="P895">
        <f t="shared" si="26"/>
        <v>0</v>
      </c>
    </row>
    <row r="896" spans="1:16" x14ac:dyDescent="0.25">
      <c r="A896" s="2" t="s">
        <v>1405</v>
      </c>
      <c r="B896" s="2" t="s">
        <v>316</v>
      </c>
      <c r="C896" s="2" t="s">
        <v>46</v>
      </c>
      <c r="D896" s="2" t="s">
        <v>41</v>
      </c>
      <c r="E896" s="4">
        <v>46168</v>
      </c>
      <c r="F896" s="4">
        <v>46188</v>
      </c>
      <c r="G896" s="5">
        <v>1000</v>
      </c>
      <c r="H896" s="5">
        <v>869.72</v>
      </c>
      <c r="I896" s="2" t="s">
        <v>37</v>
      </c>
      <c r="J896" s="2" t="s">
        <v>1541</v>
      </c>
      <c r="K896" t="s">
        <v>52</v>
      </c>
      <c r="L896" s="12">
        <f>MIS_Report!$B$2-F896</f>
        <v>122</v>
      </c>
      <c r="M896" t="str" cm="1">
        <f t="array" ref="M896">_xlfn.IFS(L896&lt;=30,"0-30",L896&lt;=60,"31-60",L896&lt;=90,"61-90",TRUE,"90+")</f>
        <v>90+</v>
      </c>
      <c r="N896">
        <f t="shared" si="27"/>
        <v>0</v>
      </c>
      <c r="O896" t="str">
        <f>VLOOKUP(K896,Agents!$A$1:$C$11,2,0)</f>
        <v>Sunita Rao</v>
      </c>
      <c r="P896">
        <f t="shared" si="26"/>
        <v>0</v>
      </c>
    </row>
    <row r="897" spans="1:16" x14ac:dyDescent="0.25">
      <c r="A897" s="2" t="s">
        <v>1406</v>
      </c>
      <c r="B897" s="2" t="s">
        <v>946</v>
      </c>
      <c r="C897" s="2" t="s">
        <v>79</v>
      </c>
      <c r="D897" s="2" t="s">
        <v>30</v>
      </c>
      <c r="E897" s="4">
        <v>46185</v>
      </c>
      <c r="F897" s="4">
        <v>46194</v>
      </c>
      <c r="G897" s="5">
        <v>4650</v>
      </c>
      <c r="H897" s="5"/>
      <c r="I897" s="2" t="s">
        <v>42</v>
      </c>
      <c r="J897" s="2" t="s">
        <v>1541</v>
      </c>
      <c r="K897" t="s">
        <v>33</v>
      </c>
      <c r="L897" s="12">
        <f>MIS_Report!$B$2-F897</f>
        <v>116</v>
      </c>
      <c r="M897" t="str" cm="1">
        <f t="array" ref="M897">_xlfn.IFS(L897&lt;=30,"0-30",L897&lt;=60,"31-60",L897&lt;=90,"61-90",TRUE,"90+")</f>
        <v>90+</v>
      </c>
      <c r="N897">
        <f t="shared" si="27"/>
        <v>4650</v>
      </c>
      <c r="O897" t="str">
        <f>VLOOKUP(K897,Agents!$A$1:$C$11,2,0)</f>
        <v>Manish Arora</v>
      </c>
      <c r="P897">
        <f t="shared" si="26"/>
        <v>0</v>
      </c>
    </row>
    <row r="898" spans="1:16" x14ac:dyDescent="0.25">
      <c r="A898" s="2" t="s">
        <v>1407</v>
      </c>
      <c r="B898" s="2" t="s">
        <v>1240</v>
      </c>
      <c r="C898" s="2" t="s">
        <v>29</v>
      </c>
      <c r="D898" s="2" t="s">
        <v>41</v>
      </c>
      <c r="E898" s="4">
        <v>46094</v>
      </c>
      <c r="F898" s="4">
        <v>46103</v>
      </c>
      <c r="G898" s="5">
        <v>5725</v>
      </c>
      <c r="H898" s="5"/>
      <c r="I898" s="2" t="s">
        <v>42</v>
      </c>
      <c r="J898" s="2" t="s">
        <v>1541</v>
      </c>
      <c r="K898" t="s">
        <v>52</v>
      </c>
      <c r="L898" s="12">
        <f>MIS_Report!$B$2-F898</f>
        <v>207</v>
      </c>
      <c r="M898" t="str" cm="1">
        <f t="array" ref="M898">_xlfn.IFS(L898&lt;=30,"0-30",L898&lt;=60,"31-60",L898&lt;=90,"61-90",TRUE,"90+")</f>
        <v>90+</v>
      </c>
      <c r="N898">
        <f t="shared" si="27"/>
        <v>5725</v>
      </c>
      <c r="O898" t="str">
        <f>VLOOKUP(K898,Agents!$A$1:$C$11,2,0)</f>
        <v>Sunita Rao</v>
      </c>
      <c r="P898">
        <f t="shared" si="26"/>
        <v>0</v>
      </c>
    </row>
    <row r="899" spans="1:16" x14ac:dyDescent="0.25">
      <c r="A899" s="2" t="s">
        <v>1409</v>
      </c>
      <c r="B899" s="2" t="s">
        <v>35</v>
      </c>
      <c r="C899" s="2" t="s">
        <v>36</v>
      </c>
      <c r="D899" s="2" t="s">
        <v>55</v>
      </c>
      <c r="E899" s="4">
        <v>46076</v>
      </c>
      <c r="F899" s="4">
        <v>46094</v>
      </c>
      <c r="G899" s="5">
        <v>4850</v>
      </c>
      <c r="H899" s="5">
        <v>4307.18</v>
      </c>
      <c r="I899" s="2" t="s">
        <v>37</v>
      </c>
      <c r="J899" s="2" t="s">
        <v>1541</v>
      </c>
      <c r="K899" t="s">
        <v>48</v>
      </c>
      <c r="L899" s="12">
        <f>MIS_Report!$B$2-F899</f>
        <v>216</v>
      </c>
      <c r="M899" t="str" cm="1">
        <f t="array" ref="M899">_xlfn.IFS(L899&lt;=30,"0-30",L899&lt;=60,"31-60",L899&lt;=90,"61-90",TRUE,"90+")</f>
        <v>90+</v>
      </c>
      <c r="N899">
        <f t="shared" si="27"/>
        <v>0</v>
      </c>
      <c r="O899" t="str">
        <f>VLOOKUP(K899,Agents!$A$1:$C$11,2,0)</f>
        <v>Manish Arora</v>
      </c>
      <c r="P899">
        <f t="shared" ref="P899:P962" si="28">IF(I899="Denied",G899,0)</f>
        <v>0</v>
      </c>
    </row>
    <row r="900" spans="1:16" x14ac:dyDescent="0.25">
      <c r="A900" s="2" t="s">
        <v>1410</v>
      </c>
      <c r="B900" s="2" t="s">
        <v>452</v>
      </c>
      <c r="C900" s="2" t="s">
        <v>29</v>
      </c>
      <c r="D900" s="2" t="s">
        <v>41</v>
      </c>
      <c r="E900" s="4">
        <v>46259</v>
      </c>
      <c r="F900" s="4">
        <v>46277</v>
      </c>
      <c r="G900" s="5">
        <v>3650</v>
      </c>
      <c r="H900" s="5">
        <v>3606.55</v>
      </c>
      <c r="I900" s="2" t="s">
        <v>37</v>
      </c>
      <c r="J900" s="2" t="s">
        <v>1541</v>
      </c>
      <c r="K900" t="s">
        <v>43</v>
      </c>
      <c r="L900" s="12">
        <f>MIS_Report!$B$2-F900</f>
        <v>33</v>
      </c>
      <c r="M900" t="str" cm="1">
        <f t="array" ref="M900">_xlfn.IFS(L900&lt;=30,"0-30",L900&lt;=60,"31-60",L900&lt;=90,"61-90",TRUE,"90+")</f>
        <v>31-60</v>
      </c>
      <c r="N900">
        <f t="shared" si="27"/>
        <v>0</v>
      </c>
      <c r="O900" t="str">
        <f>VLOOKUP(K900,Agents!$A$1:$C$11,2,0)</f>
        <v>Manish Arora</v>
      </c>
      <c r="P900">
        <f t="shared" si="28"/>
        <v>0</v>
      </c>
    </row>
    <row r="901" spans="1:16" x14ac:dyDescent="0.25">
      <c r="A901" s="2" t="s">
        <v>1411</v>
      </c>
      <c r="B901" s="2" t="s">
        <v>918</v>
      </c>
      <c r="C901" s="2" t="s">
        <v>29</v>
      </c>
      <c r="D901" s="2" t="s">
        <v>94</v>
      </c>
      <c r="E901" s="4">
        <v>46104</v>
      </c>
      <c r="F901" s="4">
        <v>46107</v>
      </c>
      <c r="G901" s="5">
        <v>2425</v>
      </c>
      <c r="H901" s="5">
        <v>2290.85</v>
      </c>
      <c r="I901" s="2" t="s">
        <v>37</v>
      </c>
      <c r="J901" s="2" t="s">
        <v>1541</v>
      </c>
      <c r="K901" t="s">
        <v>52</v>
      </c>
      <c r="L901" s="12">
        <f>MIS_Report!$B$2-F901</f>
        <v>203</v>
      </c>
      <c r="M901" t="str" cm="1">
        <f t="array" ref="M901">_xlfn.IFS(L901&lt;=30,"0-30",L901&lt;=60,"31-60",L901&lt;=90,"61-90",TRUE,"90+")</f>
        <v>90+</v>
      </c>
      <c r="N901">
        <f t="shared" ref="N901:N964" si="29">IF(I901="Pending",G901-H901,0)</f>
        <v>0</v>
      </c>
      <c r="O901" t="str">
        <f>VLOOKUP(K901,Agents!$A$1:$C$11,2,0)</f>
        <v>Sunita Rao</v>
      </c>
      <c r="P901">
        <f t="shared" si="28"/>
        <v>0</v>
      </c>
    </row>
    <row r="902" spans="1:16" x14ac:dyDescent="0.25">
      <c r="A902" s="2" t="s">
        <v>1412</v>
      </c>
      <c r="B902" s="2" t="s">
        <v>1413</v>
      </c>
      <c r="C902" s="2" t="s">
        <v>79</v>
      </c>
      <c r="D902" s="2" t="s">
        <v>30</v>
      </c>
      <c r="E902" s="4">
        <v>46253</v>
      </c>
      <c r="F902" s="4">
        <v>46270</v>
      </c>
      <c r="G902" s="5">
        <v>7200</v>
      </c>
      <c r="H902" s="5"/>
      <c r="I902" s="2" t="s">
        <v>42</v>
      </c>
      <c r="J902" s="2" t="s">
        <v>1541</v>
      </c>
      <c r="K902" t="s">
        <v>38</v>
      </c>
      <c r="L902" s="12">
        <f>MIS_Report!$B$2-F902</f>
        <v>40</v>
      </c>
      <c r="M902" t="str" cm="1">
        <f t="array" ref="M902">_xlfn.IFS(L902&lt;=30,"0-30",L902&lt;=60,"31-60",L902&lt;=90,"61-90",TRUE,"90+")</f>
        <v>31-60</v>
      </c>
      <c r="N902">
        <f t="shared" si="29"/>
        <v>7200</v>
      </c>
      <c r="O902" t="str">
        <f>VLOOKUP(K902,Agents!$A$1:$C$11,2,0)</f>
        <v>Sunita Rao</v>
      </c>
      <c r="P902">
        <f t="shared" si="28"/>
        <v>0</v>
      </c>
    </row>
    <row r="903" spans="1:16" x14ac:dyDescent="0.25">
      <c r="A903" s="2" t="s">
        <v>1414</v>
      </c>
      <c r="B903" s="2" t="s">
        <v>1415</v>
      </c>
      <c r="C903" s="2" t="s">
        <v>36</v>
      </c>
      <c r="D903" s="2" t="s">
        <v>41</v>
      </c>
      <c r="E903" s="4">
        <v>46034</v>
      </c>
      <c r="F903" s="4">
        <v>46047</v>
      </c>
      <c r="G903" s="5">
        <v>10575</v>
      </c>
      <c r="H903" s="5"/>
      <c r="I903" s="2" t="s">
        <v>42</v>
      </c>
      <c r="J903" s="2" t="s">
        <v>1541</v>
      </c>
      <c r="K903" t="s">
        <v>33</v>
      </c>
      <c r="L903" s="12">
        <f>MIS_Report!$B$2-F903</f>
        <v>263</v>
      </c>
      <c r="M903" t="str" cm="1">
        <f t="array" ref="M903">_xlfn.IFS(L903&lt;=30,"0-30",L903&lt;=60,"31-60",L903&lt;=90,"61-90",TRUE,"90+")</f>
        <v>90+</v>
      </c>
      <c r="N903">
        <f t="shared" si="29"/>
        <v>10575</v>
      </c>
      <c r="O903" t="str">
        <f>VLOOKUP(K903,Agents!$A$1:$C$11,2,0)</f>
        <v>Manish Arora</v>
      </c>
      <c r="P903">
        <f t="shared" si="28"/>
        <v>0</v>
      </c>
    </row>
    <row r="904" spans="1:16" x14ac:dyDescent="0.25">
      <c r="A904" s="2" t="s">
        <v>1416</v>
      </c>
      <c r="B904" s="2" t="s">
        <v>672</v>
      </c>
      <c r="C904" s="2" t="s">
        <v>29</v>
      </c>
      <c r="D904" s="2" t="s">
        <v>30</v>
      </c>
      <c r="E904" s="4">
        <v>46152</v>
      </c>
      <c r="F904" s="4">
        <v>46165</v>
      </c>
      <c r="G904" s="5">
        <v>2175</v>
      </c>
      <c r="H904" s="5">
        <v>2116.62</v>
      </c>
      <c r="I904" s="2" t="s">
        <v>37</v>
      </c>
      <c r="J904" s="2" t="s">
        <v>1541</v>
      </c>
      <c r="K904" t="s">
        <v>83</v>
      </c>
      <c r="L904" s="12">
        <f>MIS_Report!$B$2-F904</f>
        <v>145</v>
      </c>
      <c r="M904" t="str" cm="1">
        <f t="array" ref="M904">_xlfn.IFS(L904&lt;=30,"0-30",L904&lt;=60,"31-60",L904&lt;=90,"61-90",TRUE,"90+")</f>
        <v>90+</v>
      </c>
      <c r="N904">
        <f t="shared" si="29"/>
        <v>0</v>
      </c>
      <c r="O904" t="str">
        <f>VLOOKUP(K904,Agents!$A$1:$C$11,2,0)</f>
        <v>Deepak Nair</v>
      </c>
      <c r="P904">
        <f t="shared" si="28"/>
        <v>0</v>
      </c>
    </row>
    <row r="905" spans="1:16" x14ac:dyDescent="0.25">
      <c r="A905" s="2" t="s">
        <v>1417</v>
      </c>
      <c r="B905" s="2" t="s">
        <v>1418</v>
      </c>
      <c r="C905" s="2" t="s">
        <v>79</v>
      </c>
      <c r="D905" s="2" t="s">
        <v>80</v>
      </c>
      <c r="E905" s="4">
        <v>46137</v>
      </c>
      <c r="F905" s="4">
        <v>46154</v>
      </c>
      <c r="G905" s="5">
        <v>11000</v>
      </c>
      <c r="H905" s="5">
        <v>6923.9</v>
      </c>
      <c r="I905" s="2" t="s">
        <v>37</v>
      </c>
      <c r="J905" s="2" t="s">
        <v>1541</v>
      </c>
      <c r="K905" t="s">
        <v>56</v>
      </c>
      <c r="L905" s="12">
        <f>MIS_Report!$B$2-F905</f>
        <v>156</v>
      </c>
      <c r="M905" t="str" cm="1">
        <f t="array" ref="M905">_xlfn.IFS(L905&lt;=30,"0-30",L905&lt;=60,"31-60",L905&lt;=90,"61-90",TRUE,"90+")</f>
        <v>90+</v>
      </c>
      <c r="N905">
        <f t="shared" si="29"/>
        <v>0</v>
      </c>
      <c r="O905" t="str">
        <f>VLOOKUP(K905,Agents!$A$1:$C$11,2,0)</f>
        <v>Manish Arora</v>
      </c>
      <c r="P905">
        <f t="shared" si="28"/>
        <v>0</v>
      </c>
    </row>
    <row r="906" spans="1:16" x14ac:dyDescent="0.25">
      <c r="A906" s="2" t="s">
        <v>1419</v>
      </c>
      <c r="B906" s="2" t="s">
        <v>1311</v>
      </c>
      <c r="C906" s="2" t="s">
        <v>46</v>
      </c>
      <c r="D906" s="2" t="s">
        <v>55</v>
      </c>
      <c r="E906" s="4">
        <v>46096</v>
      </c>
      <c r="F906" s="4">
        <v>46105</v>
      </c>
      <c r="G906" s="5">
        <v>14600</v>
      </c>
      <c r="H906" s="5"/>
      <c r="I906" s="2" t="s">
        <v>42</v>
      </c>
      <c r="J906" s="2" t="s">
        <v>1541</v>
      </c>
      <c r="K906" t="s">
        <v>52</v>
      </c>
      <c r="L906" s="12">
        <f>MIS_Report!$B$2-F906</f>
        <v>205</v>
      </c>
      <c r="M906" t="str" cm="1">
        <f t="array" ref="M906">_xlfn.IFS(L906&lt;=30,"0-30",L906&lt;=60,"31-60",L906&lt;=90,"61-90",TRUE,"90+")</f>
        <v>90+</v>
      </c>
      <c r="N906">
        <f t="shared" si="29"/>
        <v>14600</v>
      </c>
      <c r="O906" t="str">
        <f>VLOOKUP(K906,Agents!$A$1:$C$11,2,0)</f>
        <v>Sunita Rao</v>
      </c>
      <c r="P906">
        <f t="shared" si="28"/>
        <v>0</v>
      </c>
    </row>
    <row r="907" spans="1:16" x14ac:dyDescent="0.25">
      <c r="A907" s="2" t="s">
        <v>1420</v>
      </c>
      <c r="B907" s="2" t="s">
        <v>1083</v>
      </c>
      <c r="C907" s="2" t="s">
        <v>46</v>
      </c>
      <c r="D907" s="2" t="s">
        <v>41</v>
      </c>
      <c r="E907" s="4">
        <v>46063</v>
      </c>
      <c r="F907" s="4">
        <v>46079</v>
      </c>
      <c r="G907" s="5">
        <v>4675</v>
      </c>
      <c r="H907" s="5">
        <v>3458.54</v>
      </c>
      <c r="I907" s="2" t="s">
        <v>37</v>
      </c>
      <c r="J907" s="2" t="s">
        <v>1541</v>
      </c>
      <c r="K907" t="s">
        <v>43</v>
      </c>
      <c r="L907" s="12">
        <f>MIS_Report!$B$2-F907</f>
        <v>231</v>
      </c>
      <c r="M907" t="str" cm="1">
        <f t="array" ref="M907">_xlfn.IFS(L907&lt;=30,"0-30",L907&lt;=60,"31-60",L907&lt;=90,"61-90",TRUE,"90+")</f>
        <v>90+</v>
      </c>
      <c r="N907">
        <f t="shared" si="29"/>
        <v>0</v>
      </c>
      <c r="O907" t="str">
        <f>VLOOKUP(K907,Agents!$A$1:$C$11,2,0)</f>
        <v>Manish Arora</v>
      </c>
      <c r="P907">
        <f t="shared" si="28"/>
        <v>0</v>
      </c>
    </row>
    <row r="908" spans="1:16" x14ac:dyDescent="0.25">
      <c r="A908" s="2" t="s">
        <v>1421</v>
      </c>
      <c r="B908" s="2" t="s">
        <v>142</v>
      </c>
      <c r="C908" s="2" t="s">
        <v>36</v>
      </c>
      <c r="D908" s="2" t="s">
        <v>55</v>
      </c>
      <c r="E908" s="4">
        <v>46146</v>
      </c>
      <c r="F908" s="4">
        <v>46165</v>
      </c>
      <c r="G908" s="5">
        <v>6675</v>
      </c>
      <c r="H908" s="5">
        <v>0</v>
      </c>
      <c r="I908" s="2" t="s">
        <v>31</v>
      </c>
      <c r="J908" s="2" t="s">
        <v>271</v>
      </c>
      <c r="K908" t="s">
        <v>33</v>
      </c>
      <c r="L908" s="12">
        <f>MIS_Report!$B$2-F908</f>
        <v>145</v>
      </c>
      <c r="M908" t="str" cm="1">
        <f t="array" ref="M908">_xlfn.IFS(L908&lt;=30,"0-30",L908&lt;=60,"31-60",L908&lt;=90,"61-90",TRUE,"90+")</f>
        <v>90+</v>
      </c>
      <c r="N908">
        <f t="shared" si="29"/>
        <v>0</v>
      </c>
      <c r="O908" t="str">
        <f>VLOOKUP(K908,Agents!$A$1:$C$11,2,0)</f>
        <v>Manish Arora</v>
      </c>
      <c r="P908">
        <f t="shared" si="28"/>
        <v>6675</v>
      </c>
    </row>
    <row r="909" spans="1:16" x14ac:dyDescent="0.25">
      <c r="A909" s="2" t="s">
        <v>1422</v>
      </c>
      <c r="B909" s="2" t="s">
        <v>1423</v>
      </c>
      <c r="C909" s="2" t="s">
        <v>36</v>
      </c>
      <c r="D909" s="2" t="s">
        <v>94</v>
      </c>
      <c r="E909" s="4">
        <v>46031</v>
      </c>
      <c r="F909" s="4">
        <v>46035</v>
      </c>
      <c r="G909" s="5">
        <v>13500</v>
      </c>
      <c r="H909" s="5">
        <v>11425.11</v>
      </c>
      <c r="I909" s="2" t="s">
        <v>37</v>
      </c>
      <c r="J909" s="2" t="s">
        <v>1541</v>
      </c>
      <c r="K909" t="s">
        <v>43</v>
      </c>
      <c r="L909" s="12">
        <f>MIS_Report!$B$2-F909</f>
        <v>275</v>
      </c>
      <c r="M909" t="str" cm="1">
        <f t="array" ref="M909">_xlfn.IFS(L909&lt;=30,"0-30",L909&lt;=60,"31-60",L909&lt;=90,"61-90",TRUE,"90+")</f>
        <v>90+</v>
      </c>
      <c r="N909">
        <f t="shared" si="29"/>
        <v>0</v>
      </c>
      <c r="O909" t="str">
        <f>VLOOKUP(K909,Agents!$A$1:$C$11,2,0)</f>
        <v>Manish Arora</v>
      </c>
      <c r="P909">
        <f t="shared" si="28"/>
        <v>0</v>
      </c>
    </row>
    <row r="910" spans="1:16" x14ac:dyDescent="0.25">
      <c r="A910" s="2" t="s">
        <v>1424</v>
      </c>
      <c r="B910" s="2" t="s">
        <v>803</v>
      </c>
      <c r="C910" s="2" t="s">
        <v>36</v>
      </c>
      <c r="D910" s="2" t="s">
        <v>68</v>
      </c>
      <c r="E910" s="4">
        <v>46275</v>
      </c>
      <c r="F910" s="4">
        <v>46295</v>
      </c>
      <c r="G910" s="5">
        <v>5100</v>
      </c>
      <c r="H910" s="5">
        <v>3043.72</v>
      </c>
      <c r="I910" s="2" t="s">
        <v>37</v>
      </c>
      <c r="J910" s="2" t="s">
        <v>1541</v>
      </c>
      <c r="K910" t="s">
        <v>109</v>
      </c>
      <c r="L910" s="12">
        <f>MIS_Report!$B$2-F910</f>
        <v>15</v>
      </c>
      <c r="M910" t="str" cm="1">
        <f t="array" ref="M910">_xlfn.IFS(L910&lt;=30,"0-30",L910&lt;=60,"31-60",L910&lt;=90,"61-90",TRUE,"90+")</f>
        <v>0-30</v>
      </c>
      <c r="N910">
        <f t="shared" si="29"/>
        <v>0</v>
      </c>
      <c r="O910" t="str">
        <f>VLOOKUP(K910,Agents!$A$1:$C$11,2,0)</f>
        <v>Deepak Nair</v>
      </c>
      <c r="P910">
        <f t="shared" si="28"/>
        <v>0</v>
      </c>
    </row>
    <row r="911" spans="1:16" x14ac:dyDescent="0.25">
      <c r="A911" s="2" t="s">
        <v>1425</v>
      </c>
      <c r="B911" s="2" t="s">
        <v>1240</v>
      </c>
      <c r="C911" s="2" t="s">
        <v>36</v>
      </c>
      <c r="D911" s="2" t="s">
        <v>41</v>
      </c>
      <c r="E911" s="4">
        <v>46118</v>
      </c>
      <c r="F911" s="4">
        <v>46137</v>
      </c>
      <c r="G911" s="5">
        <v>975</v>
      </c>
      <c r="H911" s="5"/>
      <c r="I911" s="2" t="s">
        <v>42</v>
      </c>
      <c r="J911" s="2" t="s">
        <v>1541</v>
      </c>
      <c r="K911" t="s">
        <v>65</v>
      </c>
      <c r="L911" s="12">
        <f>MIS_Report!$B$2-F911</f>
        <v>173</v>
      </c>
      <c r="M911" t="str" cm="1">
        <f t="array" ref="M911">_xlfn.IFS(L911&lt;=30,"0-30",L911&lt;=60,"31-60",L911&lt;=90,"61-90",TRUE,"90+")</f>
        <v>90+</v>
      </c>
      <c r="N911">
        <f t="shared" si="29"/>
        <v>975</v>
      </c>
      <c r="O911" t="str">
        <f>VLOOKUP(K911,Agents!$A$1:$C$11,2,0)</f>
        <v>Deepak Nair</v>
      </c>
      <c r="P911">
        <f t="shared" si="28"/>
        <v>0</v>
      </c>
    </row>
    <row r="912" spans="1:16" x14ac:dyDescent="0.25">
      <c r="A912" s="2" t="s">
        <v>1426</v>
      </c>
      <c r="B912" s="2" t="s">
        <v>564</v>
      </c>
      <c r="C912" s="2" t="s">
        <v>46</v>
      </c>
      <c r="D912" s="2" t="s">
        <v>41</v>
      </c>
      <c r="E912" s="4">
        <v>46094</v>
      </c>
      <c r="F912" s="4">
        <v>46101</v>
      </c>
      <c r="G912" s="5">
        <v>12350</v>
      </c>
      <c r="H912" s="5">
        <v>10022.16</v>
      </c>
      <c r="I912" s="2" t="s">
        <v>37</v>
      </c>
      <c r="J912" s="2" t="s">
        <v>1541</v>
      </c>
      <c r="K912" t="s">
        <v>56</v>
      </c>
      <c r="L912" s="12">
        <f>MIS_Report!$B$2-F912</f>
        <v>209</v>
      </c>
      <c r="M912" t="str" cm="1">
        <f t="array" ref="M912">_xlfn.IFS(L912&lt;=30,"0-30",L912&lt;=60,"31-60",L912&lt;=90,"61-90",TRUE,"90+")</f>
        <v>90+</v>
      </c>
      <c r="N912">
        <f t="shared" si="29"/>
        <v>0</v>
      </c>
      <c r="O912" t="str">
        <f>VLOOKUP(K912,Agents!$A$1:$C$11,2,0)</f>
        <v>Manish Arora</v>
      </c>
      <c r="P912">
        <f t="shared" si="28"/>
        <v>0</v>
      </c>
    </row>
    <row r="913" spans="1:16" x14ac:dyDescent="0.25">
      <c r="A913" s="2" t="s">
        <v>1427</v>
      </c>
      <c r="B913" s="2" t="s">
        <v>417</v>
      </c>
      <c r="C913" s="2" t="s">
        <v>36</v>
      </c>
      <c r="D913" s="2" t="s">
        <v>61</v>
      </c>
      <c r="E913" s="4">
        <v>46086</v>
      </c>
      <c r="F913" s="4">
        <v>46103</v>
      </c>
      <c r="G913" s="5">
        <v>13300</v>
      </c>
      <c r="H913" s="5"/>
      <c r="I913" s="2" t="s">
        <v>42</v>
      </c>
      <c r="J913" s="2" t="s">
        <v>1541</v>
      </c>
      <c r="K913" t="s">
        <v>56</v>
      </c>
      <c r="L913" s="12">
        <f>MIS_Report!$B$2-F913</f>
        <v>207</v>
      </c>
      <c r="M913" t="str" cm="1">
        <f t="array" ref="M913">_xlfn.IFS(L913&lt;=30,"0-30",L913&lt;=60,"31-60",L913&lt;=90,"61-90",TRUE,"90+")</f>
        <v>90+</v>
      </c>
      <c r="N913">
        <f t="shared" si="29"/>
        <v>13300</v>
      </c>
      <c r="O913" t="str">
        <f>VLOOKUP(K913,Agents!$A$1:$C$11,2,0)</f>
        <v>Manish Arora</v>
      </c>
      <c r="P913">
        <f t="shared" si="28"/>
        <v>0</v>
      </c>
    </row>
    <row r="914" spans="1:16" x14ac:dyDescent="0.25">
      <c r="A914" s="2" t="s">
        <v>1428</v>
      </c>
      <c r="B914" s="2" t="s">
        <v>523</v>
      </c>
      <c r="C914" s="2" t="s">
        <v>46</v>
      </c>
      <c r="D914" s="2" t="s">
        <v>61</v>
      </c>
      <c r="E914" s="4">
        <v>46233</v>
      </c>
      <c r="F914" s="4">
        <v>46248</v>
      </c>
      <c r="G914" s="5">
        <v>11700</v>
      </c>
      <c r="H914" s="5"/>
      <c r="I914" s="2" t="s">
        <v>42</v>
      </c>
      <c r="J914" s="2" t="s">
        <v>1541</v>
      </c>
      <c r="K914" t="s">
        <v>38</v>
      </c>
      <c r="L914" s="12">
        <f>MIS_Report!$B$2-F914</f>
        <v>62</v>
      </c>
      <c r="M914" t="str" cm="1">
        <f t="array" ref="M914">_xlfn.IFS(L914&lt;=30,"0-30",L914&lt;=60,"31-60",L914&lt;=90,"61-90",TRUE,"90+")</f>
        <v>61-90</v>
      </c>
      <c r="N914">
        <f t="shared" si="29"/>
        <v>11700</v>
      </c>
      <c r="O914" t="str">
        <f>VLOOKUP(K914,Agents!$A$1:$C$11,2,0)</f>
        <v>Sunita Rao</v>
      </c>
      <c r="P914">
        <f t="shared" si="28"/>
        <v>0</v>
      </c>
    </row>
    <row r="915" spans="1:16" x14ac:dyDescent="0.25">
      <c r="A915" s="2" t="s">
        <v>1429</v>
      </c>
      <c r="B915" s="2" t="s">
        <v>228</v>
      </c>
      <c r="C915" s="2" t="s">
        <v>79</v>
      </c>
      <c r="D915" s="2" t="s">
        <v>41</v>
      </c>
      <c r="E915" s="4">
        <v>46068</v>
      </c>
      <c r="F915" s="4">
        <v>46077</v>
      </c>
      <c r="G915" s="5">
        <v>2050</v>
      </c>
      <c r="H915" s="5">
        <v>1552.65</v>
      </c>
      <c r="I915" s="2" t="s">
        <v>37</v>
      </c>
      <c r="J915" s="2" t="s">
        <v>1541</v>
      </c>
      <c r="K915" t="s">
        <v>109</v>
      </c>
      <c r="L915" s="12">
        <f>MIS_Report!$B$2-F915</f>
        <v>233</v>
      </c>
      <c r="M915" t="str" cm="1">
        <f t="array" ref="M915">_xlfn.IFS(L915&lt;=30,"0-30",L915&lt;=60,"31-60",L915&lt;=90,"61-90",TRUE,"90+")</f>
        <v>90+</v>
      </c>
      <c r="N915">
        <f t="shared" si="29"/>
        <v>0</v>
      </c>
      <c r="O915" t="str">
        <f>VLOOKUP(K915,Agents!$A$1:$C$11,2,0)</f>
        <v>Deepak Nair</v>
      </c>
      <c r="P915">
        <f t="shared" si="28"/>
        <v>0</v>
      </c>
    </row>
    <row r="916" spans="1:16" x14ac:dyDescent="0.25">
      <c r="A916" s="2" t="s">
        <v>1430</v>
      </c>
      <c r="B916" s="2" t="s">
        <v>1030</v>
      </c>
      <c r="C916" s="2" t="s">
        <v>36</v>
      </c>
      <c r="D916" s="2" t="s">
        <v>94</v>
      </c>
      <c r="E916" s="4">
        <v>46091</v>
      </c>
      <c r="F916" s="4">
        <v>46105</v>
      </c>
      <c r="G916" s="5">
        <v>3600</v>
      </c>
      <c r="H916" s="5">
        <v>0</v>
      </c>
      <c r="I916" s="2" t="s">
        <v>31</v>
      </c>
      <c r="J916" s="2" t="s">
        <v>47</v>
      </c>
      <c r="K916" t="s">
        <v>109</v>
      </c>
      <c r="L916" s="12">
        <f>MIS_Report!$B$2-F916</f>
        <v>205</v>
      </c>
      <c r="M916" t="str" cm="1">
        <f t="array" ref="M916">_xlfn.IFS(L916&lt;=30,"0-30",L916&lt;=60,"31-60",L916&lt;=90,"61-90",TRUE,"90+")</f>
        <v>90+</v>
      </c>
      <c r="N916">
        <f t="shared" si="29"/>
        <v>0</v>
      </c>
      <c r="O916" t="str">
        <f>VLOOKUP(K916,Agents!$A$1:$C$11,2,0)</f>
        <v>Deepak Nair</v>
      </c>
      <c r="P916">
        <f t="shared" si="28"/>
        <v>3600</v>
      </c>
    </row>
    <row r="917" spans="1:16" x14ac:dyDescent="0.25">
      <c r="A917" s="2" t="s">
        <v>1431</v>
      </c>
      <c r="B917" s="2" t="s">
        <v>1226</v>
      </c>
      <c r="C917" s="2" t="s">
        <v>46</v>
      </c>
      <c r="D917" s="2" t="s">
        <v>68</v>
      </c>
      <c r="E917" s="4">
        <v>46048</v>
      </c>
      <c r="F917" s="4">
        <v>46067</v>
      </c>
      <c r="G917" s="5">
        <v>8650</v>
      </c>
      <c r="H917" s="5">
        <v>6173.82</v>
      </c>
      <c r="I917" s="2" t="s">
        <v>37</v>
      </c>
      <c r="J917" s="2" t="s">
        <v>1541</v>
      </c>
      <c r="K917" t="s">
        <v>48</v>
      </c>
      <c r="L917" s="12">
        <f>MIS_Report!$B$2-F917</f>
        <v>243</v>
      </c>
      <c r="M917" t="str" cm="1">
        <f t="array" ref="M917">_xlfn.IFS(L917&lt;=30,"0-30",L917&lt;=60,"31-60",L917&lt;=90,"61-90",TRUE,"90+")</f>
        <v>90+</v>
      </c>
      <c r="N917">
        <f t="shared" si="29"/>
        <v>0</v>
      </c>
      <c r="O917" t="str">
        <f>VLOOKUP(K917,Agents!$A$1:$C$11,2,0)</f>
        <v>Manish Arora</v>
      </c>
      <c r="P917">
        <f t="shared" si="28"/>
        <v>0</v>
      </c>
    </row>
    <row r="918" spans="1:16" x14ac:dyDescent="0.25">
      <c r="A918" s="2" t="s">
        <v>1432</v>
      </c>
      <c r="B918" s="2" t="s">
        <v>413</v>
      </c>
      <c r="C918" s="2" t="s">
        <v>79</v>
      </c>
      <c r="D918" s="2" t="s">
        <v>94</v>
      </c>
      <c r="E918" s="4">
        <v>46181</v>
      </c>
      <c r="F918" s="4">
        <v>46197</v>
      </c>
      <c r="G918" s="5">
        <v>14400</v>
      </c>
      <c r="H918" s="5"/>
      <c r="I918" s="2" t="s">
        <v>42</v>
      </c>
      <c r="J918" s="2" t="s">
        <v>1541</v>
      </c>
      <c r="K918" t="s">
        <v>48</v>
      </c>
      <c r="L918" s="12">
        <f>MIS_Report!$B$2-F918</f>
        <v>113</v>
      </c>
      <c r="M918" t="str" cm="1">
        <f t="array" ref="M918">_xlfn.IFS(L918&lt;=30,"0-30",L918&lt;=60,"31-60",L918&lt;=90,"61-90",TRUE,"90+")</f>
        <v>90+</v>
      </c>
      <c r="N918">
        <f t="shared" si="29"/>
        <v>14400</v>
      </c>
      <c r="O918" t="str">
        <f>VLOOKUP(K918,Agents!$A$1:$C$11,2,0)</f>
        <v>Manish Arora</v>
      </c>
      <c r="P918">
        <f t="shared" si="28"/>
        <v>0</v>
      </c>
    </row>
    <row r="919" spans="1:16" x14ac:dyDescent="0.25">
      <c r="A919" s="2" t="s">
        <v>1433</v>
      </c>
      <c r="B919" s="2" t="s">
        <v>1159</v>
      </c>
      <c r="C919" s="2" t="s">
        <v>79</v>
      </c>
      <c r="D919" s="2" t="s">
        <v>30</v>
      </c>
      <c r="E919" s="4">
        <v>46051</v>
      </c>
      <c r="F919" s="4">
        <v>46065</v>
      </c>
      <c r="G919" s="5">
        <v>3825</v>
      </c>
      <c r="H919" s="5"/>
      <c r="I919" s="2" t="s">
        <v>42</v>
      </c>
      <c r="J919" s="2" t="s">
        <v>1541</v>
      </c>
      <c r="K919" t="s">
        <v>62</v>
      </c>
      <c r="L919" s="12">
        <f>MIS_Report!$B$2-F919</f>
        <v>245</v>
      </c>
      <c r="M919" t="str" cm="1">
        <f t="array" ref="M919">_xlfn.IFS(L919&lt;=30,"0-30",L919&lt;=60,"31-60",L919&lt;=90,"61-90",TRUE,"90+")</f>
        <v>90+</v>
      </c>
      <c r="N919">
        <f t="shared" si="29"/>
        <v>3825</v>
      </c>
      <c r="O919" t="str">
        <f>VLOOKUP(K919,Agents!$A$1:$C$11,2,0)</f>
        <v>Sunita Rao</v>
      </c>
      <c r="P919">
        <f t="shared" si="28"/>
        <v>0</v>
      </c>
    </row>
    <row r="920" spans="1:16" x14ac:dyDescent="0.25">
      <c r="A920" s="2" t="s">
        <v>1434</v>
      </c>
      <c r="B920" s="2" t="s">
        <v>1370</v>
      </c>
      <c r="C920" s="2" t="s">
        <v>79</v>
      </c>
      <c r="D920" s="2" t="s">
        <v>30</v>
      </c>
      <c r="E920" s="4">
        <v>46088</v>
      </c>
      <c r="F920" s="4">
        <v>46095</v>
      </c>
      <c r="G920" s="5">
        <v>12975</v>
      </c>
      <c r="H920" s="5">
        <v>12189</v>
      </c>
      <c r="I920" s="2" t="s">
        <v>37</v>
      </c>
      <c r="J920" s="2" t="s">
        <v>1541</v>
      </c>
      <c r="K920" t="s">
        <v>52</v>
      </c>
      <c r="L920" s="12">
        <f>MIS_Report!$B$2-F920</f>
        <v>215</v>
      </c>
      <c r="M920" t="str" cm="1">
        <f t="array" ref="M920">_xlfn.IFS(L920&lt;=30,"0-30",L920&lt;=60,"31-60",L920&lt;=90,"61-90",TRUE,"90+")</f>
        <v>90+</v>
      </c>
      <c r="N920">
        <f t="shared" si="29"/>
        <v>0</v>
      </c>
      <c r="O920" t="str">
        <f>VLOOKUP(K920,Agents!$A$1:$C$11,2,0)</f>
        <v>Sunita Rao</v>
      </c>
      <c r="P920">
        <f t="shared" si="28"/>
        <v>0</v>
      </c>
    </row>
    <row r="921" spans="1:16" x14ac:dyDescent="0.25">
      <c r="A921" s="2" t="s">
        <v>1435</v>
      </c>
      <c r="B921" s="2" t="s">
        <v>1085</v>
      </c>
      <c r="C921" s="2" t="s">
        <v>46</v>
      </c>
      <c r="D921" s="2" t="s">
        <v>41</v>
      </c>
      <c r="E921" s="4">
        <v>46230</v>
      </c>
      <c r="F921" s="4">
        <v>46238</v>
      </c>
      <c r="G921" s="5">
        <v>1950</v>
      </c>
      <c r="H921" s="5">
        <v>1728.06</v>
      </c>
      <c r="I921" s="2" t="s">
        <v>37</v>
      </c>
      <c r="J921" s="2" t="s">
        <v>1541</v>
      </c>
      <c r="K921" t="s">
        <v>62</v>
      </c>
      <c r="L921" s="12">
        <f>MIS_Report!$B$2-F921</f>
        <v>72</v>
      </c>
      <c r="M921" t="str" cm="1">
        <f t="array" ref="M921">_xlfn.IFS(L921&lt;=30,"0-30",L921&lt;=60,"31-60",L921&lt;=90,"61-90",TRUE,"90+")</f>
        <v>61-90</v>
      </c>
      <c r="N921">
        <f t="shared" si="29"/>
        <v>0</v>
      </c>
      <c r="O921" t="str">
        <f>VLOOKUP(K921,Agents!$A$1:$C$11,2,0)</f>
        <v>Sunita Rao</v>
      </c>
      <c r="P921">
        <f t="shared" si="28"/>
        <v>0</v>
      </c>
    </row>
    <row r="922" spans="1:16" x14ac:dyDescent="0.25">
      <c r="A922" s="2" t="s">
        <v>1436</v>
      </c>
      <c r="B922" s="2" t="s">
        <v>1181</v>
      </c>
      <c r="C922" s="2" t="s">
        <v>29</v>
      </c>
      <c r="D922" s="2" t="s">
        <v>30</v>
      </c>
      <c r="E922" s="4">
        <v>46120</v>
      </c>
      <c r="F922" s="4">
        <v>46140</v>
      </c>
      <c r="G922" s="5">
        <v>10825</v>
      </c>
      <c r="H922" s="5"/>
      <c r="I922" s="2" t="s">
        <v>42</v>
      </c>
      <c r="J922" s="2" t="s">
        <v>1541</v>
      </c>
      <c r="K922" t="s">
        <v>109</v>
      </c>
      <c r="L922" s="12">
        <f>MIS_Report!$B$2-F922</f>
        <v>170</v>
      </c>
      <c r="M922" t="str" cm="1">
        <f t="array" ref="M922">_xlfn.IFS(L922&lt;=30,"0-30",L922&lt;=60,"31-60",L922&lt;=90,"61-90",TRUE,"90+")</f>
        <v>90+</v>
      </c>
      <c r="N922">
        <f t="shared" si="29"/>
        <v>10825</v>
      </c>
      <c r="O922" t="str">
        <f>VLOOKUP(K922,Agents!$A$1:$C$11,2,0)</f>
        <v>Deepak Nair</v>
      </c>
      <c r="P922">
        <f t="shared" si="28"/>
        <v>0</v>
      </c>
    </row>
    <row r="923" spans="1:16" x14ac:dyDescent="0.25">
      <c r="A923" s="2" t="s">
        <v>1438</v>
      </c>
      <c r="B923" s="2" t="s">
        <v>1439</v>
      </c>
      <c r="C923" s="2" t="s">
        <v>36</v>
      </c>
      <c r="D923" s="2" t="s">
        <v>41</v>
      </c>
      <c r="E923" s="4">
        <v>46262</v>
      </c>
      <c r="F923" s="4">
        <v>46265</v>
      </c>
      <c r="G923" s="5">
        <v>13275</v>
      </c>
      <c r="H923" s="5"/>
      <c r="I923" s="2" t="s">
        <v>42</v>
      </c>
      <c r="J923" s="2" t="s">
        <v>1541</v>
      </c>
      <c r="K923" t="s">
        <v>38</v>
      </c>
      <c r="L923" s="12">
        <f>MIS_Report!$B$2-F923</f>
        <v>45</v>
      </c>
      <c r="M923" t="str" cm="1">
        <f t="array" ref="M923">_xlfn.IFS(L923&lt;=30,"0-30",L923&lt;=60,"31-60",L923&lt;=90,"61-90",TRUE,"90+")</f>
        <v>31-60</v>
      </c>
      <c r="N923">
        <f t="shared" si="29"/>
        <v>13275</v>
      </c>
      <c r="O923" t="str">
        <f>VLOOKUP(K923,Agents!$A$1:$C$11,2,0)</f>
        <v>Sunita Rao</v>
      </c>
      <c r="P923">
        <f t="shared" si="28"/>
        <v>0</v>
      </c>
    </row>
    <row r="924" spans="1:16" x14ac:dyDescent="0.25">
      <c r="A924" s="2" t="s">
        <v>1440</v>
      </c>
      <c r="B924" s="2" t="s">
        <v>999</v>
      </c>
      <c r="C924" s="2" t="s">
        <v>29</v>
      </c>
      <c r="D924" s="2" t="s">
        <v>94</v>
      </c>
      <c r="E924" s="4">
        <v>46182</v>
      </c>
      <c r="F924" s="4">
        <v>46197</v>
      </c>
      <c r="G924" s="5">
        <v>5625</v>
      </c>
      <c r="H924" s="5">
        <v>3836.94</v>
      </c>
      <c r="I924" s="2" t="s">
        <v>37</v>
      </c>
      <c r="J924" s="2" t="s">
        <v>1541</v>
      </c>
      <c r="K924" t="s">
        <v>52</v>
      </c>
      <c r="L924" s="12">
        <f>MIS_Report!$B$2-F924</f>
        <v>113</v>
      </c>
      <c r="M924" t="str" cm="1">
        <f t="array" ref="M924">_xlfn.IFS(L924&lt;=30,"0-30",L924&lt;=60,"31-60",L924&lt;=90,"61-90",TRUE,"90+")</f>
        <v>90+</v>
      </c>
      <c r="N924">
        <f t="shared" si="29"/>
        <v>0</v>
      </c>
      <c r="O924" t="str">
        <f>VLOOKUP(K924,Agents!$A$1:$C$11,2,0)</f>
        <v>Sunita Rao</v>
      </c>
      <c r="P924">
        <f t="shared" si="28"/>
        <v>0</v>
      </c>
    </row>
    <row r="925" spans="1:16" x14ac:dyDescent="0.25">
      <c r="A925" s="2" t="s">
        <v>1441</v>
      </c>
      <c r="B925" s="2" t="s">
        <v>423</v>
      </c>
      <c r="C925" s="2" t="s">
        <v>79</v>
      </c>
      <c r="D925" s="2" t="s">
        <v>30</v>
      </c>
      <c r="E925" s="4">
        <v>46081</v>
      </c>
      <c r="F925" s="4">
        <v>46093</v>
      </c>
      <c r="G925" s="5">
        <v>1100</v>
      </c>
      <c r="H925" s="5">
        <v>0</v>
      </c>
      <c r="I925" s="2" t="s">
        <v>31</v>
      </c>
      <c r="J925" s="2" t="s">
        <v>116</v>
      </c>
      <c r="K925" t="s">
        <v>43</v>
      </c>
      <c r="L925" s="12">
        <f>MIS_Report!$B$2-F925</f>
        <v>217</v>
      </c>
      <c r="M925" t="str" cm="1">
        <f t="array" ref="M925">_xlfn.IFS(L925&lt;=30,"0-30",L925&lt;=60,"31-60",L925&lt;=90,"61-90",TRUE,"90+")</f>
        <v>90+</v>
      </c>
      <c r="N925">
        <f t="shared" si="29"/>
        <v>0</v>
      </c>
      <c r="O925" t="str">
        <f>VLOOKUP(K925,Agents!$A$1:$C$11,2,0)</f>
        <v>Manish Arora</v>
      </c>
      <c r="P925">
        <f t="shared" si="28"/>
        <v>1100</v>
      </c>
    </row>
    <row r="926" spans="1:16" x14ac:dyDescent="0.25">
      <c r="A926" s="2" t="s">
        <v>1442</v>
      </c>
      <c r="B926" s="2" t="s">
        <v>396</v>
      </c>
      <c r="C926" s="2" t="s">
        <v>36</v>
      </c>
      <c r="D926" s="2" t="s">
        <v>68</v>
      </c>
      <c r="E926" s="4">
        <v>46113</v>
      </c>
      <c r="F926" s="4">
        <v>46131</v>
      </c>
      <c r="G926" s="5">
        <v>5625</v>
      </c>
      <c r="H926" s="5">
        <v>3492.55</v>
      </c>
      <c r="I926" s="2" t="s">
        <v>37</v>
      </c>
      <c r="J926" s="2" t="s">
        <v>1541</v>
      </c>
      <c r="K926" t="s">
        <v>65</v>
      </c>
      <c r="L926" s="12">
        <f>MIS_Report!$B$2-F926</f>
        <v>179</v>
      </c>
      <c r="M926" t="str" cm="1">
        <f t="array" ref="M926">_xlfn.IFS(L926&lt;=30,"0-30",L926&lt;=60,"31-60",L926&lt;=90,"61-90",TRUE,"90+")</f>
        <v>90+</v>
      </c>
      <c r="N926">
        <f t="shared" si="29"/>
        <v>0</v>
      </c>
      <c r="O926" t="str">
        <f>VLOOKUP(K926,Agents!$A$1:$C$11,2,0)</f>
        <v>Deepak Nair</v>
      </c>
      <c r="P926">
        <f t="shared" si="28"/>
        <v>0</v>
      </c>
    </row>
    <row r="927" spans="1:16" x14ac:dyDescent="0.25">
      <c r="A927" s="2" t="s">
        <v>1443</v>
      </c>
      <c r="B927" s="2" t="s">
        <v>330</v>
      </c>
      <c r="C927" s="2" t="s">
        <v>29</v>
      </c>
      <c r="D927" s="2" t="s">
        <v>80</v>
      </c>
      <c r="E927" s="4">
        <v>46097</v>
      </c>
      <c r="F927" s="4">
        <v>46115</v>
      </c>
      <c r="G927" s="5">
        <v>14675</v>
      </c>
      <c r="H927" s="5">
        <v>12120.34</v>
      </c>
      <c r="I927" s="2" t="s">
        <v>37</v>
      </c>
      <c r="J927" s="2" t="s">
        <v>1541</v>
      </c>
      <c r="K927" t="s">
        <v>62</v>
      </c>
      <c r="L927" s="12">
        <f>MIS_Report!$B$2-F927</f>
        <v>195</v>
      </c>
      <c r="M927" t="str" cm="1">
        <f t="array" ref="M927">_xlfn.IFS(L927&lt;=30,"0-30",L927&lt;=60,"31-60",L927&lt;=90,"61-90",TRUE,"90+")</f>
        <v>90+</v>
      </c>
      <c r="N927">
        <f t="shared" si="29"/>
        <v>0</v>
      </c>
      <c r="O927" t="str">
        <f>VLOOKUP(K927,Agents!$A$1:$C$11,2,0)</f>
        <v>Sunita Rao</v>
      </c>
      <c r="P927">
        <f t="shared" si="28"/>
        <v>0</v>
      </c>
    </row>
    <row r="928" spans="1:16" x14ac:dyDescent="0.25">
      <c r="A928" s="2" t="s">
        <v>1444</v>
      </c>
      <c r="B928" s="2" t="s">
        <v>326</v>
      </c>
      <c r="C928" s="2" t="s">
        <v>46</v>
      </c>
      <c r="D928" s="2" t="s">
        <v>80</v>
      </c>
      <c r="E928" s="4">
        <v>46113</v>
      </c>
      <c r="F928" s="4">
        <v>46122</v>
      </c>
      <c r="G928" s="5">
        <v>11350</v>
      </c>
      <c r="H928" s="5">
        <v>9674.01</v>
      </c>
      <c r="I928" s="2" t="s">
        <v>37</v>
      </c>
      <c r="J928" s="2" t="s">
        <v>1541</v>
      </c>
      <c r="K928" t="s">
        <v>62</v>
      </c>
      <c r="L928" s="12">
        <f>MIS_Report!$B$2-F928</f>
        <v>188</v>
      </c>
      <c r="M928" t="str" cm="1">
        <f t="array" ref="M928">_xlfn.IFS(L928&lt;=30,"0-30",L928&lt;=60,"31-60",L928&lt;=90,"61-90",TRUE,"90+")</f>
        <v>90+</v>
      </c>
      <c r="N928">
        <f t="shared" si="29"/>
        <v>0</v>
      </c>
      <c r="O928" t="str">
        <f>VLOOKUP(K928,Agents!$A$1:$C$11,2,0)</f>
        <v>Sunita Rao</v>
      </c>
      <c r="P928">
        <f t="shared" si="28"/>
        <v>0</v>
      </c>
    </row>
    <row r="929" spans="1:16" x14ac:dyDescent="0.25">
      <c r="A929" s="2" t="s">
        <v>1445</v>
      </c>
      <c r="B929" s="2" t="s">
        <v>562</v>
      </c>
      <c r="C929" s="2" t="s">
        <v>79</v>
      </c>
      <c r="D929" s="2" t="s">
        <v>55</v>
      </c>
      <c r="E929" s="4">
        <v>46155</v>
      </c>
      <c r="F929" s="4">
        <v>46161</v>
      </c>
      <c r="G929" s="5">
        <v>750</v>
      </c>
      <c r="H929" s="5">
        <v>638.25</v>
      </c>
      <c r="I929" s="2" t="s">
        <v>37</v>
      </c>
      <c r="J929" s="2" t="s">
        <v>1541</v>
      </c>
      <c r="K929" t="s">
        <v>109</v>
      </c>
      <c r="L929" s="12">
        <f>MIS_Report!$B$2-F929</f>
        <v>149</v>
      </c>
      <c r="M929" t="str" cm="1">
        <f t="array" ref="M929">_xlfn.IFS(L929&lt;=30,"0-30",L929&lt;=60,"31-60",L929&lt;=90,"61-90",TRUE,"90+")</f>
        <v>90+</v>
      </c>
      <c r="N929">
        <f t="shared" si="29"/>
        <v>0</v>
      </c>
      <c r="O929" t="str">
        <f>VLOOKUP(K929,Agents!$A$1:$C$11,2,0)</f>
        <v>Deepak Nair</v>
      </c>
      <c r="P929">
        <f t="shared" si="28"/>
        <v>0</v>
      </c>
    </row>
    <row r="930" spans="1:16" x14ac:dyDescent="0.25">
      <c r="A930" s="2" t="s">
        <v>1446</v>
      </c>
      <c r="B930" s="2" t="s">
        <v>1231</v>
      </c>
      <c r="C930" s="2" t="s">
        <v>36</v>
      </c>
      <c r="D930" s="2" t="s">
        <v>68</v>
      </c>
      <c r="E930" s="4">
        <v>46029</v>
      </c>
      <c r="F930" s="4">
        <v>46048</v>
      </c>
      <c r="G930" s="5">
        <v>8450</v>
      </c>
      <c r="H930" s="5">
        <v>7510.44</v>
      </c>
      <c r="I930" s="2" t="s">
        <v>37</v>
      </c>
      <c r="J930" s="2" t="s">
        <v>1541</v>
      </c>
      <c r="K930" t="s">
        <v>65</v>
      </c>
      <c r="L930" s="12">
        <f>MIS_Report!$B$2-F930</f>
        <v>262</v>
      </c>
      <c r="M930" t="str" cm="1">
        <f t="array" ref="M930">_xlfn.IFS(L930&lt;=30,"0-30",L930&lt;=60,"31-60",L930&lt;=90,"61-90",TRUE,"90+")</f>
        <v>90+</v>
      </c>
      <c r="N930">
        <f t="shared" si="29"/>
        <v>0</v>
      </c>
      <c r="O930" t="str">
        <f>VLOOKUP(K930,Agents!$A$1:$C$11,2,0)</f>
        <v>Deepak Nair</v>
      </c>
      <c r="P930">
        <f t="shared" si="28"/>
        <v>0</v>
      </c>
    </row>
    <row r="931" spans="1:16" x14ac:dyDescent="0.25">
      <c r="A931" s="2" t="s">
        <v>1447</v>
      </c>
      <c r="B931" s="2" t="s">
        <v>405</v>
      </c>
      <c r="C931" s="2" t="s">
        <v>79</v>
      </c>
      <c r="D931" s="2" t="s">
        <v>30</v>
      </c>
      <c r="E931" s="4">
        <v>46083</v>
      </c>
      <c r="F931" s="4">
        <v>46086</v>
      </c>
      <c r="G931" s="5">
        <v>12775</v>
      </c>
      <c r="H931" s="5">
        <v>10055.59</v>
      </c>
      <c r="I931" s="2" t="s">
        <v>37</v>
      </c>
      <c r="J931" s="2" t="s">
        <v>1541</v>
      </c>
      <c r="K931" t="s">
        <v>52</v>
      </c>
      <c r="L931" s="12">
        <f>MIS_Report!$B$2-F931</f>
        <v>224</v>
      </c>
      <c r="M931" t="str" cm="1">
        <f t="array" ref="M931">_xlfn.IFS(L931&lt;=30,"0-30",L931&lt;=60,"31-60",L931&lt;=90,"61-90",TRUE,"90+")</f>
        <v>90+</v>
      </c>
      <c r="N931">
        <f t="shared" si="29"/>
        <v>0</v>
      </c>
      <c r="O931" t="str">
        <f>VLOOKUP(K931,Agents!$A$1:$C$11,2,0)</f>
        <v>Sunita Rao</v>
      </c>
      <c r="P931">
        <f t="shared" si="28"/>
        <v>0</v>
      </c>
    </row>
    <row r="932" spans="1:16" x14ac:dyDescent="0.25">
      <c r="A932" s="2" t="s">
        <v>1448</v>
      </c>
      <c r="B932" s="2" t="s">
        <v>1313</v>
      </c>
      <c r="C932" s="2" t="s">
        <v>46</v>
      </c>
      <c r="D932" s="2" t="s">
        <v>61</v>
      </c>
      <c r="E932" s="4">
        <v>46186</v>
      </c>
      <c r="F932" s="4">
        <v>46195</v>
      </c>
      <c r="G932" s="5">
        <v>6675</v>
      </c>
      <c r="H932" s="5">
        <v>4190.4799999999996</v>
      </c>
      <c r="I932" s="2" t="s">
        <v>37</v>
      </c>
      <c r="J932" s="2" t="s">
        <v>1541</v>
      </c>
      <c r="K932" t="s">
        <v>48</v>
      </c>
      <c r="L932" s="12">
        <f>MIS_Report!$B$2-F932</f>
        <v>115</v>
      </c>
      <c r="M932" t="str" cm="1">
        <f t="array" ref="M932">_xlfn.IFS(L932&lt;=30,"0-30",L932&lt;=60,"31-60",L932&lt;=90,"61-90",TRUE,"90+")</f>
        <v>90+</v>
      </c>
      <c r="N932">
        <f t="shared" si="29"/>
        <v>0</v>
      </c>
      <c r="O932" t="str">
        <f>VLOOKUP(K932,Agents!$A$1:$C$11,2,0)</f>
        <v>Manish Arora</v>
      </c>
      <c r="P932">
        <f t="shared" si="28"/>
        <v>0</v>
      </c>
    </row>
    <row r="933" spans="1:16" x14ac:dyDescent="0.25">
      <c r="A933" s="2" t="s">
        <v>1449</v>
      </c>
      <c r="B933" s="2" t="s">
        <v>1202</v>
      </c>
      <c r="C933" s="2" t="s">
        <v>46</v>
      </c>
      <c r="D933" s="2" t="s">
        <v>68</v>
      </c>
      <c r="E933" s="4">
        <v>46251</v>
      </c>
      <c r="F933" s="4">
        <v>46270</v>
      </c>
      <c r="G933" s="5">
        <v>6050</v>
      </c>
      <c r="H933" s="5">
        <v>0</v>
      </c>
      <c r="I933" s="2" t="s">
        <v>31</v>
      </c>
      <c r="J933" s="2" t="s">
        <v>347</v>
      </c>
      <c r="K933" t="s">
        <v>38</v>
      </c>
      <c r="L933" s="12">
        <f>MIS_Report!$B$2-F933</f>
        <v>40</v>
      </c>
      <c r="M933" t="str" cm="1">
        <f t="array" ref="M933">_xlfn.IFS(L933&lt;=30,"0-30",L933&lt;=60,"31-60",L933&lt;=90,"61-90",TRUE,"90+")</f>
        <v>31-60</v>
      </c>
      <c r="N933">
        <f t="shared" si="29"/>
        <v>0</v>
      </c>
      <c r="O933" t="str">
        <f>VLOOKUP(K933,Agents!$A$1:$C$11,2,0)</f>
        <v>Sunita Rao</v>
      </c>
      <c r="P933">
        <f t="shared" si="28"/>
        <v>6050</v>
      </c>
    </row>
    <row r="934" spans="1:16" x14ac:dyDescent="0.25">
      <c r="A934" s="2" t="s">
        <v>1450</v>
      </c>
      <c r="B934" s="2" t="s">
        <v>343</v>
      </c>
      <c r="C934" s="2" t="s">
        <v>46</v>
      </c>
      <c r="D934" s="2" t="s">
        <v>68</v>
      </c>
      <c r="E934" s="4">
        <v>46068</v>
      </c>
      <c r="F934" s="4">
        <v>46073</v>
      </c>
      <c r="G934" s="5">
        <v>1725</v>
      </c>
      <c r="H934" s="5">
        <v>1162.3399999999999</v>
      </c>
      <c r="I934" s="2" t="s">
        <v>37</v>
      </c>
      <c r="J934" s="2" t="s">
        <v>1541</v>
      </c>
      <c r="K934" t="s">
        <v>48</v>
      </c>
      <c r="L934" s="12">
        <f>MIS_Report!$B$2-F934</f>
        <v>237</v>
      </c>
      <c r="M934" t="str" cm="1">
        <f t="array" ref="M934">_xlfn.IFS(L934&lt;=30,"0-30",L934&lt;=60,"31-60",L934&lt;=90,"61-90",TRUE,"90+")</f>
        <v>90+</v>
      </c>
      <c r="N934">
        <f t="shared" si="29"/>
        <v>0</v>
      </c>
      <c r="O934" t="str">
        <f>VLOOKUP(K934,Agents!$A$1:$C$11,2,0)</f>
        <v>Manish Arora</v>
      </c>
      <c r="P934">
        <f t="shared" si="28"/>
        <v>0</v>
      </c>
    </row>
    <row r="935" spans="1:16" x14ac:dyDescent="0.25">
      <c r="A935" s="2" t="s">
        <v>1451</v>
      </c>
      <c r="B935" s="2" t="s">
        <v>282</v>
      </c>
      <c r="C935" s="2" t="s">
        <v>29</v>
      </c>
      <c r="D935" s="2" t="s">
        <v>41</v>
      </c>
      <c r="E935" s="4">
        <v>46086</v>
      </c>
      <c r="F935" s="4">
        <v>46096</v>
      </c>
      <c r="G935" s="5">
        <v>6325</v>
      </c>
      <c r="H935" s="5"/>
      <c r="I935" s="2" t="s">
        <v>42</v>
      </c>
      <c r="J935" s="2" t="s">
        <v>1541</v>
      </c>
      <c r="K935" t="s">
        <v>38</v>
      </c>
      <c r="L935" s="12">
        <f>MIS_Report!$B$2-F935</f>
        <v>214</v>
      </c>
      <c r="M935" t="str" cm="1">
        <f t="array" ref="M935">_xlfn.IFS(L935&lt;=30,"0-30",L935&lt;=60,"31-60",L935&lt;=90,"61-90",TRUE,"90+")</f>
        <v>90+</v>
      </c>
      <c r="N935">
        <f t="shared" si="29"/>
        <v>6325</v>
      </c>
      <c r="O935" t="str">
        <f>VLOOKUP(K935,Agents!$A$1:$C$11,2,0)</f>
        <v>Sunita Rao</v>
      </c>
      <c r="P935">
        <f t="shared" si="28"/>
        <v>0</v>
      </c>
    </row>
    <row r="936" spans="1:16" x14ac:dyDescent="0.25">
      <c r="A936" s="2" t="s">
        <v>1452</v>
      </c>
      <c r="B936" s="2" t="s">
        <v>1453</v>
      </c>
      <c r="C936" s="2" t="s">
        <v>36</v>
      </c>
      <c r="D936" s="2" t="s">
        <v>68</v>
      </c>
      <c r="E936" s="4">
        <v>46142</v>
      </c>
      <c r="F936" s="4">
        <v>46156</v>
      </c>
      <c r="G936" s="5">
        <v>7050</v>
      </c>
      <c r="H936" s="5">
        <v>6440.9</v>
      </c>
      <c r="I936" s="2" t="s">
        <v>37</v>
      </c>
      <c r="J936" s="2" t="s">
        <v>1541</v>
      </c>
      <c r="K936" t="s">
        <v>52</v>
      </c>
      <c r="L936" s="12">
        <f>MIS_Report!$B$2-F936</f>
        <v>154</v>
      </c>
      <c r="M936" t="str" cm="1">
        <f t="array" ref="M936">_xlfn.IFS(L936&lt;=30,"0-30",L936&lt;=60,"31-60",L936&lt;=90,"61-90",TRUE,"90+")</f>
        <v>90+</v>
      </c>
      <c r="N936">
        <f t="shared" si="29"/>
        <v>0</v>
      </c>
      <c r="O936" t="str">
        <f>VLOOKUP(K936,Agents!$A$1:$C$11,2,0)</f>
        <v>Sunita Rao</v>
      </c>
      <c r="P936">
        <f t="shared" si="28"/>
        <v>0</v>
      </c>
    </row>
    <row r="937" spans="1:16" x14ac:dyDescent="0.25">
      <c r="A937" s="2" t="s">
        <v>1454</v>
      </c>
      <c r="B937" s="2" t="s">
        <v>615</v>
      </c>
      <c r="C937" s="2" t="s">
        <v>36</v>
      </c>
      <c r="D937" s="2" t="s">
        <v>1538</v>
      </c>
      <c r="E937" s="4">
        <v>46226</v>
      </c>
      <c r="F937" s="4">
        <v>46239</v>
      </c>
      <c r="G937" s="5">
        <v>11825</v>
      </c>
      <c r="H937" s="5"/>
      <c r="I937" s="2" t="s">
        <v>42</v>
      </c>
      <c r="J937" s="2" t="s">
        <v>1541</v>
      </c>
      <c r="K937" t="s">
        <v>33</v>
      </c>
      <c r="L937" s="12">
        <f>MIS_Report!$B$2-F937</f>
        <v>71</v>
      </c>
      <c r="M937" t="str" cm="1">
        <f t="array" ref="M937">_xlfn.IFS(L937&lt;=30,"0-30",L937&lt;=60,"31-60",L937&lt;=90,"61-90",TRUE,"90+")</f>
        <v>61-90</v>
      </c>
      <c r="N937">
        <f t="shared" si="29"/>
        <v>11825</v>
      </c>
      <c r="O937" t="str">
        <f>VLOOKUP(K937,Agents!$A$1:$C$11,2,0)</f>
        <v>Manish Arora</v>
      </c>
      <c r="P937">
        <f t="shared" si="28"/>
        <v>0</v>
      </c>
    </row>
    <row r="938" spans="1:16" x14ac:dyDescent="0.25">
      <c r="A938" s="2" t="s">
        <v>1455</v>
      </c>
      <c r="B938" s="2" t="s">
        <v>571</v>
      </c>
      <c r="C938" s="2" t="s">
        <v>29</v>
      </c>
      <c r="D938" s="2" t="s">
        <v>61</v>
      </c>
      <c r="E938" s="4">
        <v>46215</v>
      </c>
      <c r="F938" s="4">
        <v>46224</v>
      </c>
      <c r="G938" s="5">
        <v>4075</v>
      </c>
      <c r="H938" s="5"/>
      <c r="I938" s="2" t="s">
        <v>42</v>
      </c>
      <c r="J938" s="2" t="s">
        <v>1541</v>
      </c>
      <c r="K938" t="s">
        <v>56</v>
      </c>
      <c r="L938" s="12">
        <f>MIS_Report!$B$2-F938</f>
        <v>86</v>
      </c>
      <c r="M938" t="str" cm="1">
        <f t="array" ref="M938">_xlfn.IFS(L938&lt;=30,"0-30",L938&lt;=60,"31-60",L938&lt;=90,"61-90",TRUE,"90+")</f>
        <v>61-90</v>
      </c>
      <c r="N938">
        <f t="shared" si="29"/>
        <v>4075</v>
      </c>
      <c r="O938" t="str">
        <f>VLOOKUP(K938,Agents!$A$1:$C$11,2,0)</f>
        <v>Manish Arora</v>
      </c>
      <c r="P938">
        <f t="shared" si="28"/>
        <v>0</v>
      </c>
    </row>
    <row r="939" spans="1:16" x14ac:dyDescent="0.25">
      <c r="A939" s="2" t="s">
        <v>1456</v>
      </c>
      <c r="B939" s="2" t="s">
        <v>197</v>
      </c>
      <c r="C939" s="2" t="s">
        <v>79</v>
      </c>
      <c r="D939" s="2" t="s">
        <v>80</v>
      </c>
      <c r="E939" s="4">
        <v>46103</v>
      </c>
      <c r="F939" s="4">
        <v>46120</v>
      </c>
      <c r="G939" s="5">
        <v>14950</v>
      </c>
      <c r="H939" s="5"/>
      <c r="I939" s="2" t="s">
        <v>42</v>
      </c>
      <c r="J939" s="2" t="s">
        <v>1541</v>
      </c>
      <c r="K939" t="s">
        <v>38</v>
      </c>
      <c r="L939" s="12">
        <f>MIS_Report!$B$2-F939</f>
        <v>190</v>
      </c>
      <c r="M939" t="str" cm="1">
        <f t="array" ref="M939">_xlfn.IFS(L939&lt;=30,"0-30",L939&lt;=60,"31-60",L939&lt;=90,"61-90",TRUE,"90+")</f>
        <v>90+</v>
      </c>
      <c r="N939">
        <f t="shared" si="29"/>
        <v>14950</v>
      </c>
      <c r="O939" t="str">
        <f>VLOOKUP(K939,Agents!$A$1:$C$11,2,0)</f>
        <v>Sunita Rao</v>
      </c>
      <c r="P939">
        <f t="shared" si="28"/>
        <v>0</v>
      </c>
    </row>
    <row r="940" spans="1:16" x14ac:dyDescent="0.25">
      <c r="A940" s="2" t="s">
        <v>1457</v>
      </c>
      <c r="B940" s="2" t="s">
        <v>156</v>
      </c>
      <c r="C940" s="2" t="s">
        <v>79</v>
      </c>
      <c r="D940" s="2" t="s">
        <v>41</v>
      </c>
      <c r="E940" s="4">
        <v>46028</v>
      </c>
      <c r="F940" s="4">
        <v>46036</v>
      </c>
      <c r="G940" s="5">
        <v>10700</v>
      </c>
      <c r="H940" s="5">
        <v>9231.33</v>
      </c>
      <c r="I940" s="2" t="s">
        <v>37</v>
      </c>
      <c r="J940" s="2" t="s">
        <v>1541</v>
      </c>
      <c r="K940" t="s">
        <v>48</v>
      </c>
      <c r="L940" s="12">
        <f>MIS_Report!$B$2-F940</f>
        <v>274</v>
      </c>
      <c r="M940" t="str" cm="1">
        <f t="array" ref="M940">_xlfn.IFS(L940&lt;=30,"0-30",L940&lt;=60,"31-60",L940&lt;=90,"61-90",TRUE,"90+")</f>
        <v>90+</v>
      </c>
      <c r="N940">
        <f t="shared" si="29"/>
        <v>0</v>
      </c>
      <c r="O940" t="str">
        <f>VLOOKUP(K940,Agents!$A$1:$C$11,2,0)</f>
        <v>Manish Arora</v>
      </c>
      <c r="P940">
        <f t="shared" si="28"/>
        <v>0</v>
      </c>
    </row>
    <row r="941" spans="1:16" x14ac:dyDescent="0.25">
      <c r="A941" s="2" t="s">
        <v>1458</v>
      </c>
      <c r="B941" s="2" t="s">
        <v>243</v>
      </c>
      <c r="C941" s="2" t="s">
        <v>29</v>
      </c>
      <c r="D941" s="2" t="s">
        <v>41</v>
      </c>
      <c r="E941" s="4">
        <v>46259</v>
      </c>
      <c r="F941" s="4">
        <v>46268</v>
      </c>
      <c r="G941" s="5">
        <v>5200</v>
      </c>
      <c r="H941" s="5"/>
      <c r="I941" s="2" t="s">
        <v>42</v>
      </c>
      <c r="J941" s="2" t="s">
        <v>1541</v>
      </c>
      <c r="K941" t="s">
        <v>65</v>
      </c>
      <c r="L941" s="12">
        <f>MIS_Report!$B$2-F941</f>
        <v>42</v>
      </c>
      <c r="M941" t="str" cm="1">
        <f t="array" ref="M941">_xlfn.IFS(L941&lt;=30,"0-30",L941&lt;=60,"31-60",L941&lt;=90,"61-90",TRUE,"90+")</f>
        <v>31-60</v>
      </c>
      <c r="N941">
        <f t="shared" si="29"/>
        <v>5200</v>
      </c>
      <c r="O941" t="str">
        <f>VLOOKUP(K941,Agents!$A$1:$C$11,2,0)</f>
        <v>Deepak Nair</v>
      </c>
      <c r="P941">
        <f t="shared" si="28"/>
        <v>0</v>
      </c>
    </row>
    <row r="942" spans="1:16" x14ac:dyDescent="0.25">
      <c r="A942" s="2" t="s">
        <v>1459</v>
      </c>
      <c r="B942" s="2" t="s">
        <v>858</v>
      </c>
      <c r="C942" s="2" t="s">
        <v>79</v>
      </c>
      <c r="D942" s="2" t="s">
        <v>55</v>
      </c>
      <c r="E942" s="4">
        <v>46258</v>
      </c>
      <c r="F942" s="4">
        <v>46277</v>
      </c>
      <c r="G942" s="5">
        <v>2325</v>
      </c>
      <c r="H942" s="5"/>
      <c r="I942" s="2" t="s">
        <v>42</v>
      </c>
      <c r="J942" s="2" t="s">
        <v>1541</v>
      </c>
      <c r="K942" t="s">
        <v>33</v>
      </c>
      <c r="L942" s="12">
        <f>MIS_Report!$B$2-F942</f>
        <v>33</v>
      </c>
      <c r="M942" t="str" cm="1">
        <f t="array" ref="M942">_xlfn.IFS(L942&lt;=30,"0-30",L942&lt;=60,"31-60",L942&lt;=90,"61-90",TRUE,"90+")</f>
        <v>31-60</v>
      </c>
      <c r="N942">
        <f t="shared" si="29"/>
        <v>2325</v>
      </c>
      <c r="O942" t="str">
        <f>VLOOKUP(K942,Agents!$A$1:$C$11,2,0)</f>
        <v>Manish Arora</v>
      </c>
      <c r="P942">
        <f t="shared" si="28"/>
        <v>0</v>
      </c>
    </row>
    <row r="943" spans="1:16" x14ac:dyDescent="0.25">
      <c r="A943" s="2" t="s">
        <v>1460</v>
      </c>
      <c r="B943" s="2" t="s">
        <v>362</v>
      </c>
      <c r="C943" s="2" t="s">
        <v>36</v>
      </c>
      <c r="D943" s="2" t="s">
        <v>55</v>
      </c>
      <c r="E943" s="4">
        <v>46194</v>
      </c>
      <c r="F943" s="4">
        <v>46211</v>
      </c>
      <c r="G943" s="5">
        <v>2100</v>
      </c>
      <c r="H943" s="5"/>
      <c r="I943" s="2" t="s">
        <v>42</v>
      </c>
      <c r="J943" s="2" t="s">
        <v>1541</v>
      </c>
      <c r="K943" t="s">
        <v>52</v>
      </c>
      <c r="L943" s="12">
        <f>MIS_Report!$B$2-F943</f>
        <v>99</v>
      </c>
      <c r="M943" t="str" cm="1">
        <f t="array" ref="M943">_xlfn.IFS(L943&lt;=30,"0-30",L943&lt;=60,"31-60",L943&lt;=90,"61-90",TRUE,"90+")</f>
        <v>90+</v>
      </c>
      <c r="N943">
        <f t="shared" si="29"/>
        <v>2100</v>
      </c>
      <c r="O943" t="str">
        <f>VLOOKUP(K943,Agents!$A$1:$C$11,2,0)</f>
        <v>Sunita Rao</v>
      </c>
      <c r="P943">
        <f t="shared" si="28"/>
        <v>0</v>
      </c>
    </row>
    <row r="944" spans="1:16" x14ac:dyDescent="0.25">
      <c r="A944" s="2" t="s">
        <v>1461</v>
      </c>
      <c r="B944" s="2" t="s">
        <v>1240</v>
      </c>
      <c r="C944" s="2" t="s">
        <v>29</v>
      </c>
      <c r="D944" s="2" t="s">
        <v>80</v>
      </c>
      <c r="E944" s="4">
        <v>46257</v>
      </c>
      <c r="F944" s="4">
        <v>46260</v>
      </c>
      <c r="G944" s="5">
        <v>1900</v>
      </c>
      <c r="H944" s="5"/>
      <c r="I944" s="2" t="s">
        <v>42</v>
      </c>
      <c r="J944" s="2" t="s">
        <v>1541</v>
      </c>
      <c r="K944" t="s">
        <v>62</v>
      </c>
      <c r="L944" s="12">
        <f>MIS_Report!$B$2-F944</f>
        <v>50</v>
      </c>
      <c r="M944" t="str" cm="1">
        <f t="array" ref="M944">_xlfn.IFS(L944&lt;=30,"0-30",L944&lt;=60,"31-60",L944&lt;=90,"61-90",TRUE,"90+")</f>
        <v>31-60</v>
      </c>
      <c r="N944">
        <f t="shared" si="29"/>
        <v>1900</v>
      </c>
      <c r="O944" t="str">
        <f>VLOOKUP(K944,Agents!$A$1:$C$11,2,0)</f>
        <v>Sunita Rao</v>
      </c>
      <c r="P944">
        <f t="shared" si="28"/>
        <v>0</v>
      </c>
    </row>
    <row r="945" spans="1:16" x14ac:dyDescent="0.25">
      <c r="A945" s="2" t="s">
        <v>1462</v>
      </c>
      <c r="B945" s="2" t="s">
        <v>896</v>
      </c>
      <c r="C945" s="2" t="s">
        <v>29</v>
      </c>
      <c r="D945" s="2" t="s">
        <v>71</v>
      </c>
      <c r="E945" s="4">
        <v>46125</v>
      </c>
      <c r="F945" s="4">
        <v>46139</v>
      </c>
      <c r="G945" s="5">
        <v>1625</v>
      </c>
      <c r="H945" s="5">
        <v>1187.83</v>
      </c>
      <c r="I945" s="2" t="s">
        <v>37</v>
      </c>
      <c r="J945" s="2" t="s">
        <v>1541</v>
      </c>
      <c r="K945" t="s">
        <v>109</v>
      </c>
      <c r="L945" s="12">
        <f>MIS_Report!$B$2-F945</f>
        <v>171</v>
      </c>
      <c r="M945" t="str" cm="1">
        <f t="array" ref="M945">_xlfn.IFS(L945&lt;=30,"0-30",L945&lt;=60,"31-60",L945&lt;=90,"61-90",TRUE,"90+")</f>
        <v>90+</v>
      </c>
      <c r="N945">
        <f t="shared" si="29"/>
        <v>0</v>
      </c>
      <c r="O945" t="str">
        <f>VLOOKUP(K945,Agents!$A$1:$C$11,2,0)</f>
        <v>Deepak Nair</v>
      </c>
      <c r="P945">
        <f t="shared" si="28"/>
        <v>0</v>
      </c>
    </row>
    <row r="946" spans="1:16" x14ac:dyDescent="0.25">
      <c r="A946" s="2" t="s">
        <v>1463</v>
      </c>
      <c r="B946" s="2" t="s">
        <v>703</v>
      </c>
      <c r="C946" s="2" t="s">
        <v>36</v>
      </c>
      <c r="D946" s="2" t="s">
        <v>41</v>
      </c>
      <c r="E946" s="4">
        <v>46205</v>
      </c>
      <c r="F946" s="4">
        <v>46219</v>
      </c>
      <c r="G946" s="5">
        <v>5575</v>
      </c>
      <c r="H946" s="5">
        <v>5250.56</v>
      </c>
      <c r="I946" s="2" t="s">
        <v>37</v>
      </c>
      <c r="J946" s="2" t="s">
        <v>1541</v>
      </c>
      <c r="K946" t="s">
        <v>109</v>
      </c>
      <c r="L946" s="12">
        <f>MIS_Report!$B$2-F946</f>
        <v>91</v>
      </c>
      <c r="M946" t="str" cm="1">
        <f t="array" ref="M946">_xlfn.IFS(L946&lt;=30,"0-30",L946&lt;=60,"31-60",L946&lt;=90,"61-90",TRUE,"90+")</f>
        <v>90+</v>
      </c>
      <c r="N946">
        <f t="shared" si="29"/>
        <v>0</v>
      </c>
      <c r="O946" t="str">
        <f>VLOOKUP(K946,Agents!$A$1:$C$11,2,0)</f>
        <v>Deepak Nair</v>
      </c>
      <c r="P946">
        <f t="shared" si="28"/>
        <v>0</v>
      </c>
    </row>
    <row r="947" spans="1:16" x14ac:dyDescent="0.25">
      <c r="A947" s="2" t="s">
        <v>1464</v>
      </c>
      <c r="B947" s="2" t="s">
        <v>838</v>
      </c>
      <c r="C947" s="2" t="s">
        <v>29</v>
      </c>
      <c r="D947" s="2" t="s">
        <v>30</v>
      </c>
      <c r="E947" s="4">
        <v>46137</v>
      </c>
      <c r="F947" s="4">
        <v>46144</v>
      </c>
      <c r="G947" s="5">
        <v>3075</v>
      </c>
      <c r="H947" s="5">
        <v>2385.85</v>
      </c>
      <c r="I947" s="2" t="s">
        <v>37</v>
      </c>
      <c r="J947" s="2" t="s">
        <v>1541</v>
      </c>
      <c r="K947" t="s">
        <v>48</v>
      </c>
      <c r="L947" s="12">
        <f>MIS_Report!$B$2-F947</f>
        <v>166</v>
      </c>
      <c r="M947" t="str" cm="1">
        <f t="array" ref="M947">_xlfn.IFS(L947&lt;=30,"0-30",L947&lt;=60,"31-60",L947&lt;=90,"61-90",TRUE,"90+")</f>
        <v>90+</v>
      </c>
      <c r="N947">
        <f t="shared" si="29"/>
        <v>0</v>
      </c>
      <c r="O947" t="str">
        <f>VLOOKUP(K947,Agents!$A$1:$C$11,2,0)</f>
        <v>Manish Arora</v>
      </c>
      <c r="P947">
        <f t="shared" si="28"/>
        <v>0</v>
      </c>
    </row>
    <row r="948" spans="1:16" x14ac:dyDescent="0.25">
      <c r="A948" s="2" t="s">
        <v>1465</v>
      </c>
      <c r="B948" s="2" t="s">
        <v>387</v>
      </c>
      <c r="C948" s="2" t="s">
        <v>36</v>
      </c>
      <c r="D948" s="2" t="s">
        <v>80</v>
      </c>
      <c r="E948" s="4">
        <v>46060</v>
      </c>
      <c r="F948" s="4">
        <v>46079</v>
      </c>
      <c r="G948" s="5">
        <v>2200</v>
      </c>
      <c r="H948" s="5">
        <v>1809.4</v>
      </c>
      <c r="I948" s="2" t="s">
        <v>37</v>
      </c>
      <c r="J948" s="2" t="s">
        <v>1541</v>
      </c>
      <c r="K948" t="s">
        <v>52</v>
      </c>
      <c r="L948" s="12">
        <f>MIS_Report!$B$2-F948</f>
        <v>231</v>
      </c>
      <c r="M948" t="str" cm="1">
        <f t="array" ref="M948">_xlfn.IFS(L948&lt;=30,"0-30",L948&lt;=60,"31-60",L948&lt;=90,"61-90",TRUE,"90+")</f>
        <v>90+</v>
      </c>
      <c r="N948">
        <f t="shared" si="29"/>
        <v>0</v>
      </c>
      <c r="O948" t="str">
        <f>VLOOKUP(K948,Agents!$A$1:$C$11,2,0)</f>
        <v>Sunita Rao</v>
      </c>
      <c r="P948">
        <f t="shared" si="28"/>
        <v>0</v>
      </c>
    </row>
    <row r="949" spans="1:16" x14ac:dyDescent="0.25">
      <c r="A949" s="2" t="s">
        <v>1466</v>
      </c>
      <c r="B949" s="2" t="s">
        <v>831</v>
      </c>
      <c r="C949" s="2" t="s">
        <v>29</v>
      </c>
      <c r="D949" s="2" t="s">
        <v>41</v>
      </c>
      <c r="E949" s="4">
        <v>46067</v>
      </c>
      <c r="F949" s="4">
        <v>46084</v>
      </c>
      <c r="G949" s="5">
        <v>12125</v>
      </c>
      <c r="H949" s="5">
        <v>7282.91</v>
      </c>
      <c r="I949" s="2" t="s">
        <v>37</v>
      </c>
      <c r="J949" s="2" t="s">
        <v>1541</v>
      </c>
      <c r="K949" t="s">
        <v>48</v>
      </c>
      <c r="L949" s="12">
        <f>MIS_Report!$B$2-F949</f>
        <v>226</v>
      </c>
      <c r="M949" t="str" cm="1">
        <f t="array" ref="M949">_xlfn.IFS(L949&lt;=30,"0-30",L949&lt;=60,"31-60",L949&lt;=90,"61-90",TRUE,"90+")</f>
        <v>90+</v>
      </c>
      <c r="N949">
        <f t="shared" si="29"/>
        <v>0</v>
      </c>
      <c r="O949" t="str">
        <f>VLOOKUP(K949,Agents!$A$1:$C$11,2,0)</f>
        <v>Manish Arora</v>
      </c>
      <c r="P949">
        <f t="shared" si="28"/>
        <v>0</v>
      </c>
    </row>
    <row r="950" spans="1:16" x14ac:dyDescent="0.25">
      <c r="A950" s="2" t="s">
        <v>1467</v>
      </c>
      <c r="B950" s="2" t="s">
        <v>1181</v>
      </c>
      <c r="C950" s="2" t="s">
        <v>29</v>
      </c>
      <c r="D950" s="2" t="s">
        <v>55</v>
      </c>
      <c r="E950" s="4">
        <v>46246</v>
      </c>
      <c r="F950" s="4">
        <v>46257</v>
      </c>
      <c r="G950" s="5">
        <v>9275</v>
      </c>
      <c r="H950" s="5"/>
      <c r="I950" s="2" t="s">
        <v>42</v>
      </c>
      <c r="J950" s="2" t="s">
        <v>1541</v>
      </c>
      <c r="K950" t="s">
        <v>33</v>
      </c>
      <c r="L950" s="12">
        <f>MIS_Report!$B$2-F950</f>
        <v>53</v>
      </c>
      <c r="M950" t="str" cm="1">
        <f t="array" ref="M950">_xlfn.IFS(L950&lt;=30,"0-30",L950&lt;=60,"31-60",L950&lt;=90,"61-90",TRUE,"90+")</f>
        <v>31-60</v>
      </c>
      <c r="N950">
        <f t="shared" si="29"/>
        <v>9275</v>
      </c>
      <c r="O950" t="str">
        <f>VLOOKUP(K950,Agents!$A$1:$C$11,2,0)</f>
        <v>Manish Arora</v>
      </c>
      <c r="P950">
        <f t="shared" si="28"/>
        <v>0</v>
      </c>
    </row>
    <row r="951" spans="1:16" x14ac:dyDescent="0.25">
      <c r="A951" s="2" t="s">
        <v>1468</v>
      </c>
      <c r="B951" s="2" t="s">
        <v>411</v>
      </c>
      <c r="C951" s="2" t="s">
        <v>79</v>
      </c>
      <c r="D951" s="2" t="s">
        <v>41</v>
      </c>
      <c r="E951" s="4">
        <v>46285</v>
      </c>
      <c r="F951" s="4">
        <v>46296</v>
      </c>
      <c r="G951" s="5">
        <v>6075</v>
      </c>
      <c r="H951" s="5">
        <v>5190.4799999999996</v>
      </c>
      <c r="I951" s="2" t="s">
        <v>37</v>
      </c>
      <c r="J951" s="2" t="s">
        <v>1541</v>
      </c>
      <c r="K951" t="s">
        <v>52</v>
      </c>
      <c r="L951" s="12">
        <f>MIS_Report!$B$2-F951</f>
        <v>14</v>
      </c>
      <c r="M951" t="str" cm="1">
        <f t="array" ref="M951">_xlfn.IFS(L951&lt;=30,"0-30",L951&lt;=60,"31-60",L951&lt;=90,"61-90",TRUE,"90+")</f>
        <v>0-30</v>
      </c>
      <c r="N951">
        <f t="shared" si="29"/>
        <v>0</v>
      </c>
      <c r="O951" t="str">
        <f>VLOOKUP(K951,Agents!$A$1:$C$11,2,0)</f>
        <v>Sunita Rao</v>
      </c>
      <c r="P951">
        <f t="shared" si="28"/>
        <v>0</v>
      </c>
    </row>
    <row r="952" spans="1:16" x14ac:dyDescent="0.25">
      <c r="A952" s="2" t="s">
        <v>1469</v>
      </c>
      <c r="B952" s="2" t="s">
        <v>433</v>
      </c>
      <c r="C952" s="2" t="s">
        <v>46</v>
      </c>
      <c r="D952" s="2" t="s">
        <v>80</v>
      </c>
      <c r="E952" s="4">
        <v>46209</v>
      </c>
      <c r="F952" s="4">
        <v>46222</v>
      </c>
      <c r="G952" s="5">
        <v>3300</v>
      </c>
      <c r="H952" s="5"/>
      <c r="I952" s="2" t="s">
        <v>42</v>
      </c>
      <c r="J952" s="2" t="s">
        <v>1541</v>
      </c>
      <c r="K952" t="s">
        <v>38</v>
      </c>
      <c r="L952" s="12">
        <f>MIS_Report!$B$2-F952</f>
        <v>88</v>
      </c>
      <c r="M952" t="str" cm="1">
        <f t="array" ref="M952">_xlfn.IFS(L952&lt;=30,"0-30",L952&lt;=60,"31-60",L952&lt;=90,"61-90",TRUE,"90+")</f>
        <v>61-90</v>
      </c>
      <c r="N952">
        <f t="shared" si="29"/>
        <v>3300</v>
      </c>
      <c r="O952" t="str">
        <f>VLOOKUP(K952,Agents!$A$1:$C$11,2,0)</f>
        <v>Sunita Rao</v>
      </c>
      <c r="P952">
        <f t="shared" si="28"/>
        <v>0</v>
      </c>
    </row>
    <row r="953" spans="1:16" x14ac:dyDescent="0.25">
      <c r="A953" s="2" t="s">
        <v>1470</v>
      </c>
      <c r="B953" s="2" t="s">
        <v>722</v>
      </c>
      <c r="C953" s="2" t="s">
        <v>46</v>
      </c>
      <c r="D953" s="2" t="s">
        <v>80</v>
      </c>
      <c r="E953" s="4">
        <v>46258</v>
      </c>
      <c r="F953" s="4">
        <v>46268</v>
      </c>
      <c r="G953" s="5">
        <v>2500</v>
      </c>
      <c r="H953" s="5"/>
      <c r="I953" s="2" t="s">
        <v>42</v>
      </c>
      <c r="J953" s="2" t="s">
        <v>1541</v>
      </c>
      <c r="K953" t="s">
        <v>109</v>
      </c>
      <c r="L953" s="12">
        <f>MIS_Report!$B$2-F953</f>
        <v>42</v>
      </c>
      <c r="M953" t="str" cm="1">
        <f t="array" ref="M953">_xlfn.IFS(L953&lt;=30,"0-30",L953&lt;=60,"31-60",L953&lt;=90,"61-90",TRUE,"90+")</f>
        <v>31-60</v>
      </c>
      <c r="N953">
        <f t="shared" si="29"/>
        <v>2500</v>
      </c>
      <c r="O953" t="str">
        <f>VLOOKUP(K953,Agents!$A$1:$C$11,2,0)</f>
        <v>Deepak Nair</v>
      </c>
      <c r="P953">
        <f t="shared" si="28"/>
        <v>0</v>
      </c>
    </row>
    <row r="954" spans="1:16" x14ac:dyDescent="0.25">
      <c r="A954" s="2" t="s">
        <v>1471</v>
      </c>
      <c r="B954" s="2" t="s">
        <v>168</v>
      </c>
      <c r="C954" s="2" t="s">
        <v>46</v>
      </c>
      <c r="D954" s="2" t="s">
        <v>71</v>
      </c>
      <c r="E954" s="4">
        <v>46086</v>
      </c>
      <c r="F954" s="4">
        <v>46098</v>
      </c>
      <c r="G954" s="5">
        <v>11300</v>
      </c>
      <c r="H954" s="5"/>
      <c r="I954" s="2" t="s">
        <v>42</v>
      </c>
      <c r="J954" s="2" t="s">
        <v>1541</v>
      </c>
      <c r="K954" t="s">
        <v>83</v>
      </c>
      <c r="L954" s="12">
        <f>MIS_Report!$B$2-F954</f>
        <v>212</v>
      </c>
      <c r="M954" t="str" cm="1">
        <f t="array" ref="M954">_xlfn.IFS(L954&lt;=30,"0-30",L954&lt;=60,"31-60",L954&lt;=90,"61-90",TRUE,"90+")</f>
        <v>90+</v>
      </c>
      <c r="N954">
        <f t="shared" si="29"/>
        <v>11300</v>
      </c>
      <c r="O954" t="str">
        <f>VLOOKUP(K954,Agents!$A$1:$C$11,2,0)</f>
        <v>Deepak Nair</v>
      </c>
      <c r="P954">
        <f t="shared" si="28"/>
        <v>0</v>
      </c>
    </row>
    <row r="955" spans="1:16" x14ac:dyDescent="0.25">
      <c r="A955" s="2" t="s">
        <v>1472</v>
      </c>
      <c r="B955" s="2" t="s">
        <v>425</v>
      </c>
      <c r="C955" s="2" t="s">
        <v>79</v>
      </c>
      <c r="D955" s="2" t="s">
        <v>41</v>
      </c>
      <c r="E955" s="4">
        <v>46158</v>
      </c>
      <c r="F955" s="4">
        <v>46174</v>
      </c>
      <c r="G955" s="5">
        <v>13025</v>
      </c>
      <c r="H955" s="5">
        <v>11269.74</v>
      </c>
      <c r="I955" s="2" t="s">
        <v>37</v>
      </c>
      <c r="J955" s="2" t="s">
        <v>1541</v>
      </c>
      <c r="K955" t="s">
        <v>109</v>
      </c>
      <c r="L955" s="12">
        <f>MIS_Report!$B$2-F955</f>
        <v>136</v>
      </c>
      <c r="M955" t="str" cm="1">
        <f t="array" ref="M955">_xlfn.IFS(L955&lt;=30,"0-30",L955&lt;=60,"31-60",L955&lt;=90,"61-90",TRUE,"90+")</f>
        <v>90+</v>
      </c>
      <c r="N955">
        <f t="shared" si="29"/>
        <v>0</v>
      </c>
      <c r="O955" t="str">
        <f>VLOOKUP(K955,Agents!$A$1:$C$11,2,0)</f>
        <v>Deepak Nair</v>
      </c>
      <c r="P955">
        <f t="shared" si="28"/>
        <v>0</v>
      </c>
    </row>
    <row r="956" spans="1:16" x14ac:dyDescent="0.25">
      <c r="A956" s="2" t="s">
        <v>1473</v>
      </c>
      <c r="B956" s="2" t="s">
        <v>1324</v>
      </c>
      <c r="C956" s="2" t="s">
        <v>79</v>
      </c>
      <c r="D956" s="2" t="s">
        <v>94</v>
      </c>
      <c r="E956" s="4">
        <v>46175</v>
      </c>
      <c r="F956" s="4">
        <v>46181</v>
      </c>
      <c r="G956" s="5">
        <v>8300</v>
      </c>
      <c r="H956" s="5">
        <v>7963.09</v>
      </c>
      <c r="I956" s="2" t="s">
        <v>37</v>
      </c>
      <c r="J956" s="2" t="s">
        <v>1541</v>
      </c>
      <c r="K956" t="s">
        <v>52</v>
      </c>
      <c r="L956" s="12">
        <f>MIS_Report!$B$2-F956</f>
        <v>129</v>
      </c>
      <c r="M956" t="str" cm="1">
        <f t="array" ref="M956">_xlfn.IFS(L956&lt;=30,"0-30",L956&lt;=60,"31-60",L956&lt;=90,"61-90",TRUE,"90+")</f>
        <v>90+</v>
      </c>
      <c r="N956">
        <f t="shared" si="29"/>
        <v>0</v>
      </c>
      <c r="O956" t="str">
        <f>VLOOKUP(K956,Agents!$A$1:$C$11,2,0)</f>
        <v>Sunita Rao</v>
      </c>
      <c r="P956">
        <f t="shared" si="28"/>
        <v>0</v>
      </c>
    </row>
    <row r="957" spans="1:16" x14ac:dyDescent="0.25">
      <c r="A957" s="2" t="s">
        <v>1474</v>
      </c>
      <c r="B957" s="2" t="s">
        <v>337</v>
      </c>
      <c r="C957" s="2" t="s">
        <v>36</v>
      </c>
      <c r="D957" s="2" t="s">
        <v>94</v>
      </c>
      <c r="E957" s="4">
        <v>46177</v>
      </c>
      <c r="F957" s="4">
        <v>46188</v>
      </c>
      <c r="G957" s="5">
        <v>3600</v>
      </c>
      <c r="H957" s="5">
        <v>2898.72</v>
      </c>
      <c r="I957" s="2" t="s">
        <v>37</v>
      </c>
      <c r="J957" s="2" t="s">
        <v>1541</v>
      </c>
      <c r="K957" t="s">
        <v>43</v>
      </c>
      <c r="L957" s="12">
        <f>MIS_Report!$B$2-F957</f>
        <v>122</v>
      </c>
      <c r="M957" t="str" cm="1">
        <f t="array" ref="M957">_xlfn.IFS(L957&lt;=30,"0-30",L957&lt;=60,"31-60",L957&lt;=90,"61-90",TRUE,"90+")</f>
        <v>90+</v>
      </c>
      <c r="N957">
        <f t="shared" si="29"/>
        <v>0</v>
      </c>
      <c r="O957" t="str">
        <f>VLOOKUP(K957,Agents!$A$1:$C$11,2,0)</f>
        <v>Manish Arora</v>
      </c>
      <c r="P957">
        <f t="shared" si="28"/>
        <v>0</v>
      </c>
    </row>
    <row r="958" spans="1:16" x14ac:dyDescent="0.25">
      <c r="A958" s="2" t="s">
        <v>1475</v>
      </c>
      <c r="B958" s="2" t="s">
        <v>308</v>
      </c>
      <c r="C958" s="2" t="s">
        <v>79</v>
      </c>
      <c r="D958" s="2" t="s">
        <v>41</v>
      </c>
      <c r="E958" s="4">
        <v>46241</v>
      </c>
      <c r="F958" s="4">
        <v>46259</v>
      </c>
      <c r="G958" s="5">
        <v>7375</v>
      </c>
      <c r="H958" s="5"/>
      <c r="I958" s="2" t="s">
        <v>42</v>
      </c>
      <c r="J958" s="2" t="s">
        <v>1541</v>
      </c>
      <c r="K958" t="s">
        <v>38</v>
      </c>
      <c r="L958" s="12">
        <f>MIS_Report!$B$2-F958</f>
        <v>51</v>
      </c>
      <c r="M958" t="str" cm="1">
        <f t="array" ref="M958">_xlfn.IFS(L958&lt;=30,"0-30",L958&lt;=60,"31-60",L958&lt;=90,"61-90",TRUE,"90+")</f>
        <v>31-60</v>
      </c>
      <c r="N958">
        <f t="shared" si="29"/>
        <v>7375</v>
      </c>
      <c r="O958" t="str">
        <f>VLOOKUP(K958,Agents!$A$1:$C$11,2,0)</f>
        <v>Sunita Rao</v>
      </c>
      <c r="P958">
        <f t="shared" si="28"/>
        <v>0</v>
      </c>
    </row>
    <row r="959" spans="1:16" x14ac:dyDescent="0.25">
      <c r="A959" s="2" t="s">
        <v>1476</v>
      </c>
      <c r="B959" s="2" t="s">
        <v>703</v>
      </c>
      <c r="C959" s="2" t="s">
        <v>79</v>
      </c>
      <c r="D959" s="2" t="s">
        <v>80</v>
      </c>
      <c r="E959" s="4">
        <v>46074</v>
      </c>
      <c r="F959" s="4">
        <v>46082</v>
      </c>
      <c r="G959" s="5">
        <v>1550</v>
      </c>
      <c r="H959" s="5">
        <v>864.69</v>
      </c>
      <c r="I959" s="2" t="s">
        <v>37</v>
      </c>
      <c r="J959" s="2" t="s">
        <v>1541</v>
      </c>
      <c r="K959" t="s">
        <v>43</v>
      </c>
      <c r="L959" s="12">
        <f>MIS_Report!$B$2-F959</f>
        <v>228</v>
      </c>
      <c r="M959" t="str" cm="1">
        <f t="array" ref="M959">_xlfn.IFS(L959&lt;=30,"0-30",L959&lt;=60,"31-60",L959&lt;=90,"61-90",TRUE,"90+")</f>
        <v>90+</v>
      </c>
      <c r="N959">
        <f t="shared" si="29"/>
        <v>0</v>
      </c>
      <c r="O959" t="str">
        <f>VLOOKUP(K959,Agents!$A$1:$C$11,2,0)</f>
        <v>Manish Arora</v>
      </c>
      <c r="P959">
        <f t="shared" si="28"/>
        <v>0</v>
      </c>
    </row>
    <row r="960" spans="1:16" x14ac:dyDescent="0.25">
      <c r="A960" s="2" t="s">
        <v>1477</v>
      </c>
      <c r="B960" s="2" t="s">
        <v>1478</v>
      </c>
      <c r="C960" s="2" t="s">
        <v>29</v>
      </c>
      <c r="D960" s="2" t="s">
        <v>30</v>
      </c>
      <c r="E960" s="4">
        <v>46184</v>
      </c>
      <c r="F960" s="4">
        <v>46201</v>
      </c>
      <c r="G960" s="5">
        <v>1550</v>
      </c>
      <c r="H960" s="5">
        <v>1142.74</v>
      </c>
      <c r="I960" s="2" t="s">
        <v>37</v>
      </c>
      <c r="J960" s="2" t="s">
        <v>1541</v>
      </c>
      <c r="K960" t="s">
        <v>38</v>
      </c>
      <c r="L960" s="12">
        <f>MIS_Report!$B$2-F960</f>
        <v>109</v>
      </c>
      <c r="M960" t="str" cm="1">
        <f t="array" ref="M960">_xlfn.IFS(L960&lt;=30,"0-30",L960&lt;=60,"31-60",L960&lt;=90,"61-90",TRUE,"90+")</f>
        <v>90+</v>
      </c>
      <c r="N960">
        <f t="shared" si="29"/>
        <v>0</v>
      </c>
      <c r="O960" t="str">
        <f>VLOOKUP(K960,Agents!$A$1:$C$11,2,0)</f>
        <v>Sunita Rao</v>
      </c>
      <c r="P960">
        <f t="shared" si="28"/>
        <v>0</v>
      </c>
    </row>
    <row r="961" spans="1:16" x14ac:dyDescent="0.25">
      <c r="A961" s="2" t="s">
        <v>1479</v>
      </c>
      <c r="B961" s="2" t="s">
        <v>1092</v>
      </c>
      <c r="C961" s="2" t="s">
        <v>79</v>
      </c>
      <c r="D961" s="2" t="s">
        <v>30</v>
      </c>
      <c r="E961" s="4">
        <v>46132</v>
      </c>
      <c r="F961" s="4">
        <v>46139</v>
      </c>
      <c r="G961" s="5">
        <v>13100</v>
      </c>
      <c r="H961" s="5">
        <v>11706.86</v>
      </c>
      <c r="I961" s="2" t="s">
        <v>37</v>
      </c>
      <c r="J961" s="2" t="s">
        <v>1541</v>
      </c>
      <c r="K961" t="s">
        <v>43</v>
      </c>
      <c r="L961" s="12">
        <f>MIS_Report!$B$2-F961</f>
        <v>171</v>
      </c>
      <c r="M961" t="str" cm="1">
        <f t="array" ref="M961">_xlfn.IFS(L961&lt;=30,"0-30",L961&lt;=60,"31-60",L961&lt;=90,"61-90",TRUE,"90+")</f>
        <v>90+</v>
      </c>
      <c r="N961">
        <f t="shared" si="29"/>
        <v>0</v>
      </c>
      <c r="O961" t="str">
        <f>VLOOKUP(K961,Agents!$A$1:$C$11,2,0)</f>
        <v>Manish Arora</v>
      </c>
      <c r="P961">
        <f t="shared" si="28"/>
        <v>0</v>
      </c>
    </row>
    <row r="962" spans="1:16" x14ac:dyDescent="0.25">
      <c r="A962" s="2" t="s">
        <v>1480</v>
      </c>
      <c r="B962" s="2" t="s">
        <v>1076</v>
      </c>
      <c r="C962" s="2" t="s">
        <v>46</v>
      </c>
      <c r="D962" s="2" t="s">
        <v>80</v>
      </c>
      <c r="E962" s="4">
        <v>46063</v>
      </c>
      <c r="F962" s="4">
        <v>46083</v>
      </c>
      <c r="G962" s="5">
        <v>13100</v>
      </c>
      <c r="H962" s="5">
        <v>0</v>
      </c>
      <c r="I962" s="2" t="s">
        <v>31</v>
      </c>
      <c r="J962" s="2" t="s">
        <v>72</v>
      </c>
      <c r="K962" t="s">
        <v>43</v>
      </c>
      <c r="L962" s="12">
        <f>MIS_Report!$B$2-F962</f>
        <v>227</v>
      </c>
      <c r="M962" t="str" cm="1">
        <f t="array" ref="M962">_xlfn.IFS(L962&lt;=30,"0-30",L962&lt;=60,"31-60",L962&lt;=90,"61-90",TRUE,"90+")</f>
        <v>90+</v>
      </c>
      <c r="N962">
        <f t="shared" si="29"/>
        <v>0</v>
      </c>
      <c r="O962" t="str">
        <f>VLOOKUP(K962,Agents!$A$1:$C$11,2,0)</f>
        <v>Manish Arora</v>
      </c>
      <c r="P962">
        <f t="shared" si="28"/>
        <v>13100</v>
      </c>
    </row>
    <row r="963" spans="1:16" x14ac:dyDescent="0.25">
      <c r="A963" s="2" t="s">
        <v>1481</v>
      </c>
      <c r="B963" s="2" t="s">
        <v>547</v>
      </c>
      <c r="C963" s="2" t="s">
        <v>46</v>
      </c>
      <c r="D963" s="2" t="s">
        <v>30</v>
      </c>
      <c r="E963" s="4">
        <v>46155</v>
      </c>
      <c r="F963" s="4">
        <v>46165</v>
      </c>
      <c r="G963" s="5">
        <v>14700</v>
      </c>
      <c r="H963" s="5">
        <v>11192.65</v>
      </c>
      <c r="I963" s="2" t="s">
        <v>37</v>
      </c>
      <c r="J963" s="2" t="s">
        <v>1541</v>
      </c>
      <c r="K963" t="s">
        <v>83</v>
      </c>
      <c r="L963" s="12">
        <f>MIS_Report!$B$2-F963</f>
        <v>145</v>
      </c>
      <c r="M963" t="str" cm="1">
        <f t="array" ref="M963">_xlfn.IFS(L963&lt;=30,"0-30",L963&lt;=60,"31-60",L963&lt;=90,"61-90",TRUE,"90+")</f>
        <v>90+</v>
      </c>
      <c r="N963">
        <f t="shared" si="29"/>
        <v>0</v>
      </c>
      <c r="O963" t="str">
        <f>VLOOKUP(K963,Agents!$A$1:$C$11,2,0)</f>
        <v>Deepak Nair</v>
      </c>
      <c r="P963">
        <f t="shared" ref="P963:P1001" si="30">IF(I963="Denied",G963,0)</f>
        <v>0</v>
      </c>
    </row>
    <row r="964" spans="1:16" x14ac:dyDescent="0.25">
      <c r="A964" s="2" t="s">
        <v>1482</v>
      </c>
      <c r="B964" s="2" t="s">
        <v>489</v>
      </c>
      <c r="C964" s="2" t="s">
        <v>36</v>
      </c>
      <c r="D964" s="2" t="s">
        <v>30</v>
      </c>
      <c r="E964" s="4">
        <v>46215</v>
      </c>
      <c r="F964" s="4">
        <v>46219</v>
      </c>
      <c r="G964" s="5">
        <v>9525</v>
      </c>
      <c r="H964" s="5">
        <v>5728.88</v>
      </c>
      <c r="I964" s="2" t="s">
        <v>37</v>
      </c>
      <c r="J964" s="2" t="s">
        <v>1541</v>
      </c>
      <c r="K964" t="s">
        <v>48</v>
      </c>
      <c r="L964" s="12">
        <f>MIS_Report!$B$2-F964</f>
        <v>91</v>
      </c>
      <c r="M964" t="str" cm="1">
        <f t="array" ref="M964">_xlfn.IFS(L964&lt;=30,"0-30",L964&lt;=60,"31-60",L964&lt;=90,"61-90",TRUE,"90+")</f>
        <v>90+</v>
      </c>
      <c r="N964">
        <f t="shared" si="29"/>
        <v>0</v>
      </c>
      <c r="O964" t="str">
        <f>VLOOKUP(K964,Agents!$A$1:$C$11,2,0)</f>
        <v>Manish Arora</v>
      </c>
      <c r="P964">
        <f t="shared" si="30"/>
        <v>0</v>
      </c>
    </row>
    <row r="965" spans="1:16" x14ac:dyDescent="0.25">
      <c r="A965" s="2" t="s">
        <v>1483</v>
      </c>
      <c r="B965" s="2" t="s">
        <v>631</v>
      </c>
      <c r="C965" s="2" t="s">
        <v>79</v>
      </c>
      <c r="D965" s="2" t="s">
        <v>61</v>
      </c>
      <c r="E965" s="4">
        <v>46272</v>
      </c>
      <c r="F965" s="4">
        <v>46287</v>
      </c>
      <c r="G965" s="5">
        <v>13750</v>
      </c>
      <c r="H965" s="5">
        <v>0</v>
      </c>
      <c r="I965" s="2" t="s">
        <v>31</v>
      </c>
      <c r="J965" s="2" t="s">
        <v>116</v>
      </c>
      <c r="K965" t="s">
        <v>48</v>
      </c>
      <c r="L965" s="12">
        <f>MIS_Report!$B$2-F965</f>
        <v>23</v>
      </c>
      <c r="M965" t="str" cm="1">
        <f t="array" ref="M965">_xlfn.IFS(L965&lt;=30,"0-30",L965&lt;=60,"31-60",L965&lt;=90,"61-90",TRUE,"90+")</f>
        <v>0-30</v>
      </c>
      <c r="N965">
        <f t="shared" ref="N965:N1001" si="31">IF(I965="Pending",G965-H965,0)</f>
        <v>0</v>
      </c>
      <c r="O965" t="str">
        <f>VLOOKUP(K965,Agents!$A$1:$C$11,2,0)</f>
        <v>Manish Arora</v>
      </c>
      <c r="P965">
        <f t="shared" si="30"/>
        <v>13750</v>
      </c>
    </row>
    <row r="966" spans="1:16" x14ac:dyDescent="0.25">
      <c r="A966" s="2" t="s">
        <v>1484</v>
      </c>
      <c r="B966" s="2" t="s">
        <v>1290</v>
      </c>
      <c r="C966" s="2" t="s">
        <v>79</v>
      </c>
      <c r="D966" s="2" t="s">
        <v>41</v>
      </c>
      <c r="E966" s="4">
        <v>46042</v>
      </c>
      <c r="F966" s="4">
        <v>46060</v>
      </c>
      <c r="G966" s="5">
        <v>8675</v>
      </c>
      <c r="H966" s="5">
        <v>7723.79</v>
      </c>
      <c r="I966" s="2" t="s">
        <v>37</v>
      </c>
      <c r="J966" s="2" t="s">
        <v>1541</v>
      </c>
      <c r="K966" t="s">
        <v>83</v>
      </c>
      <c r="L966" s="12">
        <f>MIS_Report!$B$2-F966</f>
        <v>250</v>
      </c>
      <c r="M966" t="str" cm="1">
        <f t="array" ref="M966">_xlfn.IFS(L966&lt;=30,"0-30",L966&lt;=60,"31-60",L966&lt;=90,"61-90",TRUE,"90+")</f>
        <v>90+</v>
      </c>
      <c r="N966">
        <f t="shared" si="31"/>
        <v>0</v>
      </c>
      <c r="O966" t="str">
        <f>VLOOKUP(K966,Agents!$A$1:$C$11,2,0)</f>
        <v>Deepak Nair</v>
      </c>
      <c r="P966">
        <f t="shared" si="30"/>
        <v>0</v>
      </c>
    </row>
    <row r="967" spans="1:16" x14ac:dyDescent="0.25">
      <c r="A967" s="2" t="s">
        <v>1485</v>
      </c>
      <c r="B967" s="2" t="s">
        <v>276</v>
      </c>
      <c r="C967" s="2" t="s">
        <v>36</v>
      </c>
      <c r="D967" s="2" t="s">
        <v>55</v>
      </c>
      <c r="E967" s="4">
        <v>46025</v>
      </c>
      <c r="F967" s="4">
        <v>46041</v>
      </c>
      <c r="G967" s="5">
        <v>14775</v>
      </c>
      <c r="H967" s="5">
        <v>12363.2</v>
      </c>
      <c r="I967" s="2" t="s">
        <v>37</v>
      </c>
      <c r="J967" s="2" t="s">
        <v>1541</v>
      </c>
      <c r="K967" t="s">
        <v>43</v>
      </c>
      <c r="L967" s="12">
        <f>MIS_Report!$B$2-F967</f>
        <v>269</v>
      </c>
      <c r="M967" t="str" cm="1">
        <f t="array" ref="M967">_xlfn.IFS(L967&lt;=30,"0-30",L967&lt;=60,"31-60",L967&lt;=90,"61-90",TRUE,"90+")</f>
        <v>90+</v>
      </c>
      <c r="N967">
        <f t="shared" si="31"/>
        <v>0</v>
      </c>
      <c r="O967" t="str">
        <f>VLOOKUP(K967,Agents!$A$1:$C$11,2,0)</f>
        <v>Manish Arora</v>
      </c>
      <c r="P967">
        <f t="shared" si="30"/>
        <v>0</v>
      </c>
    </row>
    <row r="968" spans="1:16" x14ac:dyDescent="0.25">
      <c r="A968" s="2" t="s">
        <v>1487</v>
      </c>
      <c r="B968" s="2" t="s">
        <v>892</v>
      </c>
      <c r="C968" s="2" t="s">
        <v>46</v>
      </c>
      <c r="D968" s="2" t="s">
        <v>30</v>
      </c>
      <c r="E968" s="4">
        <v>46067</v>
      </c>
      <c r="F968" s="4">
        <v>46074</v>
      </c>
      <c r="G968" s="5">
        <v>2925</v>
      </c>
      <c r="H968" s="5"/>
      <c r="I968" s="2" t="s">
        <v>42</v>
      </c>
      <c r="J968" s="2" t="s">
        <v>1541</v>
      </c>
      <c r="K968" t="s">
        <v>48</v>
      </c>
      <c r="L968" s="12">
        <f>MIS_Report!$B$2-F968</f>
        <v>236</v>
      </c>
      <c r="M968" t="str" cm="1">
        <f t="array" ref="M968">_xlfn.IFS(L968&lt;=30,"0-30",L968&lt;=60,"31-60",L968&lt;=90,"61-90",TRUE,"90+")</f>
        <v>90+</v>
      </c>
      <c r="N968">
        <f t="shared" si="31"/>
        <v>2925</v>
      </c>
      <c r="O968" t="str">
        <f>VLOOKUP(K968,Agents!$A$1:$C$11,2,0)</f>
        <v>Manish Arora</v>
      </c>
      <c r="P968">
        <f t="shared" si="30"/>
        <v>0</v>
      </c>
    </row>
    <row r="969" spans="1:16" x14ac:dyDescent="0.25">
      <c r="A969" s="2" t="s">
        <v>1488</v>
      </c>
      <c r="B969" s="2" t="s">
        <v>1018</v>
      </c>
      <c r="C969" s="2" t="s">
        <v>29</v>
      </c>
      <c r="D969" s="2" t="s">
        <v>41</v>
      </c>
      <c r="E969" s="4">
        <v>46134</v>
      </c>
      <c r="F969" s="4">
        <v>46140</v>
      </c>
      <c r="G969" s="5">
        <v>9950</v>
      </c>
      <c r="H969" s="5">
        <v>6349.17</v>
      </c>
      <c r="I969" s="2" t="s">
        <v>37</v>
      </c>
      <c r="J969" s="2" t="s">
        <v>1541</v>
      </c>
      <c r="K969" t="s">
        <v>109</v>
      </c>
      <c r="L969" s="12">
        <f>MIS_Report!$B$2-F969</f>
        <v>170</v>
      </c>
      <c r="M969" t="str" cm="1">
        <f t="array" ref="M969">_xlfn.IFS(L969&lt;=30,"0-30",L969&lt;=60,"31-60",L969&lt;=90,"61-90",TRUE,"90+")</f>
        <v>90+</v>
      </c>
      <c r="N969">
        <f t="shared" si="31"/>
        <v>0</v>
      </c>
      <c r="O969" t="str">
        <f>VLOOKUP(K969,Agents!$A$1:$C$11,2,0)</f>
        <v>Deepak Nair</v>
      </c>
      <c r="P969">
        <f t="shared" si="30"/>
        <v>0</v>
      </c>
    </row>
    <row r="970" spans="1:16" x14ac:dyDescent="0.25">
      <c r="A970" s="2" t="s">
        <v>1489</v>
      </c>
      <c r="B970" s="2" t="s">
        <v>214</v>
      </c>
      <c r="C970" s="2" t="s">
        <v>46</v>
      </c>
      <c r="D970" s="2" t="s">
        <v>30</v>
      </c>
      <c r="E970" s="4">
        <v>46029</v>
      </c>
      <c r="F970" s="4">
        <v>46034</v>
      </c>
      <c r="G970" s="5">
        <v>10775</v>
      </c>
      <c r="H970" s="5">
        <v>8975.9</v>
      </c>
      <c r="I970" s="2" t="s">
        <v>37</v>
      </c>
      <c r="J970" s="2" t="s">
        <v>1541</v>
      </c>
      <c r="K970" t="s">
        <v>83</v>
      </c>
      <c r="L970" s="12">
        <f>MIS_Report!$B$2-F970</f>
        <v>276</v>
      </c>
      <c r="M970" t="str" cm="1">
        <f t="array" ref="M970">_xlfn.IFS(L970&lt;=30,"0-30",L970&lt;=60,"31-60",L970&lt;=90,"61-90",TRUE,"90+")</f>
        <v>90+</v>
      </c>
      <c r="N970">
        <f t="shared" si="31"/>
        <v>0</v>
      </c>
      <c r="O970" t="str">
        <f>VLOOKUP(K970,Agents!$A$1:$C$11,2,0)</f>
        <v>Deepak Nair</v>
      </c>
      <c r="P970">
        <f t="shared" si="30"/>
        <v>0</v>
      </c>
    </row>
    <row r="971" spans="1:16" x14ac:dyDescent="0.25">
      <c r="A971" s="2" t="s">
        <v>1490</v>
      </c>
      <c r="B971" s="2" t="s">
        <v>391</v>
      </c>
      <c r="C971" s="2" t="s">
        <v>29</v>
      </c>
      <c r="D971" s="2" t="s">
        <v>61</v>
      </c>
      <c r="E971" s="4">
        <v>46083</v>
      </c>
      <c r="F971" s="4">
        <v>46096</v>
      </c>
      <c r="G971" s="5">
        <v>13425</v>
      </c>
      <c r="H971" s="5">
        <v>8666.9500000000007</v>
      </c>
      <c r="I971" s="2" t="s">
        <v>37</v>
      </c>
      <c r="J971" s="2" t="s">
        <v>1541</v>
      </c>
      <c r="K971" t="s">
        <v>43</v>
      </c>
      <c r="L971" s="12">
        <f>MIS_Report!$B$2-F971</f>
        <v>214</v>
      </c>
      <c r="M971" t="str" cm="1">
        <f t="array" ref="M971">_xlfn.IFS(L971&lt;=30,"0-30",L971&lt;=60,"31-60",L971&lt;=90,"61-90",TRUE,"90+")</f>
        <v>90+</v>
      </c>
      <c r="N971">
        <f t="shared" si="31"/>
        <v>0</v>
      </c>
      <c r="O971" t="str">
        <f>VLOOKUP(K971,Agents!$A$1:$C$11,2,0)</f>
        <v>Manish Arora</v>
      </c>
      <c r="P971">
        <f t="shared" si="30"/>
        <v>0</v>
      </c>
    </row>
    <row r="972" spans="1:16" x14ac:dyDescent="0.25">
      <c r="A972" s="2" t="s">
        <v>1491</v>
      </c>
      <c r="B972" s="2" t="s">
        <v>697</v>
      </c>
      <c r="C972" s="2" t="s">
        <v>29</v>
      </c>
      <c r="D972" s="2" t="s">
        <v>68</v>
      </c>
      <c r="E972" s="4">
        <v>46121</v>
      </c>
      <c r="F972" s="4">
        <v>46130</v>
      </c>
      <c r="G972" s="5">
        <v>10250</v>
      </c>
      <c r="H972" s="5">
        <v>9687.32</v>
      </c>
      <c r="I972" s="2" t="s">
        <v>37</v>
      </c>
      <c r="J972" s="2" t="s">
        <v>1541</v>
      </c>
      <c r="K972" t="s">
        <v>43</v>
      </c>
      <c r="L972" s="12">
        <f>MIS_Report!$B$2-F972</f>
        <v>180</v>
      </c>
      <c r="M972" t="str" cm="1">
        <f t="array" ref="M972">_xlfn.IFS(L972&lt;=30,"0-30",L972&lt;=60,"31-60",L972&lt;=90,"61-90",TRUE,"90+")</f>
        <v>90+</v>
      </c>
      <c r="N972">
        <f t="shared" si="31"/>
        <v>0</v>
      </c>
      <c r="O972" t="str">
        <f>VLOOKUP(K972,Agents!$A$1:$C$11,2,0)</f>
        <v>Manish Arora</v>
      </c>
      <c r="P972">
        <f t="shared" si="30"/>
        <v>0</v>
      </c>
    </row>
    <row r="973" spans="1:16" x14ac:dyDescent="0.25">
      <c r="A973" s="2" t="s">
        <v>1492</v>
      </c>
      <c r="B973" s="2" t="s">
        <v>1493</v>
      </c>
      <c r="C973" s="2" t="s">
        <v>36</v>
      </c>
      <c r="D973" s="2" t="s">
        <v>80</v>
      </c>
      <c r="E973" s="4">
        <v>46188</v>
      </c>
      <c r="F973" s="4">
        <v>46203</v>
      </c>
      <c r="G973" s="5">
        <v>10600</v>
      </c>
      <c r="H973" s="5">
        <v>8645.41</v>
      </c>
      <c r="I973" s="2" t="s">
        <v>37</v>
      </c>
      <c r="J973" s="2" t="s">
        <v>1541</v>
      </c>
      <c r="K973" t="s">
        <v>43</v>
      </c>
      <c r="L973" s="12">
        <f>MIS_Report!$B$2-F973</f>
        <v>107</v>
      </c>
      <c r="M973" t="str" cm="1">
        <f t="array" ref="M973">_xlfn.IFS(L973&lt;=30,"0-30",L973&lt;=60,"31-60",L973&lt;=90,"61-90",TRUE,"90+")</f>
        <v>90+</v>
      </c>
      <c r="N973">
        <f t="shared" si="31"/>
        <v>0</v>
      </c>
      <c r="O973" t="str">
        <f>VLOOKUP(K973,Agents!$A$1:$C$11,2,0)</f>
        <v>Manish Arora</v>
      </c>
      <c r="P973">
        <f t="shared" si="30"/>
        <v>0</v>
      </c>
    </row>
    <row r="974" spans="1:16" x14ac:dyDescent="0.25">
      <c r="A974" s="2" t="s">
        <v>1494</v>
      </c>
      <c r="B974" s="2" t="s">
        <v>761</v>
      </c>
      <c r="C974" s="2" t="s">
        <v>29</v>
      </c>
      <c r="D974" s="2" t="s">
        <v>80</v>
      </c>
      <c r="E974" s="4">
        <v>46214</v>
      </c>
      <c r="F974" s="4">
        <v>46226</v>
      </c>
      <c r="G974" s="5">
        <v>9950</v>
      </c>
      <c r="H974" s="5"/>
      <c r="I974" s="2" t="s">
        <v>42</v>
      </c>
      <c r="J974" s="2" t="s">
        <v>1541</v>
      </c>
      <c r="K974" t="s">
        <v>83</v>
      </c>
      <c r="L974" s="12">
        <f>MIS_Report!$B$2-F974</f>
        <v>84</v>
      </c>
      <c r="M974" t="str" cm="1">
        <f t="array" ref="M974">_xlfn.IFS(L974&lt;=30,"0-30",L974&lt;=60,"31-60",L974&lt;=90,"61-90",TRUE,"90+")</f>
        <v>61-90</v>
      </c>
      <c r="N974">
        <f t="shared" si="31"/>
        <v>9950</v>
      </c>
      <c r="O974" t="str">
        <f>VLOOKUP(K974,Agents!$A$1:$C$11,2,0)</f>
        <v>Deepak Nair</v>
      </c>
      <c r="P974">
        <f t="shared" si="30"/>
        <v>0</v>
      </c>
    </row>
    <row r="975" spans="1:16" x14ac:dyDescent="0.25">
      <c r="A975" s="2" t="s">
        <v>1495</v>
      </c>
      <c r="B975" s="2" t="s">
        <v>96</v>
      </c>
      <c r="C975" s="2" t="s">
        <v>79</v>
      </c>
      <c r="D975" s="2" t="s">
        <v>41</v>
      </c>
      <c r="E975" s="4">
        <v>46165</v>
      </c>
      <c r="F975" s="4">
        <v>46174</v>
      </c>
      <c r="G975" s="5">
        <v>4575</v>
      </c>
      <c r="H975" s="5">
        <v>2979.49</v>
      </c>
      <c r="I975" s="2" t="s">
        <v>37</v>
      </c>
      <c r="J975" s="2" t="s">
        <v>1541</v>
      </c>
      <c r="K975" t="s">
        <v>56</v>
      </c>
      <c r="L975" s="12">
        <f>MIS_Report!$B$2-F975</f>
        <v>136</v>
      </c>
      <c r="M975" t="str" cm="1">
        <f t="array" ref="M975">_xlfn.IFS(L975&lt;=30,"0-30",L975&lt;=60,"31-60",L975&lt;=90,"61-90",TRUE,"90+")</f>
        <v>90+</v>
      </c>
      <c r="N975">
        <f t="shared" si="31"/>
        <v>0</v>
      </c>
      <c r="O975" t="str">
        <f>VLOOKUP(K975,Agents!$A$1:$C$11,2,0)</f>
        <v>Manish Arora</v>
      </c>
      <c r="P975">
        <f t="shared" si="30"/>
        <v>0</v>
      </c>
    </row>
    <row r="976" spans="1:16" x14ac:dyDescent="0.25">
      <c r="A976" s="2" t="s">
        <v>1496</v>
      </c>
      <c r="B976" s="2" t="s">
        <v>1018</v>
      </c>
      <c r="C976" s="2" t="s">
        <v>29</v>
      </c>
      <c r="D976" s="2" t="s">
        <v>61</v>
      </c>
      <c r="E976" s="4">
        <v>46162</v>
      </c>
      <c r="F976" s="4">
        <v>46165</v>
      </c>
      <c r="G976" s="5">
        <v>3775</v>
      </c>
      <c r="H976" s="5">
        <v>2970.61</v>
      </c>
      <c r="I976" s="2" t="s">
        <v>37</v>
      </c>
      <c r="J976" s="2" t="s">
        <v>1541</v>
      </c>
      <c r="K976" t="s">
        <v>38</v>
      </c>
      <c r="L976" s="12">
        <f>MIS_Report!$B$2-F976</f>
        <v>145</v>
      </c>
      <c r="M976" t="str" cm="1">
        <f t="array" ref="M976">_xlfn.IFS(L976&lt;=30,"0-30",L976&lt;=60,"31-60",L976&lt;=90,"61-90",TRUE,"90+")</f>
        <v>90+</v>
      </c>
      <c r="N976">
        <f t="shared" si="31"/>
        <v>0</v>
      </c>
      <c r="O976" t="str">
        <f>VLOOKUP(K976,Agents!$A$1:$C$11,2,0)</f>
        <v>Sunita Rao</v>
      </c>
      <c r="P976">
        <f t="shared" si="30"/>
        <v>0</v>
      </c>
    </row>
    <row r="977" spans="1:16" x14ac:dyDescent="0.25">
      <c r="A977" s="2" t="s">
        <v>1497</v>
      </c>
      <c r="B977" s="2" t="s">
        <v>1498</v>
      </c>
      <c r="C977" s="2" t="s">
        <v>29</v>
      </c>
      <c r="D977" s="2" t="s">
        <v>61</v>
      </c>
      <c r="E977" s="4">
        <v>46100</v>
      </c>
      <c r="F977" s="4">
        <v>46106</v>
      </c>
      <c r="G977" s="5">
        <v>6625</v>
      </c>
      <c r="H977" s="5">
        <v>6013.01</v>
      </c>
      <c r="I977" s="2" t="s">
        <v>37</v>
      </c>
      <c r="J977" s="2" t="s">
        <v>1541</v>
      </c>
      <c r="K977" t="s">
        <v>48</v>
      </c>
      <c r="L977" s="12">
        <f>MIS_Report!$B$2-F977</f>
        <v>204</v>
      </c>
      <c r="M977" t="str" cm="1">
        <f t="array" ref="M977">_xlfn.IFS(L977&lt;=30,"0-30",L977&lt;=60,"31-60",L977&lt;=90,"61-90",TRUE,"90+")</f>
        <v>90+</v>
      </c>
      <c r="N977">
        <f t="shared" si="31"/>
        <v>0</v>
      </c>
      <c r="O977" t="str">
        <f>VLOOKUP(K977,Agents!$A$1:$C$11,2,0)</f>
        <v>Manish Arora</v>
      </c>
      <c r="P977">
        <f t="shared" si="30"/>
        <v>0</v>
      </c>
    </row>
    <row r="978" spans="1:16" x14ac:dyDescent="0.25">
      <c r="A978" s="2" t="s">
        <v>1499</v>
      </c>
      <c r="B978" s="2" t="s">
        <v>308</v>
      </c>
      <c r="C978" s="2" t="s">
        <v>36</v>
      </c>
      <c r="D978" s="2" t="s">
        <v>30</v>
      </c>
      <c r="E978" s="4">
        <v>46028</v>
      </c>
      <c r="F978" s="4">
        <v>46039</v>
      </c>
      <c r="G978" s="5">
        <v>9575</v>
      </c>
      <c r="H978" s="5">
        <v>0</v>
      </c>
      <c r="I978" s="2" t="s">
        <v>31</v>
      </c>
      <c r="J978" s="2" t="s">
        <v>312</v>
      </c>
      <c r="K978" t="s">
        <v>48</v>
      </c>
      <c r="L978" s="12">
        <f>MIS_Report!$B$2-F978</f>
        <v>271</v>
      </c>
      <c r="M978" t="str" cm="1">
        <f t="array" ref="M978">_xlfn.IFS(L978&lt;=30,"0-30",L978&lt;=60,"31-60",L978&lt;=90,"61-90",TRUE,"90+")</f>
        <v>90+</v>
      </c>
      <c r="N978">
        <f t="shared" si="31"/>
        <v>0</v>
      </c>
      <c r="O978" t="str">
        <f>VLOOKUP(K978,Agents!$A$1:$C$11,2,0)</f>
        <v>Manish Arora</v>
      </c>
      <c r="P978">
        <f t="shared" si="30"/>
        <v>9575</v>
      </c>
    </row>
    <row r="979" spans="1:16" x14ac:dyDescent="0.25">
      <c r="A979" s="2" t="s">
        <v>1500</v>
      </c>
      <c r="B979" s="2" t="s">
        <v>1501</v>
      </c>
      <c r="C979" s="2" t="s">
        <v>29</v>
      </c>
      <c r="D979" s="2" t="s">
        <v>41</v>
      </c>
      <c r="E979" s="4">
        <v>46029</v>
      </c>
      <c r="F979" s="4">
        <v>46034</v>
      </c>
      <c r="G979" s="5">
        <v>7675</v>
      </c>
      <c r="H979" s="5">
        <v>4472.6099999999997</v>
      </c>
      <c r="I979" s="2" t="s">
        <v>37</v>
      </c>
      <c r="J979" s="2" t="s">
        <v>1541</v>
      </c>
      <c r="K979" t="s">
        <v>109</v>
      </c>
      <c r="L979" s="12">
        <f>MIS_Report!$B$2-F979</f>
        <v>276</v>
      </c>
      <c r="M979" t="str" cm="1">
        <f t="array" ref="M979">_xlfn.IFS(L979&lt;=30,"0-30",L979&lt;=60,"31-60",L979&lt;=90,"61-90",TRUE,"90+")</f>
        <v>90+</v>
      </c>
      <c r="N979">
        <f t="shared" si="31"/>
        <v>0</v>
      </c>
      <c r="O979" t="str">
        <f>VLOOKUP(K979,Agents!$A$1:$C$11,2,0)</f>
        <v>Deepak Nair</v>
      </c>
      <c r="P979">
        <f t="shared" si="30"/>
        <v>0</v>
      </c>
    </row>
    <row r="980" spans="1:16" x14ac:dyDescent="0.25">
      <c r="A980" s="2" t="s">
        <v>1502</v>
      </c>
      <c r="B980" s="2" t="s">
        <v>1036</v>
      </c>
      <c r="C980" s="2" t="s">
        <v>36</v>
      </c>
      <c r="D980" s="2" t="s">
        <v>41</v>
      </c>
      <c r="E980" s="4">
        <v>46092</v>
      </c>
      <c r="F980" s="4">
        <v>46098</v>
      </c>
      <c r="G980" s="5">
        <v>11775</v>
      </c>
      <c r="H980" s="5">
        <v>0</v>
      </c>
      <c r="I980" s="2" t="s">
        <v>31</v>
      </c>
      <c r="J980" s="2" t="s">
        <v>72</v>
      </c>
      <c r="K980" t="s">
        <v>38</v>
      </c>
      <c r="L980" s="12">
        <f>MIS_Report!$B$2-F980</f>
        <v>212</v>
      </c>
      <c r="M980" t="str" cm="1">
        <f t="array" ref="M980">_xlfn.IFS(L980&lt;=30,"0-30",L980&lt;=60,"31-60",L980&lt;=90,"61-90",TRUE,"90+")</f>
        <v>90+</v>
      </c>
      <c r="N980">
        <f t="shared" si="31"/>
        <v>0</v>
      </c>
      <c r="O980" t="str">
        <f>VLOOKUP(K980,Agents!$A$1:$C$11,2,0)</f>
        <v>Sunita Rao</v>
      </c>
      <c r="P980">
        <f t="shared" si="30"/>
        <v>11775</v>
      </c>
    </row>
    <row r="981" spans="1:16" x14ac:dyDescent="0.25">
      <c r="A981" s="2" t="s">
        <v>1503</v>
      </c>
      <c r="B981" s="2" t="s">
        <v>759</v>
      </c>
      <c r="C981" s="2" t="s">
        <v>29</v>
      </c>
      <c r="D981" s="2" t="s">
        <v>41</v>
      </c>
      <c r="E981" s="4">
        <v>46270</v>
      </c>
      <c r="F981" s="4">
        <v>46275</v>
      </c>
      <c r="G981" s="5">
        <v>10925</v>
      </c>
      <c r="H981" s="5"/>
      <c r="I981" s="2" t="s">
        <v>42</v>
      </c>
      <c r="J981" s="2" t="s">
        <v>1541</v>
      </c>
      <c r="K981" t="s">
        <v>43</v>
      </c>
      <c r="L981" s="12">
        <f>MIS_Report!$B$2-F981</f>
        <v>35</v>
      </c>
      <c r="M981" t="str" cm="1">
        <f t="array" ref="M981">_xlfn.IFS(L981&lt;=30,"0-30",L981&lt;=60,"31-60",L981&lt;=90,"61-90",TRUE,"90+")</f>
        <v>31-60</v>
      </c>
      <c r="N981">
        <f t="shared" si="31"/>
        <v>10925</v>
      </c>
      <c r="O981" t="str">
        <f>VLOOKUP(K981,Agents!$A$1:$C$11,2,0)</f>
        <v>Manish Arora</v>
      </c>
      <c r="P981">
        <f t="shared" si="30"/>
        <v>0</v>
      </c>
    </row>
    <row r="982" spans="1:16" x14ac:dyDescent="0.25">
      <c r="A982" s="2" t="s">
        <v>1504</v>
      </c>
      <c r="B982" s="2" t="s">
        <v>1505</v>
      </c>
      <c r="C982" s="2" t="s">
        <v>46</v>
      </c>
      <c r="D982" s="2" t="s">
        <v>61</v>
      </c>
      <c r="E982" s="4">
        <v>46197</v>
      </c>
      <c r="F982" s="4">
        <v>46200</v>
      </c>
      <c r="G982" s="5">
        <v>2525</v>
      </c>
      <c r="H982" s="5"/>
      <c r="I982" s="2" t="s">
        <v>42</v>
      </c>
      <c r="J982" s="2" t="s">
        <v>1541</v>
      </c>
      <c r="K982" t="s">
        <v>38</v>
      </c>
      <c r="L982" s="12">
        <f>MIS_Report!$B$2-F982</f>
        <v>110</v>
      </c>
      <c r="M982" t="str" cm="1">
        <f t="array" ref="M982">_xlfn.IFS(L982&lt;=30,"0-30",L982&lt;=60,"31-60",L982&lt;=90,"61-90",TRUE,"90+")</f>
        <v>90+</v>
      </c>
      <c r="N982">
        <f t="shared" si="31"/>
        <v>2525</v>
      </c>
      <c r="O982" t="str">
        <f>VLOOKUP(K982,Agents!$A$1:$C$11,2,0)</f>
        <v>Sunita Rao</v>
      </c>
      <c r="P982">
        <f t="shared" si="30"/>
        <v>0</v>
      </c>
    </row>
    <row r="983" spans="1:16" x14ac:dyDescent="0.25">
      <c r="A983" s="2" t="s">
        <v>1506</v>
      </c>
      <c r="B983" s="2" t="s">
        <v>677</v>
      </c>
      <c r="C983" s="2" t="s">
        <v>46</v>
      </c>
      <c r="D983" s="2" t="s">
        <v>1538</v>
      </c>
      <c r="E983" s="4">
        <v>46125</v>
      </c>
      <c r="F983" s="4">
        <v>46144</v>
      </c>
      <c r="G983" s="5">
        <v>3675</v>
      </c>
      <c r="H983" s="5">
        <v>2266.71</v>
      </c>
      <c r="I983" s="2" t="s">
        <v>37</v>
      </c>
      <c r="J983" s="2" t="s">
        <v>1541</v>
      </c>
      <c r="K983" t="s">
        <v>62</v>
      </c>
      <c r="L983" s="12">
        <f>MIS_Report!$B$2-F983</f>
        <v>166</v>
      </c>
      <c r="M983" t="str" cm="1">
        <f t="array" ref="M983">_xlfn.IFS(L983&lt;=30,"0-30",L983&lt;=60,"31-60",L983&lt;=90,"61-90",TRUE,"90+")</f>
        <v>90+</v>
      </c>
      <c r="N983">
        <f t="shared" si="31"/>
        <v>0</v>
      </c>
      <c r="O983" t="str">
        <f>VLOOKUP(K983,Agents!$A$1:$C$11,2,0)</f>
        <v>Sunita Rao</v>
      </c>
      <c r="P983">
        <f t="shared" si="30"/>
        <v>0</v>
      </c>
    </row>
    <row r="984" spans="1:16" x14ac:dyDescent="0.25">
      <c r="A984" s="2" t="s">
        <v>1507</v>
      </c>
      <c r="B984" s="2" t="s">
        <v>1259</v>
      </c>
      <c r="C984" s="2" t="s">
        <v>29</v>
      </c>
      <c r="D984" s="2" t="s">
        <v>41</v>
      </c>
      <c r="E984" s="4">
        <v>46277</v>
      </c>
      <c r="F984" s="4">
        <v>46291</v>
      </c>
      <c r="G984" s="5">
        <v>11775</v>
      </c>
      <c r="H984" s="5"/>
      <c r="I984" s="2" t="s">
        <v>42</v>
      </c>
      <c r="J984" s="2" t="s">
        <v>1541</v>
      </c>
      <c r="K984" t="s">
        <v>43</v>
      </c>
      <c r="L984" s="12">
        <f>MIS_Report!$B$2-F984</f>
        <v>19</v>
      </c>
      <c r="M984" t="str" cm="1">
        <f t="array" ref="M984">_xlfn.IFS(L984&lt;=30,"0-30",L984&lt;=60,"31-60",L984&lt;=90,"61-90",TRUE,"90+")</f>
        <v>0-30</v>
      </c>
      <c r="N984">
        <f t="shared" si="31"/>
        <v>11775</v>
      </c>
      <c r="O984" t="str">
        <f>VLOOKUP(K984,Agents!$A$1:$C$11,2,0)</f>
        <v>Manish Arora</v>
      </c>
      <c r="P984">
        <f t="shared" si="30"/>
        <v>0</v>
      </c>
    </row>
    <row r="985" spans="1:16" x14ac:dyDescent="0.25">
      <c r="A985" s="2" t="s">
        <v>1508</v>
      </c>
      <c r="B985" s="2" t="s">
        <v>247</v>
      </c>
      <c r="C985" s="2" t="s">
        <v>79</v>
      </c>
      <c r="D985" s="2" t="s">
        <v>61</v>
      </c>
      <c r="E985" s="4">
        <v>46140</v>
      </c>
      <c r="F985" s="4">
        <v>46156</v>
      </c>
      <c r="G985" s="5">
        <v>11850</v>
      </c>
      <c r="H985" s="5"/>
      <c r="I985" s="2" t="s">
        <v>42</v>
      </c>
      <c r="J985" s="2" t="s">
        <v>1541</v>
      </c>
      <c r="K985" t="s">
        <v>48</v>
      </c>
      <c r="L985" s="12">
        <f>MIS_Report!$B$2-F985</f>
        <v>154</v>
      </c>
      <c r="M985" t="str" cm="1">
        <f t="array" ref="M985">_xlfn.IFS(L985&lt;=30,"0-30",L985&lt;=60,"31-60",L985&lt;=90,"61-90",TRUE,"90+")</f>
        <v>90+</v>
      </c>
      <c r="N985">
        <f t="shared" si="31"/>
        <v>11850</v>
      </c>
      <c r="O985" t="str">
        <f>VLOOKUP(K985,Agents!$A$1:$C$11,2,0)</f>
        <v>Manish Arora</v>
      </c>
      <c r="P985">
        <f t="shared" si="30"/>
        <v>0</v>
      </c>
    </row>
    <row r="986" spans="1:16" x14ac:dyDescent="0.25">
      <c r="A986" s="2" t="s">
        <v>1509</v>
      </c>
      <c r="B986" s="2" t="s">
        <v>125</v>
      </c>
      <c r="C986" s="2" t="s">
        <v>29</v>
      </c>
      <c r="D986" s="2" t="s">
        <v>30</v>
      </c>
      <c r="E986" s="4">
        <v>46123</v>
      </c>
      <c r="F986" s="4">
        <v>46126</v>
      </c>
      <c r="G986" s="5">
        <v>4600</v>
      </c>
      <c r="H986" s="5">
        <v>0</v>
      </c>
      <c r="I986" s="2" t="s">
        <v>31</v>
      </c>
      <c r="J986" s="2" t="s">
        <v>347</v>
      </c>
      <c r="K986" t="s">
        <v>65</v>
      </c>
      <c r="L986" s="12">
        <f>MIS_Report!$B$2-F986</f>
        <v>184</v>
      </c>
      <c r="M986" t="str" cm="1">
        <f t="array" ref="M986">_xlfn.IFS(L986&lt;=30,"0-30",L986&lt;=60,"31-60",L986&lt;=90,"61-90",TRUE,"90+")</f>
        <v>90+</v>
      </c>
      <c r="N986">
        <f t="shared" si="31"/>
        <v>0</v>
      </c>
      <c r="O986" t="str">
        <f>VLOOKUP(K986,Agents!$A$1:$C$11,2,0)</f>
        <v>Deepak Nair</v>
      </c>
      <c r="P986">
        <f t="shared" si="30"/>
        <v>4600</v>
      </c>
    </row>
    <row r="987" spans="1:16" x14ac:dyDescent="0.25">
      <c r="A987" s="2" t="s">
        <v>1510</v>
      </c>
      <c r="B987" s="2" t="s">
        <v>1394</v>
      </c>
      <c r="C987" s="2" t="s">
        <v>29</v>
      </c>
      <c r="D987" s="2" t="s">
        <v>30</v>
      </c>
      <c r="E987" s="4">
        <v>46110</v>
      </c>
      <c r="F987" s="4">
        <v>46120</v>
      </c>
      <c r="G987" s="5">
        <v>4400</v>
      </c>
      <c r="H987" s="5"/>
      <c r="I987" s="2" t="s">
        <v>42</v>
      </c>
      <c r="J987" s="2" t="s">
        <v>1541</v>
      </c>
      <c r="K987" t="s">
        <v>83</v>
      </c>
      <c r="L987" s="12">
        <f>MIS_Report!$B$2-F987</f>
        <v>190</v>
      </c>
      <c r="M987" t="str" cm="1">
        <f t="array" ref="M987">_xlfn.IFS(L987&lt;=30,"0-30",L987&lt;=60,"31-60",L987&lt;=90,"61-90",TRUE,"90+")</f>
        <v>90+</v>
      </c>
      <c r="N987">
        <f t="shared" si="31"/>
        <v>4400</v>
      </c>
      <c r="O987" t="str">
        <f>VLOOKUP(K987,Agents!$A$1:$C$11,2,0)</f>
        <v>Deepak Nair</v>
      </c>
      <c r="P987">
        <f t="shared" si="30"/>
        <v>0</v>
      </c>
    </row>
    <row r="988" spans="1:16" x14ac:dyDescent="0.25">
      <c r="A988" s="2" t="s">
        <v>1511</v>
      </c>
      <c r="B988" s="2" t="s">
        <v>617</v>
      </c>
      <c r="C988" s="2" t="s">
        <v>79</v>
      </c>
      <c r="D988" s="2" t="s">
        <v>61</v>
      </c>
      <c r="E988" s="4">
        <v>46067</v>
      </c>
      <c r="F988" s="4">
        <v>46070</v>
      </c>
      <c r="G988" s="5">
        <v>1100</v>
      </c>
      <c r="H988" s="5">
        <v>0</v>
      </c>
      <c r="I988" s="2" t="s">
        <v>31</v>
      </c>
      <c r="J988" s="2" t="s">
        <v>271</v>
      </c>
      <c r="K988" t="s">
        <v>43</v>
      </c>
      <c r="L988" s="12">
        <f>MIS_Report!$B$2-F988</f>
        <v>240</v>
      </c>
      <c r="M988" t="str" cm="1">
        <f t="array" ref="M988">_xlfn.IFS(L988&lt;=30,"0-30",L988&lt;=60,"31-60",L988&lt;=90,"61-90",TRUE,"90+")</f>
        <v>90+</v>
      </c>
      <c r="N988">
        <f t="shared" si="31"/>
        <v>0</v>
      </c>
      <c r="O988" t="str">
        <f>VLOOKUP(K988,Agents!$A$1:$C$11,2,0)</f>
        <v>Manish Arora</v>
      </c>
      <c r="P988">
        <f t="shared" si="30"/>
        <v>1100</v>
      </c>
    </row>
    <row r="989" spans="1:16" x14ac:dyDescent="0.25">
      <c r="A989" s="2" t="s">
        <v>1512</v>
      </c>
      <c r="B989" s="2" t="s">
        <v>1124</v>
      </c>
      <c r="C989" s="2" t="s">
        <v>79</v>
      </c>
      <c r="D989" s="2" t="s">
        <v>41</v>
      </c>
      <c r="E989" s="4">
        <v>46081</v>
      </c>
      <c r="F989" s="4">
        <v>46092</v>
      </c>
      <c r="G989" s="5">
        <v>12200</v>
      </c>
      <c r="H989" s="5">
        <v>0</v>
      </c>
      <c r="I989" s="2" t="s">
        <v>31</v>
      </c>
      <c r="J989" s="2" t="s">
        <v>271</v>
      </c>
      <c r="K989" t="s">
        <v>43</v>
      </c>
      <c r="L989" s="12">
        <f>MIS_Report!$B$2-F989</f>
        <v>218</v>
      </c>
      <c r="M989" t="str" cm="1">
        <f t="array" ref="M989">_xlfn.IFS(L989&lt;=30,"0-30",L989&lt;=60,"31-60",L989&lt;=90,"61-90",TRUE,"90+")</f>
        <v>90+</v>
      </c>
      <c r="N989">
        <f t="shared" si="31"/>
        <v>0</v>
      </c>
      <c r="O989" t="str">
        <f>VLOOKUP(K989,Agents!$A$1:$C$11,2,0)</f>
        <v>Manish Arora</v>
      </c>
      <c r="P989">
        <f t="shared" si="30"/>
        <v>12200</v>
      </c>
    </row>
    <row r="990" spans="1:16" x14ac:dyDescent="0.25">
      <c r="A990" s="2" t="s">
        <v>1513</v>
      </c>
      <c r="B990" s="2" t="s">
        <v>452</v>
      </c>
      <c r="C990" s="2" t="s">
        <v>46</v>
      </c>
      <c r="D990" s="2" t="s">
        <v>41</v>
      </c>
      <c r="E990" s="4">
        <v>46014</v>
      </c>
      <c r="F990" s="4">
        <v>46026</v>
      </c>
      <c r="G990" s="5">
        <v>14600</v>
      </c>
      <c r="H990" s="5">
        <v>12010.52</v>
      </c>
      <c r="I990" s="2" t="s">
        <v>37</v>
      </c>
      <c r="J990" s="2" t="s">
        <v>1541</v>
      </c>
      <c r="K990" t="s">
        <v>38</v>
      </c>
      <c r="L990" s="12">
        <f>MIS_Report!$B$2-F990</f>
        <v>284</v>
      </c>
      <c r="M990" t="str" cm="1">
        <f t="array" ref="M990">_xlfn.IFS(L990&lt;=30,"0-30",L990&lt;=60,"31-60",L990&lt;=90,"61-90",TRUE,"90+")</f>
        <v>90+</v>
      </c>
      <c r="N990">
        <f t="shared" si="31"/>
        <v>0</v>
      </c>
      <c r="O990" t="str">
        <f>VLOOKUP(K990,Agents!$A$1:$C$11,2,0)</f>
        <v>Sunita Rao</v>
      </c>
      <c r="P990">
        <f t="shared" si="30"/>
        <v>0</v>
      </c>
    </row>
    <row r="991" spans="1:16" x14ac:dyDescent="0.25">
      <c r="A991" s="2" t="s">
        <v>1514</v>
      </c>
      <c r="B991" s="2" t="s">
        <v>557</v>
      </c>
      <c r="C991" s="2" t="s">
        <v>79</v>
      </c>
      <c r="D991" s="2" t="s">
        <v>41</v>
      </c>
      <c r="E991" s="4">
        <v>46156</v>
      </c>
      <c r="F991" s="4">
        <v>46160</v>
      </c>
      <c r="G991" s="5">
        <v>13425</v>
      </c>
      <c r="H991" s="5"/>
      <c r="I991" s="2" t="s">
        <v>42</v>
      </c>
      <c r="J991" s="2" t="s">
        <v>1541</v>
      </c>
      <c r="K991" t="s">
        <v>38</v>
      </c>
      <c r="L991" s="12">
        <f>MIS_Report!$B$2-F991</f>
        <v>150</v>
      </c>
      <c r="M991" t="str" cm="1">
        <f t="array" ref="M991">_xlfn.IFS(L991&lt;=30,"0-30",L991&lt;=60,"31-60",L991&lt;=90,"61-90",TRUE,"90+")</f>
        <v>90+</v>
      </c>
      <c r="N991">
        <f t="shared" si="31"/>
        <v>13425</v>
      </c>
      <c r="O991" t="str">
        <f>VLOOKUP(K991,Agents!$A$1:$C$11,2,0)</f>
        <v>Sunita Rao</v>
      </c>
      <c r="P991">
        <f t="shared" si="30"/>
        <v>0</v>
      </c>
    </row>
    <row r="992" spans="1:16" x14ac:dyDescent="0.25">
      <c r="A992" s="2" t="s">
        <v>1515</v>
      </c>
      <c r="B992" s="2" t="s">
        <v>337</v>
      </c>
      <c r="C992" s="2" t="s">
        <v>29</v>
      </c>
      <c r="D992" s="2" t="s">
        <v>80</v>
      </c>
      <c r="E992" s="4">
        <v>46239</v>
      </c>
      <c r="F992" s="4">
        <v>46242</v>
      </c>
      <c r="G992" s="5">
        <v>2350</v>
      </c>
      <c r="H992" s="5">
        <v>1945.94</v>
      </c>
      <c r="I992" s="2" t="s">
        <v>37</v>
      </c>
      <c r="J992" s="2" t="s">
        <v>1541</v>
      </c>
      <c r="K992" t="s">
        <v>109</v>
      </c>
      <c r="L992" s="12">
        <f>MIS_Report!$B$2-F992</f>
        <v>68</v>
      </c>
      <c r="M992" t="str" cm="1">
        <f t="array" ref="M992">_xlfn.IFS(L992&lt;=30,"0-30",L992&lt;=60,"31-60",L992&lt;=90,"61-90",TRUE,"90+")</f>
        <v>61-90</v>
      </c>
      <c r="N992">
        <f t="shared" si="31"/>
        <v>0</v>
      </c>
      <c r="O992" t="str">
        <f>VLOOKUP(K992,Agents!$A$1:$C$11,2,0)</f>
        <v>Deepak Nair</v>
      </c>
      <c r="P992">
        <f t="shared" si="30"/>
        <v>0</v>
      </c>
    </row>
    <row r="993" spans="1:16" x14ac:dyDescent="0.25">
      <c r="A993" s="2" t="s">
        <v>1516</v>
      </c>
      <c r="B993" s="2" t="s">
        <v>1517</v>
      </c>
      <c r="C993" s="2" t="s">
        <v>36</v>
      </c>
      <c r="D993" s="2" t="s">
        <v>55</v>
      </c>
      <c r="E993" s="4">
        <v>46153</v>
      </c>
      <c r="F993" s="4">
        <v>46162</v>
      </c>
      <c r="G993" s="5">
        <v>10150</v>
      </c>
      <c r="H993" s="5">
        <v>8605.6</v>
      </c>
      <c r="I993" s="2" t="s">
        <v>37</v>
      </c>
      <c r="J993" s="2" t="s">
        <v>1541</v>
      </c>
      <c r="K993" t="s">
        <v>52</v>
      </c>
      <c r="L993" s="12">
        <f>MIS_Report!$B$2-F993</f>
        <v>148</v>
      </c>
      <c r="M993" t="str" cm="1">
        <f t="array" ref="M993">_xlfn.IFS(L993&lt;=30,"0-30",L993&lt;=60,"31-60",L993&lt;=90,"61-90",TRUE,"90+")</f>
        <v>90+</v>
      </c>
      <c r="N993">
        <f t="shared" si="31"/>
        <v>0</v>
      </c>
      <c r="O993" t="str">
        <f>VLOOKUP(K993,Agents!$A$1:$C$11,2,0)</f>
        <v>Sunita Rao</v>
      </c>
      <c r="P993">
        <f t="shared" si="30"/>
        <v>0</v>
      </c>
    </row>
    <row r="994" spans="1:16" x14ac:dyDescent="0.25">
      <c r="A994" s="2" t="s">
        <v>1518</v>
      </c>
      <c r="B994" s="2" t="s">
        <v>552</v>
      </c>
      <c r="C994" s="2" t="s">
        <v>29</v>
      </c>
      <c r="D994" s="2" t="s">
        <v>55</v>
      </c>
      <c r="E994" s="4">
        <v>46109</v>
      </c>
      <c r="F994" s="4">
        <v>46120</v>
      </c>
      <c r="G994" s="5">
        <v>7225</v>
      </c>
      <c r="H994" s="5">
        <v>6980.14</v>
      </c>
      <c r="I994" s="2" t="s">
        <v>37</v>
      </c>
      <c r="J994" s="2" t="s">
        <v>1541</v>
      </c>
      <c r="K994" t="s">
        <v>62</v>
      </c>
      <c r="L994" s="12">
        <f>MIS_Report!$B$2-F994</f>
        <v>190</v>
      </c>
      <c r="M994" t="str" cm="1">
        <f t="array" ref="M994">_xlfn.IFS(L994&lt;=30,"0-30",L994&lt;=60,"31-60",L994&lt;=90,"61-90",TRUE,"90+")</f>
        <v>90+</v>
      </c>
      <c r="N994">
        <f t="shared" si="31"/>
        <v>0</v>
      </c>
      <c r="O994" t="str">
        <f>VLOOKUP(K994,Agents!$A$1:$C$11,2,0)</f>
        <v>Sunita Rao</v>
      </c>
      <c r="P994">
        <f t="shared" si="30"/>
        <v>0</v>
      </c>
    </row>
    <row r="995" spans="1:16" x14ac:dyDescent="0.25">
      <c r="A995" s="2" t="s">
        <v>1519</v>
      </c>
      <c r="B995" s="2" t="s">
        <v>1520</v>
      </c>
      <c r="C995" s="2" t="s">
        <v>29</v>
      </c>
      <c r="D995" s="2" t="s">
        <v>68</v>
      </c>
      <c r="E995" s="4">
        <v>46125</v>
      </c>
      <c r="F995" s="4">
        <v>46133</v>
      </c>
      <c r="G995" s="5">
        <v>10675</v>
      </c>
      <c r="H995" s="5"/>
      <c r="I995" s="2" t="s">
        <v>42</v>
      </c>
      <c r="J995" s="2" t="s">
        <v>1541</v>
      </c>
      <c r="K995" t="s">
        <v>56</v>
      </c>
      <c r="L995" s="12">
        <f>MIS_Report!$B$2-F995</f>
        <v>177</v>
      </c>
      <c r="M995" t="str" cm="1">
        <f t="array" ref="M995">_xlfn.IFS(L995&lt;=30,"0-30",L995&lt;=60,"31-60",L995&lt;=90,"61-90",TRUE,"90+")</f>
        <v>90+</v>
      </c>
      <c r="N995">
        <f t="shared" si="31"/>
        <v>10675</v>
      </c>
      <c r="O995" t="str">
        <f>VLOOKUP(K995,Agents!$A$1:$C$11,2,0)</f>
        <v>Manish Arora</v>
      </c>
      <c r="P995">
        <f t="shared" si="30"/>
        <v>0</v>
      </c>
    </row>
    <row r="996" spans="1:16" x14ac:dyDescent="0.25">
      <c r="A996" s="2" t="s">
        <v>1521</v>
      </c>
      <c r="B996" s="2" t="s">
        <v>885</v>
      </c>
      <c r="C996" s="2" t="s">
        <v>36</v>
      </c>
      <c r="D996" s="2" t="s">
        <v>61</v>
      </c>
      <c r="E996" s="4">
        <v>46219</v>
      </c>
      <c r="F996" s="4">
        <v>46230</v>
      </c>
      <c r="G996" s="5">
        <v>3375</v>
      </c>
      <c r="H996" s="5"/>
      <c r="I996" s="2" t="s">
        <v>42</v>
      </c>
      <c r="J996" s="2" t="s">
        <v>1541</v>
      </c>
      <c r="K996" t="s">
        <v>52</v>
      </c>
      <c r="L996" s="12">
        <f>MIS_Report!$B$2-F996</f>
        <v>80</v>
      </c>
      <c r="M996" t="str" cm="1">
        <f t="array" ref="M996">_xlfn.IFS(L996&lt;=30,"0-30",L996&lt;=60,"31-60",L996&lt;=90,"61-90",TRUE,"90+")</f>
        <v>61-90</v>
      </c>
      <c r="N996">
        <f t="shared" si="31"/>
        <v>3375</v>
      </c>
      <c r="O996" t="str">
        <f>VLOOKUP(K996,Agents!$A$1:$C$11,2,0)</f>
        <v>Sunita Rao</v>
      </c>
      <c r="P996">
        <f t="shared" si="30"/>
        <v>0</v>
      </c>
    </row>
    <row r="997" spans="1:16" x14ac:dyDescent="0.25">
      <c r="A997" s="2" t="s">
        <v>1522</v>
      </c>
      <c r="B997" s="2" t="s">
        <v>909</v>
      </c>
      <c r="C997" s="2" t="s">
        <v>36</v>
      </c>
      <c r="D997" s="2" t="s">
        <v>30</v>
      </c>
      <c r="E997" s="4">
        <v>46094</v>
      </c>
      <c r="F997" s="4">
        <v>46103</v>
      </c>
      <c r="G997" s="5">
        <v>13125</v>
      </c>
      <c r="H997" s="5"/>
      <c r="I997" s="2" t="s">
        <v>42</v>
      </c>
      <c r="J997" s="2" t="s">
        <v>1541</v>
      </c>
      <c r="K997" t="s">
        <v>33</v>
      </c>
      <c r="L997" s="12">
        <f>MIS_Report!$B$2-F997</f>
        <v>207</v>
      </c>
      <c r="M997" t="str" cm="1">
        <f t="array" ref="M997">_xlfn.IFS(L997&lt;=30,"0-30",L997&lt;=60,"31-60",L997&lt;=90,"61-90",TRUE,"90+")</f>
        <v>90+</v>
      </c>
      <c r="N997">
        <f t="shared" si="31"/>
        <v>13125</v>
      </c>
      <c r="O997" t="str">
        <f>VLOOKUP(K997,Agents!$A$1:$C$11,2,0)</f>
        <v>Manish Arora</v>
      </c>
      <c r="P997">
        <f t="shared" si="30"/>
        <v>0</v>
      </c>
    </row>
    <row r="998" spans="1:16" x14ac:dyDescent="0.25">
      <c r="A998" s="2" t="s">
        <v>1523</v>
      </c>
      <c r="B998" s="2" t="s">
        <v>724</v>
      </c>
      <c r="C998" s="2" t="s">
        <v>79</v>
      </c>
      <c r="D998" s="2" t="s">
        <v>41</v>
      </c>
      <c r="E998" s="4">
        <v>46237</v>
      </c>
      <c r="F998" s="4">
        <v>46240</v>
      </c>
      <c r="G998" s="5">
        <v>2125</v>
      </c>
      <c r="H998" s="5"/>
      <c r="I998" s="2" t="s">
        <v>42</v>
      </c>
      <c r="J998" s="2" t="s">
        <v>1541</v>
      </c>
      <c r="K998" t="s">
        <v>62</v>
      </c>
      <c r="L998" s="12">
        <f>MIS_Report!$B$2-F998</f>
        <v>70</v>
      </c>
      <c r="M998" t="str" cm="1">
        <f t="array" ref="M998">_xlfn.IFS(L998&lt;=30,"0-30",L998&lt;=60,"31-60",L998&lt;=90,"61-90",TRUE,"90+")</f>
        <v>61-90</v>
      </c>
      <c r="N998">
        <f t="shared" si="31"/>
        <v>2125</v>
      </c>
      <c r="O998" t="str">
        <f>VLOOKUP(K998,Agents!$A$1:$C$11,2,0)</f>
        <v>Sunita Rao</v>
      </c>
      <c r="P998">
        <f t="shared" si="30"/>
        <v>0</v>
      </c>
    </row>
    <row r="999" spans="1:16" x14ac:dyDescent="0.25">
      <c r="A999" s="2" t="s">
        <v>1524</v>
      </c>
      <c r="B999" s="2" t="s">
        <v>1036</v>
      </c>
      <c r="C999" s="2" t="s">
        <v>46</v>
      </c>
      <c r="D999" s="2" t="s">
        <v>80</v>
      </c>
      <c r="E999" s="4">
        <v>46081</v>
      </c>
      <c r="F999" s="4">
        <v>46099</v>
      </c>
      <c r="G999" s="5">
        <v>14550</v>
      </c>
      <c r="H999" s="5">
        <v>0</v>
      </c>
      <c r="I999" s="2" t="s">
        <v>31</v>
      </c>
      <c r="J999" s="2" t="s">
        <v>312</v>
      </c>
      <c r="K999" t="s">
        <v>33</v>
      </c>
      <c r="L999" s="12">
        <f>MIS_Report!$B$2-F999</f>
        <v>211</v>
      </c>
      <c r="M999" t="str" cm="1">
        <f t="array" ref="M999">_xlfn.IFS(L999&lt;=30,"0-30",L999&lt;=60,"31-60",L999&lt;=90,"61-90",TRUE,"90+")</f>
        <v>90+</v>
      </c>
      <c r="N999">
        <f t="shared" si="31"/>
        <v>0</v>
      </c>
      <c r="O999" t="str">
        <f>VLOOKUP(K999,Agents!$A$1:$C$11,2,0)</f>
        <v>Manish Arora</v>
      </c>
      <c r="P999">
        <f t="shared" si="30"/>
        <v>14550</v>
      </c>
    </row>
    <row r="1000" spans="1:16" x14ac:dyDescent="0.25">
      <c r="A1000" s="2" t="s">
        <v>1525</v>
      </c>
      <c r="B1000" s="2" t="s">
        <v>460</v>
      </c>
      <c r="C1000" s="2" t="s">
        <v>29</v>
      </c>
      <c r="D1000" s="2" t="s">
        <v>30</v>
      </c>
      <c r="E1000" s="4">
        <v>46037</v>
      </c>
      <c r="F1000" s="4">
        <v>46053</v>
      </c>
      <c r="G1000" s="5">
        <v>8075</v>
      </c>
      <c r="H1000" s="5">
        <v>5615.26</v>
      </c>
      <c r="I1000" s="2" t="s">
        <v>37</v>
      </c>
      <c r="J1000" s="2" t="s">
        <v>1541</v>
      </c>
      <c r="K1000" t="s">
        <v>33</v>
      </c>
      <c r="L1000" s="12">
        <f>MIS_Report!$B$2-F1000</f>
        <v>257</v>
      </c>
      <c r="M1000" t="str" cm="1">
        <f t="array" ref="M1000">_xlfn.IFS(L1000&lt;=30,"0-30",L1000&lt;=60,"31-60",L1000&lt;=90,"61-90",TRUE,"90+")</f>
        <v>90+</v>
      </c>
      <c r="N1000">
        <f t="shared" si="31"/>
        <v>0</v>
      </c>
      <c r="O1000" t="str">
        <f>VLOOKUP(K1000,Agents!$A$1:$C$11,2,0)</f>
        <v>Manish Arora</v>
      </c>
      <c r="P1000">
        <f t="shared" si="30"/>
        <v>0</v>
      </c>
    </row>
    <row r="1001" spans="1:16" x14ac:dyDescent="0.25">
      <c r="A1001" s="2" t="s">
        <v>1526</v>
      </c>
      <c r="B1001" s="2" t="s">
        <v>853</v>
      </c>
      <c r="C1001" s="2" t="s">
        <v>46</v>
      </c>
      <c r="D1001" s="2" t="s">
        <v>68</v>
      </c>
      <c r="E1001" s="4">
        <v>46282</v>
      </c>
      <c r="F1001" s="4">
        <v>46291</v>
      </c>
      <c r="G1001" s="5">
        <v>5800</v>
      </c>
      <c r="H1001" s="5">
        <v>4717.97</v>
      </c>
      <c r="I1001" s="2" t="s">
        <v>37</v>
      </c>
      <c r="J1001" s="2" t="s">
        <v>1541</v>
      </c>
      <c r="K1001" t="s">
        <v>56</v>
      </c>
      <c r="L1001" s="12">
        <f>MIS_Report!$B$2-F1001</f>
        <v>19</v>
      </c>
      <c r="M1001" t="str" cm="1">
        <f t="array" ref="M1001">_xlfn.IFS(L1001&lt;=30,"0-30",L1001&lt;=60,"31-60",L1001&lt;=90,"61-90",TRUE,"90+")</f>
        <v>0-30</v>
      </c>
      <c r="N1001">
        <f t="shared" si="31"/>
        <v>0</v>
      </c>
      <c r="O1001" t="str">
        <f>VLOOKUP(K1001,Agents!$A$1:$C$11,2,0)</f>
        <v>Manish Arora</v>
      </c>
      <c r="P1001">
        <f t="shared" si="30"/>
        <v>0</v>
      </c>
    </row>
  </sheetData>
  <conditionalFormatting sqref="A1:A1001">
    <cfRule type="duplicateValues" dxfId="6" priority="3"/>
  </conditionalFormatting>
  <conditionalFormatting sqref="A2:A1001">
    <cfRule type="duplicateValues" dxfId="5" priority="1"/>
    <cfRule type="duplicateValues" dxfId="4" priority="2"/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11"/>
  <sheetViews>
    <sheetView workbookViewId="0">
      <pane ySplit="1" topLeftCell="A2" activePane="bottomLeft" state="frozen"/>
      <selection activeCell="J2" sqref="J2"/>
      <selection pane="bottomLeft" activeCell="J2" sqref="J2"/>
    </sheetView>
  </sheetViews>
  <sheetFormatPr defaultRowHeight="15" x14ac:dyDescent="0.25"/>
  <cols>
    <col min="1" max="2" width="10" customWidth="1"/>
    <col min="3" max="3" width="20" customWidth="1"/>
    <col min="4" max="4" width="18" customWidth="1"/>
    <col min="5" max="5" width="13" customWidth="1"/>
    <col min="6" max="6" width="15" customWidth="1"/>
    <col min="7" max="7" width="14" customWidth="1"/>
    <col min="8" max="8" width="13" customWidth="1"/>
    <col min="9" max="9" width="10" customWidth="1"/>
    <col min="10" max="10" width="28" customWidth="1"/>
    <col min="11" max="11" width="14" customWidth="1"/>
  </cols>
  <sheetData>
    <row r="1" spans="1:11" x14ac:dyDescent="0.25">
      <c r="A1" s="3" t="s">
        <v>16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  <c r="H1" s="3" t="s">
        <v>23</v>
      </c>
      <c r="I1" s="3" t="s">
        <v>24</v>
      </c>
      <c r="J1" s="3" t="s">
        <v>25</v>
      </c>
      <c r="K1" s="3" t="s">
        <v>26</v>
      </c>
    </row>
    <row r="2" spans="1:11" x14ac:dyDescent="0.25">
      <c r="A2" s="2" t="s">
        <v>27</v>
      </c>
      <c r="B2" s="2" t="s">
        <v>28</v>
      </c>
      <c r="C2" s="2" t="s">
        <v>29</v>
      </c>
      <c r="D2" s="2" t="s">
        <v>30</v>
      </c>
      <c r="E2" s="4">
        <v>46234</v>
      </c>
      <c r="F2" s="4">
        <v>46254</v>
      </c>
      <c r="G2" s="5">
        <v>12200</v>
      </c>
      <c r="H2" s="5">
        <v>0</v>
      </c>
      <c r="I2" s="2" t="s">
        <v>31</v>
      </c>
      <c r="J2" s="2" t="s">
        <v>32</v>
      </c>
      <c r="K2" s="2" t="s">
        <v>33</v>
      </c>
    </row>
    <row r="3" spans="1:11" x14ac:dyDescent="0.25">
      <c r="A3" s="2" t="s">
        <v>34</v>
      </c>
      <c r="B3" s="2" t="s">
        <v>35</v>
      </c>
      <c r="C3" s="2" t="s">
        <v>36</v>
      </c>
      <c r="D3" s="2" t="s">
        <v>30</v>
      </c>
      <c r="E3" s="4">
        <v>46054</v>
      </c>
      <c r="F3" s="4">
        <v>46071</v>
      </c>
      <c r="G3" s="5">
        <v>8050</v>
      </c>
      <c r="H3" s="5">
        <v>7652.9</v>
      </c>
      <c r="I3" s="2" t="s">
        <v>37</v>
      </c>
      <c r="J3" s="2"/>
      <c r="K3" s="2" t="s">
        <v>38</v>
      </c>
    </row>
    <row r="4" spans="1:11" x14ac:dyDescent="0.25">
      <c r="A4" s="2" t="s">
        <v>39</v>
      </c>
      <c r="B4" s="2" t="s">
        <v>40</v>
      </c>
      <c r="C4" s="2" t="s">
        <v>36</v>
      </c>
      <c r="D4" s="2" t="s">
        <v>41</v>
      </c>
      <c r="E4" s="4">
        <v>46246</v>
      </c>
      <c r="F4" s="4">
        <v>46254</v>
      </c>
      <c r="G4" s="5">
        <v>675</v>
      </c>
      <c r="H4" s="5"/>
      <c r="I4" s="2" t="s">
        <v>42</v>
      </c>
      <c r="J4" s="2"/>
      <c r="K4" s="2" t="s">
        <v>43</v>
      </c>
    </row>
    <row r="5" spans="1:11" x14ac:dyDescent="0.25">
      <c r="A5" s="2" t="s">
        <v>44</v>
      </c>
      <c r="B5" s="2" t="s">
        <v>45</v>
      </c>
      <c r="C5" s="2" t="s">
        <v>46</v>
      </c>
      <c r="D5" s="2" t="s">
        <v>30</v>
      </c>
      <c r="E5" s="4">
        <v>46021</v>
      </c>
      <c r="F5" s="4">
        <v>46038</v>
      </c>
      <c r="G5" s="5">
        <v>8650</v>
      </c>
      <c r="H5" s="5">
        <v>0</v>
      </c>
      <c r="I5" s="2" t="s">
        <v>31</v>
      </c>
      <c r="J5" s="2" t="s">
        <v>47</v>
      </c>
      <c r="K5" s="2" t="s">
        <v>48</v>
      </c>
    </row>
    <row r="6" spans="1:11" x14ac:dyDescent="0.25">
      <c r="A6" s="2" t="s">
        <v>49</v>
      </c>
      <c r="B6" s="2" t="s">
        <v>50</v>
      </c>
      <c r="C6" s="2" t="s">
        <v>36</v>
      </c>
      <c r="D6" s="2" t="s">
        <v>51</v>
      </c>
      <c r="E6" s="4">
        <v>46246</v>
      </c>
      <c r="F6" s="4">
        <v>46257</v>
      </c>
      <c r="G6" s="5">
        <v>10700</v>
      </c>
      <c r="H6" s="5"/>
      <c r="I6" s="2" t="s">
        <v>42</v>
      </c>
      <c r="J6" s="2"/>
      <c r="K6" s="2" t="s">
        <v>52</v>
      </c>
    </row>
    <row r="7" spans="1:11" x14ac:dyDescent="0.25">
      <c r="A7" s="2" t="s">
        <v>53</v>
      </c>
      <c r="B7" s="2" t="s">
        <v>54</v>
      </c>
      <c r="C7" s="2" t="s">
        <v>46</v>
      </c>
      <c r="D7" s="2" t="s">
        <v>55</v>
      </c>
      <c r="E7" s="4">
        <v>46121</v>
      </c>
      <c r="F7" s="4">
        <v>46140</v>
      </c>
      <c r="G7" s="5">
        <v>7675</v>
      </c>
      <c r="H7" s="5">
        <v>4594</v>
      </c>
      <c r="I7" s="2" t="s">
        <v>37</v>
      </c>
      <c r="J7" s="2"/>
      <c r="K7" s="2" t="s">
        <v>56</v>
      </c>
    </row>
    <row r="8" spans="1:11" x14ac:dyDescent="0.25">
      <c r="A8" s="2" t="s">
        <v>57</v>
      </c>
      <c r="B8" s="2" t="s">
        <v>58</v>
      </c>
      <c r="C8" s="2" t="s">
        <v>29</v>
      </c>
      <c r="D8" s="2" t="s">
        <v>55</v>
      </c>
      <c r="E8" s="4">
        <v>46014</v>
      </c>
      <c r="F8" s="4">
        <v>46023</v>
      </c>
      <c r="G8" s="5">
        <v>5650</v>
      </c>
      <c r="H8" s="5"/>
      <c r="I8" s="2" t="s">
        <v>42</v>
      </c>
      <c r="J8" s="2"/>
      <c r="K8" s="2" t="s">
        <v>38</v>
      </c>
    </row>
    <row r="9" spans="1:11" x14ac:dyDescent="0.25">
      <c r="A9" s="2" t="s">
        <v>59</v>
      </c>
      <c r="B9" s="2" t="s">
        <v>60</v>
      </c>
      <c r="C9" s="2" t="s">
        <v>46</v>
      </c>
      <c r="D9" s="2" t="s">
        <v>61</v>
      </c>
      <c r="E9" s="4">
        <v>46232</v>
      </c>
      <c r="F9" s="4">
        <v>46237</v>
      </c>
      <c r="G9" s="5">
        <v>14775</v>
      </c>
      <c r="H9" s="5"/>
      <c r="I9" s="2" t="s">
        <v>42</v>
      </c>
      <c r="J9" s="2"/>
      <c r="K9" s="2" t="s">
        <v>62</v>
      </c>
    </row>
    <row r="10" spans="1:11" x14ac:dyDescent="0.25">
      <c r="A10" s="2" t="s">
        <v>63</v>
      </c>
      <c r="B10" s="2" t="s">
        <v>64</v>
      </c>
      <c r="C10" s="2" t="s">
        <v>36</v>
      </c>
      <c r="D10" s="2" t="s">
        <v>41</v>
      </c>
      <c r="E10" s="4">
        <v>46190</v>
      </c>
      <c r="F10" s="4">
        <v>46193</v>
      </c>
      <c r="G10" s="5">
        <v>10775</v>
      </c>
      <c r="H10" s="5">
        <v>7120.92</v>
      </c>
      <c r="I10" s="2" t="s">
        <v>37</v>
      </c>
      <c r="J10" s="2"/>
      <c r="K10" s="2" t="s">
        <v>65</v>
      </c>
    </row>
    <row r="11" spans="1:11" x14ac:dyDescent="0.25">
      <c r="A11" s="2" t="s">
        <v>66</v>
      </c>
      <c r="B11" s="2" t="s">
        <v>67</v>
      </c>
      <c r="C11" s="2" t="s">
        <v>29</v>
      </c>
      <c r="D11" s="2" t="s">
        <v>68</v>
      </c>
      <c r="E11" s="4">
        <v>46093</v>
      </c>
      <c r="F11" s="4">
        <v>46113</v>
      </c>
      <c r="G11" s="5">
        <v>5100</v>
      </c>
      <c r="H11" s="5">
        <v>4484.7</v>
      </c>
      <c r="I11" s="2" t="s">
        <v>37</v>
      </c>
      <c r="J11" s="2"/>
      <c r="K11" s="2" t="s">
        <v>48</v>
      </c>
    </row>
    <row r="12" spans="1:11" x14ac:dyDescent="0.25">
      <c r="A12" s="2" t="s">
        <v>69</v>
      </c>
      <c r="B12" s="2" t="s">
        <v>70</v>
      </c>
      <c r="C12" s="2" t="s">
        <v>46</v>
      </c>
      <c r="D12" s="2" t="s">
        <v>71</v>
      </c>
      <c r="E12" s="4">
        <v>46209</v>
      </c>
      <c r="F12" s="4">
        <v>46225</v>
      </c>
      <c r="G12" s="5">
        <v>5725</v>
      </c>
      <c r="H12" s="5">
        <v>0</v>
      </c>
      <c r="I12" s="2" t="s">
        <v>31</v>
      </c>
      <c r="J12" s="2" t="s">
        <v>72</v>
      </c>
      <c r="K12" s="2" t="s">
        <v>56</v>
      </c>
    </row>
    <row r="13" spans="1:11" x14ac:dyDescent="0.25">
      <c r="A13" s="2" t="s">
        <v>73</v>
      </c>
      <c r="B13" s="2" t="s">
        <v>74</v>
      </c>
      <c r="C13" s="2" t="s">
        <v>36</v>
      </c>
      <c r="D13" s="2" t="s">
        <v>41</v>
      </c>
      <c r="E13" s="4">
        <v>46122</v>
      </c>
      <c r="F13" s="4">
        <v>46130</v>
      </c>
      <c r="G13" s="5">
        <v>10375</v>
      </c>
      <c r="H13" s="5"/>
      <c r="I13" s="2" t="s">
        <v>42</v>
      </c>
      <c r="J13" s="2"/>
      <c r="K13" s="2" t="s">
        <v>33</v>
      </c>
    </row>
    <row r="14" spans="1:11" x14ac:dyDescent="0.25">
      <c r="A14" s="2" t="s">
        <v>75</v>
      </c>
      <c r="B14" s="2" t="s">
        <v>76</v>
      </c>
      <c r="C14" s="2" t="s">
        <v>36</v>
      </c>
      <c r="D14" s="2" t="s">
        <v>41</v>
      </c>
      <c r="E14" s="4">
        <v>46115</v>
      </c>
      <c r="F14" s="4">
        <v>46132</v>
      </c>
      <c r="G14" s="5">
        <v>6900</v>
      </c>
      <c r="H14" s="5">
        <v>6373.05</v>
      </c>
      <c r="I14" s="2" t="s">
        <v>37</v>
      </c>
      <c r="J14" s="2"/>
      <c r="K14" s="2" t="s">
        <v>43</v>
      </c>
    </row>
    <row r="15" spans="1:11" x14ac:dyDescent="0.25">
      <c r="A15" s="2" t="s">
        <v>77</v>
      </c>
      <c r="B15" s="2" t="s">
        <v>78</v>
      </c>
      <c r="C15" s="2" t="s">
        <v>79</v>
      </c>
      <c r="D15" s="2" t="s">
        <v>80</v>
      </c>
      <c r="E15" s="4">
        <v>46144</v>
      </c>
      <c r="F15" s="4">
        <v>46147</v>
      </c>
      <c r="G15" s="5">
        <v>9725</v>
      </c>
      <c r="H15" s="5">
        <v>9546.16</v>
      </c>
      <c r="I15" s="2" t="s">
        <v>37</v>
      </c>
      <c r="J15" s="2"/>
      <c r="K15" s="2" t="s">
        <v>33</v>
      </c>
    </row>
    <row r="16" spans="1:11" x14ac:dyDescent="0.25">
      <c r="A16" s="2" t="s">
        <v>81</v>
      </c>
      <c r="B16" s="2" t="s">
        <v>82</v>
      </c>
      <c r="C16" s="2" t="s">
        <v>79</v>
      </c>
      <c r="D16" s="2" t="s">
        <v>41</v>
      </c>
      <c r="E16" s="4">
        <v>46089</v>
      </c>
      <c r="F16" s="4">
        <v>46101</v>
      </c>
      <c r="G16" s="5">
        <v>6125</v>
      </c>
      <c r="H16" s="5"/>
      <c r="I16" s="2" t="s">
        <v>42</v>
      </c>
      <c r="J16" s="2"/>
      <c r="K16" s="2" t="s">
        <v>83</v>
      </c>
    </row>
    <row r="17" spans="1:11" x14ac:dyDescent="0.25">
      <c r="A17" s="2" t="s">
        <v>84</v>
      </c>
      <c r="B17" s="2" t="s">
        <v>85</v>
      </c>
      <c r="C17" s="2" t="s">
        <v>46</v>
      </c>
      <c r="D17" s="2" t="s">
        <v>61</v>
      </c>
      <c r="E17" s="4">
        <v>46108</v>
      </c>
      <c r="F17" s="4">
        <v>46123</v>
      </c>
      <c r="G17" s="5">
        <v>12650</v>
      </c>
      <c r="H17" s="5">
        <v>7548.61</v>
      </c>
      <c r="I17" s="2" t="s">
        <v>37</v>
      </c>
      <c r="J17" s="2"/>
      <c r="K17" s="2" t="s">
        <v>38</v>
      </c>
    </row>
    <row r="18" spans="1:11" x14ac:dyDescent="0.25">
      <c r="A18" s="2" t="s">
        <v>86</v>
      </c>
      <c r="B18" s="2" t="s">
        <v>87</v>
      </c>
      <c r="C18" s="2" t="s">
        <v>79</v>
      </c>
      <c r="D18" s="2" t="s">
        <v>61</v>
      </c>
      <c r="E18" s="4">
        <v>46138</v>
      </c>
      <c r="F18" s="4">
        <v>46154</v>
      </c>
      <c r="G18" s="5">
        <v>12850</v>
      </c>
      <c r="H18" s="5">
        <v>11232.94</v>
      </c>
      <c r="I18" s="2" t="s">
        <v>37</v>
      </c>
      <c r="J18" s="2"/>
      <c r="K18" s="2" t="s">
        <v>83</v>
      </c>
    </row>
    <row r="19" spans="1:11" x14ac:dyDescent="0.25">
      <c r="A19" s="2" t="s">
        <v>88</v>
      </c>
      <c r="B19" s="2" t="s">
        <v>89</v>
      </c>
      <c r="C19" s="2" t="s">
        <v>36</v>
      </c>
      <c r="D19" s="2" t="s">
        <v>41</v>
      </c>
      <c r="E19" s="4">
        <v>46049</v>
      </c>
      <c r="F19" s="4">
        <v>46060</v>
      </c>
      <c r="G19" s="5">
        <v>5725</v>
      </c>
      <c r="H19" s="5"/>
      <c r="I19" s="2" t="s">
        <v>42</v>
      </c>
      <c r="J19" s="2"/>
      <c r="K19" s="2" t="s">
        <v>38</v>
      </c>
    </row>
    <row r="20" spans="1:11" x14ac:dyDescent="0.25">
      <c r="A20" s="2" t="s">
        <v>90</v>
      </c>
      <c r="B20" s="2" t="s">
        <v>91</v>
      </c>
      <c r="C20" s="2" t="s">
        <v>79</v>
      </c>
      <c r="D20" s="2" t="s">
        <v>41</v>
      </c>
      <c r="E20" s="4">
        <v>46241</v>
      </c>
      <c r="F20" s="4">
        <v>46251</v>
      </c>
      <c r="G20" s="5">
        <v>1825</v>
      </c>
      <c r="H20" s="5">
        <v>1439.84</v>
      </c>
      <c r="I20" s="2" t="s">
        <v>37</v>
      </c>
      <c r="J20" s="2"/>
      <c r="K20" s="2" t="s">
        <v>33</v>
      </c>
    </row>
    <row r="21" spans="1:11" x14ac:dyDescent="0.25">
      <c r="A21" s="2" t="s">
        <v>92</v>
      </c>
      <c r="B21" s="2" t="s">
        <v>93</v>
      </c>
      <c r="C21" s="2" t="s">
        <v>36</v>
      </c>
      <c r="D21" s="2" t="s">
        <v>94</v>
      </c>
      <c r="E21" s="4">
        <v>46240</v>
      </c>
      <c r="F21" s="4">
        <v>46253</v>
      </c>
      <c r="G21" s="5">
        <v>13650</v>
      </c>
      <c r="H21" s="5"/>
      <c r="I21" s="2" t="s">
        <v>42</v>
      </c>
      <c r="J21" s="2"/>
      <c r="K21" s="2" t="s">
        <v>65</v>
      </c>
    </row>
    <row r="22" spans="1:11" x14ac:dyDescent="0.25">
      <c r="A22" s="2" t="s">
        <v>95</v>
      </c>
      <c r="B22" s="2" t="s">
        <v>96</v>
      </c>
      <c r="C22" s="2" t="s">
        <v>46</v>
      </c>
      <c r="D22" s="2" t="s">
        <v>61</v>
      </c>
      <c r="E22" s="4">
        <v>46194</v>
      </c>
      <c r="F22" s="4">
        <v>46206</v>
      </c>
      <c r="G22" s="5">
        <v>1150</v>
      </c>
      <c r="H22" s="5">
        <v>882.06</v>
      </c>
      <c r="I22" s="2" t="s">
        <v>37</v>
      </c>
      <c r="J22" s="2"/>
      <c r="K22" s="2" t="s">
        <v>48</v>
      </c>
    </row>
    <row r="23" spans="1:11" x14ac:dyDescent="0.25">
      <c r="A23" s="2" t="s">
        <v>97</v>
      </c>
      <c r="B23" s="2" t="s">
        <v>98</v>
      </c>
      <c r="C23" s="2" t="s">
        <v>79</v>
      </c>
      <c r="D23" s="2" t="s">
        <v>80</v>
      </c>
      <c r="E23" s="4">
        <v>46044</v>
      </c>
      <c r="F23" s="4">
        <v>46061</v>
      </c>
      <c r="G23" s="5">
        <v>14275</v>
      </c>
      <c r="H23" s="5">
        <v>13865.48</v>
      </c>
      <c r="I23" s="2" t="s">
        <v>37</v>
      </c>
      <c r="J23" s="2"/>
      <c r="K23" s="2" t="s">
        <v>52</v>
      </c>
    </row>
    <row r="24" spans="1:11" x14ac:dyDescent="0.25">
      <c r="A24" s="2" t="s">
        <v>99</v>
      </c>
      <c r="B24" s="2" t="s">
        <v>100</v>
      </c>
      <c r="C24" s="2" t="s">
        <v>29</v>
      </c>
      <c r="D24" s="2" t="s">
        <v>94</v>
      </c>
      <c r="E24" s="4">
        <v>46198</v>
      </c>
      <c r="F24" s="4">
        <v>46203</v>
      </c>
      <c r="G24" s="5">
        <v>12400</v>
      </c>
      <c r="H24" s="5"/>
      <c r="I24" s="2" t="s">
        <v>42</v>
      </c>
      <c r="J24" s="2"/>
      <c r="K24" s="2" t="s">
        <v>56</v>
      </c>
    </row>
    <row r="25" spans="1:11" x14ac:dyDescent="0.25">
      <c r="A25" s="2" t="s">
        <v>101</v>
      </c>
      <c r="B25" s="2" t="s">
        <v>102</v>
      </c>
      <c r="C25" s="2" t="s">
        <v>36</v>
      </c>
      <c r="D25" s="2" t="s">
        <v>41</v>
      </c>
      <c r="E25" s="4">
        <v>46275</v>
      </c>
      <c r="F25" s="4">
        <v>46278</v>
      </c>
      <c r="G25" s="5">
        <v>10075</v>
      </c>
      <c r="H25" s="5"/>
      <c r="I25" s="2" t="s">
        <v>42</v>
      </c>
      <c r="J25" s="2"/>
      <c r="K25" s="2" t="s">
        <v>48</v>
      </c>
    </row>
    <row r="26" spans="1:11" x14ac:dyDescent="0.25">
      <c r="A26" s="2" t="s">
        <v>103</v>
      </c>
      <c r="B26" s="2" t="s">
        <v>104</v>
      </c>
      <c r="C26" s="2" t="s">
        <v>29</v>
      </c>
      <c r="D26" s="2" t="s">
        <v>80</v>
      </c>
      <c r="E26" s="4">
        <v>46138</v>
      </c>
      <c r="F26" s="4">
        <v>46154</v>
      </c>
      <c r="G26" s="5">
        <v>8750</v>
      </c>
      <c r="H26" s="5">
        <v>7100</v>
      </c>
      <c r="I26" s="2" t="s">
        <v>37</v>
      </c>
      <c r="J26" s="2"/>
      <c r="K26" s="2" t="s">
        <v>48</v>
      </c>
    </row>
    <row r="27" spans="1:11" x14ac:dyDescent="0.25">
      <c r="A27" s="2" t="s">
        <v>105</v>
      </c>
      <c r="B27" s="2" t="s">
        <v>106</v>
      </c>
      <c r="C27" s="2" t="s">
        <v>29</v>
      </c>
      <c r="D27" s="2" t="s">
        <v>41</v>
      </c>
      <c r="E27" s="4">
        <v>46269</v>
      </c>
      <c r="F27" s="4">
        <v>46288</v>
      </c>
      <c r="G27" s="5">
        <v>1050</v>
      </c>
      <c r="H27" s="5"/>
      <c r="I27" s="2" t="s">
        <v>42</v>
      </c>
      <c r="J27" s="2"/>
      <c r="K27" s="2" t="s">
        <v>48</v>
      </c>
    </row>
    <row r="28" spans="1:11" x14ac:dyDescent="0.25">
      <c r="A28" s="2" t="s">
        <v>107</v>
      </c>
      <c r="B28" s="2" t="s">
        <v>108</v>
      </c>
      <c r="C28" s="2" t="s">
        <v>46</v>
      </c>
      <c r="D28" s="2" t="s">
        <v>41</v>
      </c>
      <c r="E28" s="4">
        <v>46259</v>
      </c>
      <c r="F28" s="4">
        <v>46277</v>
      </c>
      <c r="G28" s="5">
        <v>6825</v>
      </c>
      <c r="H28" s="5"/>
      <c r="I28" s="2" t="s">
        <v>42</v>
      </c>
      <c r="J28" s="2"/>
      <c r="K28" s="2" t="s">
        <v>109</v>
      </c>
    </row>
    <row r="29" spans="1:11" x14ac:dyDescent="0.25">
      <c r="A29" s="2" t="s">
        <v>110</v>
      </c>
      <c r="B29" s="2" t="s">
        <v>111</v>
      </c>
      <c r="C29" s="2" t="s">
        <v>79</v>
      </c>
      <c r="D29" s="2" t="s">
        <v>61</v>
      </c>
      <c r="E29" s="4">
        <v>46107</v>
      </c>
      <c r="F29" s="4">
        <v>46126</v>
      </c>
      <c r="G29" s="5">
        <v>4625</v>
      </c>
      <c r="H29" s="5">
        <v>4479.9399999999996</v>
      </c>
      <c r="I29" s="2" t="s">
        <v>37</v>
      </c>
      <c r="J29" s="2"/>
      <c r="K29" s="2" t="s">
        <v>62</v>
      </c>
    </row>
    <row r="30" spans="1:11" x14ac:dyDescent="0.25">
      <c r="A30" s="2" t="s">
        <v>112</v>
      </c>
      <c r="B30" s="2" t="s">
        <v>113</v>
      </c>
      <c r="C30" s="2" t="s">
        <v>79</v>
      </c>
      <c r="D30" s="2" t="s">
        <v>30</v>
      </c>
      <c r="E30" s="4">
        <v>46108</v>
      </c>
      <c r="F30" s="4">
        <v>46124</v>
      </c>
      <c r="G30" s="5">
        <v>5425</v>
      </c>
      <c r="H30" s="5"/>
      <c r="I30" s="2" t="s">
        <v>42</v>
      </c>
      <c r="J30" s="2"/>
      <c r="K30" s="2" t="s">
        <v>52</v>
      </c>
    </row>
    <row r="31" spans="1:11" x14ac:dyDescent="0.25">
      <c r="A31" s="2" t="s">
        <v>114</v>
      </c>
      <c r="B31" s="2" t="s">
        <v>115</v>
      </c>
      <c r="C31" s="2" t="s">
        <v>36</v>
      </c>
      <c r="D31" s="2" t="s">
        <v>94</v>
      </c>
      <c r="E31" s="4">
        <v>46123</v>
      </c>
      <c r="F31" s="4">
        <v>46130</v>
      </c>
      <c r="G31" s="5">
        <v>3725</v>
      </c>
      <c r="H31" s="5">
        <v>0</v>
      </c>
      <c r="I31" s="2" t="s">
        <v>31</v>
      </c>
      <c r="J31" s="2" t="s">
        <v>116</v>
      </c>
      <c r="K31" s="2" t="s">
        <v>62</v>
      </c>
    </row>
    <row r="32" spans="1:11" x14ac:dyDescent="0.25">
      <c r="A32" s="2" t="s">
        <v>117</v>
      </c>
      <c r="B32" s="2" t="s">
        <v>118</v>
      </c>
      <c r="C32" s="2" t="s">
        <v>29</v>
      </c>
      <c r="D32" s="2" t="s">
        <v>68</v>
      </c>
      <c r="E32" s="4">
        <v>46103</v>
      </c>
      <c r="F32" s="4">
        <v>46109</v>
      </c>
      <c r="G32" s="5">
        <v>11825</v>
      </c>
      <c r="H32" s="5">
        <v>0</v>
      </c>
      <c r="I32" s="2" t="s">
        <v>31</v>
      </c>
      <c r="J32" s="2" t="s">
        <v>116</v>
      </c>
      <c r="K32" s="2" t="s">
        <v>109</v>
      </c>
    </row>
    <row r="33" spans="1:11" x14ac:dyDescent="0.25">
      <c r="A33" s="2" t="s">
        <v>119</v>
      </c>
      <c r="B33" s="2" t="s">
        <v>120</v>
      </c>
      <c r="C33" s="2" t="s">
        <v>36</v>
      </c>
      <c r="D33" s="2" t="s">
        <v>68</v>
      </c>
      <c r="E33" s="4">
        <v>46241</v>
      </c>
      <c r="F33" s="4">
        <v>46254</v>
      </c>
      <c r="G33" s="5">
        <v>2200</v>
      </c>
      <c r="H33" s="5"/>
      <c r="I33" s="2" t="s">
        <v>42</v>
      </c>
      <c r="J33" s="2"/>
      <c r="K33" s="2" t="s">
        <v>62</v>
      </c>
    </row>
    <row r="34" spans="1:11" x14ac:dyDescent="0.25">
      <c r="A34" s="2" t="s">
        <v>121</v>
      </c>
      <c r="B34" s="2" t="s">
        <v>122</v>
      </c>
      <c r="C34" s="2" t="s">
        <v>46</v>
      </c>
      <c r="D34" s="2" t="s">
        <v>61</v>
      </c>
      <c r="E34" s="4">
        <v>46192</v>
      </c>
      <c r="F34" s="4">
        <v>46204</v>
      </c>
      <c r="G34" s="5">
        <v>14725</v>
      </c>
      <c r="H34" s="5">
        <v>11112.58</v>
      </c>
      <c r="I34" s="2" t="s">
        <v>37</v>
      </c>
      <c r="J34" s="2"/>
      <c r="K34" s="2" t="s">
        <v>33</v>
      </c>
    </row>
    <row r="35" spans="1:11" x14ac:dyDescent="0.25">
      <c r="A35" s="2" t="s">
        <v>123</v>
      </c>
      <c r="B35" s="2" t="s">
        <v>108</v>
      </c>
      <c r="C35" s="2" t="s">
        <v>36</v>
      </c>
      <c r="D35" s="2" t="s">
        <v>68</v>
      </c>
      <c r="E35" s="4">
        <v>46041</v>
      </c>
      <c r="F35" s="4">
        <v>46047</v>
      </c>
      <c r="G35" s="5">
        <v>11725</v>
      </c>
      <c r="H35" s="5">
        <v>9825.11</v>
      </c>
      <c r="I35" s="2" t="s">
        <v>37</v>
      </c>
      <c r="J35" s="2"/>
      <c r="K35" s="2" t="s">
        <v>43</v>
      </c>
    </row>
    <row r="36" spans="1:11" x14ac:dyDescent="0.25">
      <c r="A36" s="2" t="s">
        <v>124</v>
      </c>
      <c r="B36" s="2" t="s">
        <v>125</v>
      </c>
      <c r="C36" s="2" t="s">
        <v>29</v>
      </c>
      <c r="D36" s="2" t="s">
        <v>30</v>
      </c>
      <c r="E36" s="4">
        <v>46255</v>
      </c>
      <c r="F36" s="4">
        <v>46266</v>
      </c>
      <c r="G36" s="5">
        <v>4850</v>
      </c>
      <c r="H36" s="5"/>
      <c r="I36" s="2" t="s">
        <v>42</v>
      </c>
      <c r="J36" s="2"/>
      <c r="K36" s="2" t="s">
        <v>56</v>
      </c>
    </row>
    <row r="37" spans="1:11" x14ac:dyDescent="0.25">
      <c r="A37" s="2" t="s">
        <v>126</v>
      </c>
      <c r="B37" s="2" t="s">
        <v>127</v>
      </c>
      <c r="C37" s="2" t="s">
        <v>79</v>
      </c>
      <c r="D37" s="2" t="s">
        <v>55</v>
      </c>
      <c r="E37" s="4">
        <v>46104</v>
      </c>
      <c r="F37" s="4">
        <v>46114</v>
      </c>
      <c r="G37" s="5">
        <v>7250</v>
      </c>
      <c r="H37" s="5">
        <v>7076.5</v>
      </c>
      <c r="I37" s="2" t="s">
        <v>37</v>
      </c>
      <c r="J37" s="2"/>
      <c r="K37" s="2" t="s">
        <v>43</v>
      </c>
    </row>
    <row r="38" spans="1:11" x14ac:dyDescent="0.25">
      <c r="A38" s="2" t="s">
        <v>128</v>
      </c>
      <c r="B38" s="2" t="s">
        <v>129</v>
      </c>
      <c r="C38" s="2" t="s">
        <v>36</v>
      </c>
      <c r="D38" s="2" t="s">
        <v>55</v>
      </c>
      <c r="E38" s="4">
        <v>46051</v>
      </c>
      <c r="F38" s="4">
        <v>46067</v>
      </c>
      <c r="G38" s="5">
        <v>10225</v>
      </c>
      <c r="H38" s="5">
        <v>8502.0499999999993</v>
      </c>
      <c r="I38" s="2" t="s">
        <v>130</v>
      </c>
      <c r="J38" s="2"/>
      <c r="K38" s="2" t="s">
        <v>109</v>
      </c>
    </row>
    <row r="39" spans="1:11" x14ac:dyDescent="0.25">
      <c r="A39" s="2" t="s">
        <v>131</v>
      </c>
      <c r="B39" s="2" t="s">
        <v>89</v>
      </c>
      <c r="C39" s="2" t="s">
        <v>36</v>
      </c>
      <c r="D39" s="2" t="s">
        <v>68</v>
      </c>
      <c r="E39" s="4">
        <v>46267</v>
      </c>
      <c r="F39" s="4">
        <v>46280</v>
      </c>
      <c r="G39" s="5">
        <v>12150</v>
      </c>
      <c r="H39" s="5"/>
      <c r="I39" s="2" t="s">
        <v>42</v>
      </c>
      <c r="J39" s="2"/>
      <c r="K39" s="2" t="s">
        <v>48</v>
      </c>
    </row>
    <row r="40" spans="1:11" x14ac:dyDescent="0.25">
      <c r="A40" s="2" t="s">
        <v>132</v>
      </c>
      <c r="B40" s="2" t="s">
        <v>133</v>
      </c>
      <c r="C40" s="2" t="s">
        <v>46</v>
      </c>
      <c r="D40" s="2" t="s">
        <v>30</v>
      </c>
      <c r="E40" s="4">
        <v>46122</v>
      </c>
      <c r="F40" s="4">
        <v>46132</v>
      </c>
      <c r="G40" s="5">
        <v>10275</v>
      </c>
      <c r="H40" s="5"/>
      <c r="I40" s="2" t="s">
        <v>134</v>
      </c>
      <c r="J40" s="2"/>
      <c r="K40" s="2" t="s">
        <v>52</v>
      </c>
    </row>
    <row r="41" spans="1:11" x14ac:dyDescent="0.25">
      <c r="A41" s="2" t="s">
        <v>135</v>
      </c>
      <c r="B41" s="2" t="s">
        <v>136</v>
      </c>
      <c r="C41" s="2" t="s">
        <v>46</v>
      </c>
      <c r="D41" s="2" t="s">
        <v>30</v>
      </c>
      <c r="E41" s="4">
        <v>46154</v>
      </c>
      <c r="F41" s="4">
        <v>46157</v>
      </c>
      <c r="G41" s="5">
        <v>9200</v>
      </c>
      <c r="H41" s="5">
        <v>6476.1</v>
      </c>
      <c r="I41" s="2" t="s">
        <v>37</v>
      </c>
      <c r="J41" s="2"/>
      <c r="K41" s="2" t="s">
        <v>56</v>
      </c>
    </row>
    <row r="42" spans="1:11" x14ac:dyDescent="0.25">
      <c r="A42" s="2" t="s">
        <v>137</v>
      </c>
      <c r="B42" s="2" t="s">
        <v>138</v>
      </c>
      <c r="C42" s="2" t="s">
        <v>79</v>
      </c>
      <c r="D42" s="2" t="s">
        <v>55</v>
      </c>
      <c r="E42" s="4">
        <v>46129</v>
      </c>
      <c r="F42" s="4">
        <v>46134</v>
      </c>
      <c r="G42" s="5">
        <v>11275</v>
      </c>
      <c r="H42" s="5">
        <v>7900.98</v>
      </c>
      <c r="I42" s="2" t="s">
        <v>37</v>
      </c>
      <c r="J42" s="2"/>
      <c r="K42" s="2" t="s">
        <v>83</v>
      </c>
    </row>
    <row r="43" spans="1:11" x14ac:dyDescent="0.25">
      <c r="A43" s="2" t="s">
        <v>139</v>
      </c>
      <c r="B43" s="2" t="s">
        <v>140</v>
      </c>
      <c r="C43" s="2" t="s">
        <v>36</v>
      </c>
      <c r="D43" s="2" t="s">
        <v>80</v>
      </c>
      <c r="E43" s="4">
        <v>46271</v>
      </c>
      <c r="F43" s="4">
        <v>46288</v>
      </c>
      <c r="G43" s="5">
        <v>12900</v>
      </c>
      <c r="H43" s="5"/>
      <c r="I43" s="2" t="s">
        <v>42</v>
      </c>
      <c r="J43" s="2"/>
      <c r="K43" s="2" t="s">
        <v>65</v>
      </c>
    </row>
    <row r="44" spans="1:11" x14ac:dyDescent="0.25">
      <c r="A44" s="2" t="s">
        <v>141</v>
      </c>
      <c r="B44" s="2" t="s">
        <v>142</v>
      </c>
      <c r="C44" s="2" t="s">
        <v>79</v>
      </c>
      <c r="D44" s="2" t="s">
        <v>30</v>
      </c>
      <c r="E44" s="4">
        <v>46272</v>
      </c>
      <c r="F44" s="4">
        <v>46292</v>
      </c>
      <c r="G44" s="5">
        <v>7725</v>
      </c>
      <c r="H44" s="5"/>
      <c r="I44" s="2" t="s">
        <v>42</v>
      </c>
      <c r="J44" s="2"/>
      <c r="K44" s="2" t="s">
        <v>83</v>
      </c>
    </row>
    <row r="45" spans="1:11" x14ac:dyDescent="0.25">
      <c r="A45" s="2" t="s">
        <v>143</v>
      </c>
      <c r="B45" s="2" t="s">
        <v>144</v>
      </c>
      <c r="C45" s="2" t="s">
        <v>79</v>
      </c>
      <c r="D45" s="2" t="s">
        <v>61</v>
      </c>
      <c r="E45" s="4">
        <v>46142</v>
      </c>
      <c r="F45" s="4">
        <v>46154</v>
      </c>
      <c r="G45" s="5">
        <v>10050</v>
      </c>
      <c r="H45" s="5"/>
      <c r="I45" s="2" t="s">
        <v>145</v>
      </c>
      <c r="J45" s="2"/>
      <c r="K45" s="2" t="s">
        <v>33</v>
      </c>
    </row>
    <row r="46" spans="1:11" x14ac:dyDescent="0.25">
      <c r="A46" s="2" t="s">
        <v>146</v>
      </c>
      <c r="B46" s="2" t="s">
        <v>147</v>
      </c>
      <c r="C46" s="2" t="s">
        <v>36</v>
      </c>
      <c r="D46" s="2" t="s">
        <v>148</v>
      </c>
      <c r="E46" s="4">
        <v>46280</v>
      </c>
      <c r="F46" s="4">
        <v>46291</v>
      </c>
      <c r="G46" s="5">
        <v>14950</v>
      </c>
      <c r="H46" s="5"/>
      <c r="I46" s="2" t="s">
        <v>42</v>
      </c>
      <c r="J46" s="2"/>
      <c r="K46" s="2" t="s">
        <v>109</v>
      </c>
    </row>
    <row r="47" spans="1:11" x14ac:dyDescent="0.25">
      <c r="A47" s="2" t="s">
        <v>149</v>
      </c>
      <c r="B47" s="2" t="s">
        <v>150</v>
      </c>
      <c r="C47" s="2" t="s">
        <v>29</v>
      </c>
      <c r="D47" s="2" t="s">
        <v>30</v>
      </c>
      <c r="E47" s="4">
        <v>46213</v>
      </c>
      <c r="F47" s="4">
        <v>46216</v>
      </c>
      <c r="G47" s="5">
        <v>14075</v>
      </c>
      <c r="H47" s="5"/>
      <c r="I47" s="2" t="s">
        <v>42</v>
      </c>
      <c r="J47" s="2"/>
      <c r="K47" s="2" t="s">
        <v>109</v>
      </c>
    </row>
    <row r="48" spans="1:11" x14ac:dyDescent="0.25">
      <c r="A48" s="2" t="s">
        <v>151</v>
      </c>
      <c r="B48" s="2" t="s">
        <v>152</v>
      </c>
      <c r="C48" s="2" t="s">
        <v>29</v>
      </c>
      <c r="D48" s="2" t="s">
        <v>61</v>
      </c>
      <c r="E48" s="4">
        <v>46067</v>
      </c>
      <c r="F48" s="4">
        <v>46085</v>
      </c>
      <c r="G48" s="5">
        <v>2675</v>
      </c>
      <c r="H48" s="5">
        <v>2119.73</v>
      </c>
      <c r="I48" s="2" t="s">
        <v>37</v>
      </c>
      <c r="J48" s="2"/>
      <c r="K48" s="2" t="s">
        <v>65</v>
      </c>
    </row>
    <row r="49" spans="1:11" x14ac:dyDescent="0.25">
      <c r="A49" s="2" t="s">
        <v>153</v>
      </c>
      <c r="B49" s="2" t="s">
        <v>154</v>
      </c>
      <c r="C49" s="2" t="s">
        <v>29</v>
      </c>
      <c r="D49" s="2" t="s">
        <v>30</v>
      </c>
      <c r="E49" s="4">
        <v>46268</v>
      </c>
      <c r="F49" s="4">
        <v>46275</v>
      </c>
      <c r="G49" s="5">
        <v>8975</v>
      </c>
      <c r="H49" s="5"/>
      <c r="I49" s="2" t="s">
        <v>42</v>
      </c>
      <c r="J49" s="2"/>
      <c r="K49" s="2" t="s">
        <v>48</v>
      </c>
    </row>
    <row r="50" spans="1:11" x14ac:dyDescent="0.25">
      <c r="A50" s="2" t="s">
        <v>155</v>
      </c>
      <c r="B50" s="2" t="s">
        <v>156</v>
      </c>
      <c r="C50" s="2" t="s">
        <v>36</v>
      </c>
      <c r="D50" s="2" t="s">
        <v>41</v>
      </c>
      <c r="E50" s="4">
        <v>46105</v>
      </c>
      <c r="F50" s="4">
        <v>46121</v>
      </c>
      <c r="G50" s="5">
        <v>1050</v>
      </c>
      <c r="H50" s="5"/>
      <c r="I50" s="2" t="s">
        <v>42</v>
      </c>
      <c r="J50" s="2"/>
      <c r="K50" s="2" t="s">
        <v>33</v>
      </c>
    </row>
    <row r="51" spans="1:11" x14ac:dyDescent="0.25">
      <c r="A51" s="2" t="s">
        <v>157</v>
      </c>
      <c r="B51" s="2" t="s">
        <v>158</v>
      </c>
      <c r="C51" s="2" t="s">
        <v>29</v>
      </c>
      <c r="D51" s="2" t="s">
        <v>68</v>
      </c>
      <c r="E51" s="4">
        <v>46136</v>
      </c>
      <c r="F51" s="4">
        <v>46139</v>
      </c>
      <c r="G51" s="5">
        <v>7550</v>
      </c>
      <c r="H51" s="5">
        <v>6258.16</v>
      </c>
      <c r="I51" s="2" t="s">
        <v>37</v>
      </c>
      <c r="J51" s="2"/>
      <c r="K51" s="2" t="s">
        <v>48</v>
      </c>
    </row>
    <row r="52" spans="1:11" x14ac:dyDescent="0.25">
      <c r="A52" s="2" t="s">
        <v>157</v>
      </c>
      <c r="B52" s="2" t="s">
        <v>158</v>
      </c>
      <c r="C52" s="2" t="s">
        <v>29</v>
      </c>
      <c r="D52" s="2" t="s">
        <v>68</v>
      </c>
      <c r="E52" s="4">
        <v>46136</v>
      </c>
      <c r="F52" s="4">
        <v>46139</v>
      </c>
      <c r="G52" s="5">
        <v>7550</v>
      </c>
      <c r="H52" s="5">
        <v>6258.16</v>
      </c>
      <c r="I52" s="2" t="s">
        <v>37</v>
      </c>
      <c r="J52" s="2"/>
      <c r="K52" s="2" t="s">
        <v>48</v>
      </c>
    </row>
    <row r="53" spans="1:11" x14ac:dyDescent="0.25">
      <c r="A53" s="2" t="s">
        <v>159</v>
      </c>
      <c r="B53" s="2" t="s">
        <v>160</v>
      </c>
      <c r="C53" s="2" t="s">
        <v>29</v>
      </c>
      <c r="D53" s="2" t="s">
        <v>41</v>
      </c>
      <c r="E53" s="4">
        <v>46273</v>
      </c>
      <c r="F53" s="4">
        <v>46284</v>
      </c>
      <c r="G53" s="5">
        <v>5350</v>
      </c>
      <c r="H53" s="5"/>
      <c r="I53" s="2" t="s">
        <v>42</v>
      </c>
      <c r="J53" s="2"/>
      <c r="K53" s="2" t="s">
        <v>38</v>
      </c>
    </row>
    <row r="54" spans="1:11" x14ac:dyDescent="0.25">
      <c r="A54" s="2" t="s">
        <v>161</v>
      </c>
      <c r="B54" s="2" t="s">
        <v>162</v>
      </c>
      <c r="C54" s="2" t="s">
        <v>79</v>
      </c>
      <c r="D54" s="2" t="s">
        <v>80</v>
      </c>
      <c r="E54" s="4">
        <v>46286</v>
      </c>
      <c r="F54" s="4">
        <v>46294</v>
      </c>
      <c r="G54" s="5">
        <v>14075</v>
      </c>
      <c r="H54" s="5">
        <v>11785.14</v>
      </c>
      <c r="I54" s="2" t="s">
        <v>37</v>
      </c>
      <c r="J54" s="2"/>
      <c r="K54" s="2" t="s">
        <v>109</v>
      </c>
    </row>
    <row r="55" spans="1:11" x14ac:dyDescent="0.25">
      <c r="A55" s="2" t="s">
        <v>163</v>
      </c>
      <c r="B55" s="2" t="s">
        <v>164</v>
      </c>
      <c r="C55" s="2" t="s">
        <v>46</v>
      </c>
      <c r="D55" s="2" t="s">
        <v>94</v>
      </c>
      <c r="E55" s="4">
        <v>46082</v>
      </c>
      <c r="F55" s="4">
        <v>46092</v>
      </c>
      <c r="G55" s="5">
        <v>9175</v>
      </c>
      <c r="H55" s="5"/>
      <c r="I55" s="2" t="s">
        <v>42</v>
      </c>
      <c r="J55" s="2"/>
      <c r="K55" s="2" t="s">
        <v>43</v>
      </c>
    </row>
    <row r="56" spans="1:11" x14ac:dyDescent="0.25">
      <c r="A56" s="2" t="s">
        <v>165</v>
      </c>
      <c r="B56" s="2" t="s">
        <v>166</v>
      </c>
      <c r="C56" s="2" t="s">
        <v>29</v>
      </c>
      <c r="D56" s="2" t="s">
        <v>41</v>
      </c>
      <c r="E56" s="4">
        <v>46125</v>
      </c>
      <c r="F56" s="4">
        <v>46134</v>
      </c>
      <c r="G56" s="5">
        <v>2775</v>
      </c>
      <c r="H56" s="5">
        <v>2433.56</v>
      </c>
      <c r="I56" s="2" t="s">
        <v>37</v>
      </c>
      <c r="J56" s="2"/>
      <c r="K56" s="2" t="s">
        <v>38</v>
      </c>
    </row>
    <row r="57" spans="1:11" x14ac:dyDescent="0.25">
      <c r="A57" s="2" t="s">
        <v>167</v>
      </c>
      <c r="B57" s="2" t="s">
        <v>168</v>
      </c>
      <c r="C57" s="2" t="s">
        <v>46</v>
      </c>
      <c r="D57" s="2" t="s">
        <v>94</v>
      </c>
      <c r="E57" s="4">
        <v>46078</v>
      </c>
      <c r="F57" s="4">
        <v>46087</v>
      </c>
      <c r="G57" s="5">
        <v>10600</v>
      </c>
      <c r="H57" s="5">
        <v>6288.19</v>
      </c>
      <c r="I57" s="2" t="s">
        <v>37</v>
      </c>
      <c r="J57" s="2"/>
      <c r="K57" s="2" t="s">
        <v>52</v>
      </c>
    </row>
    <row r="58" spans="1:11" x14ac:dyDescent="0.25">
      <c r="A58" s="2" t="s">
        <v>169</v>
      </c>
      <c r="B58" s="2" t="s">
        <v>170</v>
      </c>
      <c r="C58" s="2" t="s">
        <v>29</v>
      </c>
      <c r="D58" s="2" t="s">
        <v>41</v>
      </c>
      <c r="E58" s="4">
        <v>46063</v>
      </c>
      <c r="F58" s="4">
        <v>46082</v>
      </c>
      <c r="G58" s="5">
        <v>9075</v>
      </c>
      <c r="H58" s="5">
        <v>5763.11</v>
      </c>
      <c r="I58" s="2" t="s">
        <v>37</v>
      </c>
      <c r="J58" s="2"/>
      <c r="K58" s="2" t="s">
        <v>56</v>
      </c>
    </row>
    <row r="59" spans="1:11" x14ac:dyDescent="0.25">
      <c r="A59" s="2" t="s">
        <v>171</v>
      </c>
      <c r="B59" s="2" t="s">
        <v>172</v>
      </c>
      <c r="C59" s="2" t="s">
        <v>46</v>
      </c>
      <c r="D59" s="2" t="s">
        <v>94</v>
      </c>
      <c r="E59" s="4">
        <v>46268</v>
      </c>
      <c r="F59" s="4">
        <v>46286</v>
      </c>
      <c r="G59" s="5">
        <v>4050</v>
      </c>
      <c r="H59" s="5">
        <v>2541.87</v>
      </c>
      <c r="I59" s="2" t="s">
        <v>37</v>
      </c>
      <c r="J59" s="2"/>
      <c r="K59" s="2" t="s">
        <v>48</v>
      </c>
    </row>
    <row r="60" spans="1:11" x14ac:dyDescent="0.25">
      <c r="A60" s="2" t="s">
        <v>173</v>
      </c>
      <c r="B60" s="2" t="s">
        <v>174</v>
      </c>
      <c r="C60" s="2" t="s">
        <v>46</v>
      </c>
      <c r="D60" s="2" t="s">
        <v>55</v>
      </c>
      <c r="E60" s="4">
        <v>46047</v>
      </c>
      <c r="F60" s="4">
        <v>46054</v>
      </c>
      <c r="G60" s="5">
        <v>12125</v>
      </c>
      <c r="H60" s="5">
        <v>8801.51</v>
      </c>
      <c r="I60" s="2" t="s">
        <v>37</v>
      </c>
      <c r="J60" s="2"/>
      <c r="K60" s="2" t="s">
        <v>109</v>
      </c>
    </row>
    <row r="61" spans="1:11" x14ac:dyDescent="0.25">
      <c r="A61" s="2" t="s">
        <v>175</v>
      </c>
      <c r="B61" s="2" t="s">
        <v>176</v>
      </c>
      <c r="C61" s="2" t="s">
        <v>29</v>
      </c>
      <c r="D61" s="2" t="s">
        <v>55</v>
      </c>
      <c r="E61" s="4">
        <v>46211</v>
      </c>
      <c r="F61" s="4">
        <v>46214</v>
      </c>
      <c r="G61" s="5">
        <v>1325</v>
      </c>
      <c r="H61" s="5"/>
      <c r="I61" s="2" t="s">
        <v>42</v>
      </c>
      <c r="J61" s="2"/>
      <c r="K61" s="2" t="s">
        <v>52</v>
      </c>
    </row>
    <row r="62" spans="1:11" x14ac:dyDescent="0.25">
      <c r="A62" s="2" t="s">
        <v>177</v>
      </c>
      <c r="B62" s="2" t="s">
        <v>178</v>
      </c>
      <c r="C62" s="2" t="s">
        <v>29</v>
      </c>
      <c r="D62" s="2" t="s">
        <v>30</v>
      </c>
      <c r="E62" s="4">
        <v>46221</v>
      </c>
      <c r="F62" s="4">
        <v>46230</v>
      </c>
      <c r="G62" s="5">
        <v>4525</v>
      </c>
      <c r="H62" s="5">
        <v>3147.88</v>
      </c>
      <c r="I62" s="2" t="s">
        <v>37</v>
      </c>
      <c r="J62" s="2"/>
      <c r="K62" s="2" t="s">
        <v>43</v>
      </c>
    </row>
    <row r="63" spans="1:11" x14ac:dyDescent="0.25">
      <c r="A63" s="2" t="s">
        <v>179</v>
      </c>
      <c r="B63" s="2" t="s">
        <v>180</v>
      </c>
      <c r="C63" s="2" t="s">
        <v>79</v>
      </c>
      <c r="D63" s="2" t="s">
        <v>181</v>
      </c>
      <c r="E63" s="4">
        <v>46268</v>
      </c>
      <c r="F63" s="4">
        <v>46281</v>
      </c>
      <c r="G63" s="5">
        <v>6900</v>
      </c>
      <c r="H63" s="5"/>
      <c r="I63" s="2" t="s">
        <v>42</v>
      </c>
      <c r="J63" s="2"/>
      <c r="K63" s="2" t="s">
        <v>38</v>
      </c>
    </row>
    <row r="64" spans="1:11" x14ac:dyDescent="0.25">
      <c r="A64" s="2" t="s">
        <v>182</v>
      </c>
      <c r="B64" s="2" t="s">
        <v>183</v>
      </c>
      <c r="C64" s="2" t="s">
        <v>79</v>
      </c>
      <c r="D64" s="2" t="s">
        <v>68</v>
      </c>
      <c r="E64" s="4">
        <v>46078</v>
      </c>
      <c r="F64" s="4">
        <v>46091</v>
      </c>
      <c r="G64" s="5">
        <v>14075</v>
      </c>
      <c r="H64" s="5">
        <v>12588.02</v>
      </c>
      <c r="I64" s="2" t="s">
        <v>37</v>
      </c>
      <c r="J64" s="2"/>
      <c r="K64" s="2" t="s">
        <v>48</v>
      </c>
    </row>
    <row r="65" spans="1:11" x14ac:dyDescent="0.25">
      <c r="A65" s="2" t="s">
        <v>184</v>
      </c>
      <c r="B65" s="2" t="s">
        <v>185</v>
      </c>
      <c r="C65" s="2" t="s">
        <v>36</v>
      </c>
      <c r="D65" s="2" t="s">
        <v>61</v>
      </c>
      <c r="E65" s="4">
        <v>46185</v>
      </c>
      <c r="F65" s="4">
        <v>46197</v>
      </c>
      <c r="G65" s="5">
        <v>12300</v>
      </c>
      <c r="H65" s="5">
        <v>0</v>
      </c>
      <c r="I65" s="2" t="s">
        <v>31</v>
      </c>
      <c r="J65" s="2" t="s">
        <v>72</v>
      </c>
      <c r="K65" s="2" t="s">
        <v>62</v>
      </c>
    </row>
    <row r="66" spans="1:11" x14ac:dyDescent="0.25">
      <c r="A66" s="2" t="s">
        <v>186</v>
      </c>
      <c r="B66" s="2" t="s">
        <v>187</v>
      </c>
      <c r="C66" s="2" t="s">
        <v>79</v>
      </c>
      <c r="D66" s="2" t="s">
        <v>68</v>
      </c>
      <c r="E66" s="4">
        <v>46186</v>
      </c>
      <c r="F66" s="4">
        <v>46195</v>
      </c>
      <c r="G66" s="5">
        <v>10675</v>
      </c>
      <c r="H66" s="5">
        <v>7742.76</v>
      </c>
      <c r="I66" s="2" t="s">
        <v>37</v>
      </c>
      <c r="J66" s="2"/>
      <c r="K66" s="2" t="s">
        <v>38</v>
      </c>
    </row>
    <row r="67" spans="1:11" x14ac:dyDescent="0.25">
      <c r="A67" s="2" t="s">
        <v>188</v>
      </c>
      <c r="B67" s="2" t="s">
        <v>189</v>
      </c>
      <c r="C67" s="2" t="s">
        <v>79</v>
      </c>
      <c r="D67" s="2" t="s">
        <v>68</v>
      </c>
      <c r="E67" s="4">
        <v>46028</v>
      </c>
      <c r="F67" s="4">
        <v>46034</v>
      </c>
      <c r="G67" s="5">
        <v>3050</v>
      </c>
      <c r="H67" s="5">
        <v>2228.64</v>
      </c>
      <c r="I67" s="2" t="s">
        <v>37</v>
      </c>
      <c r="J67" s="2"/>
      <c r="K67" s="2" t="s">
        <v>56</v>
      </c>
    </row>
    <row r="68" spans="1:11" x14ac:dyDescent="0.25">
      <c r="A68" s="2" t="s">
        <v>190</v>
      </c>
      <c r="B68" s="2" t="s">
        <v>191</v>
      </c>
      <c r="C68" s="2" t="s">
        <v>36</v>
      </c>
      <c r="D68" s="2" t="s">
        <v>30</v>
      </c>
      <c r="E68" s="4">
        <v>46062</v>
      </c>
      <c r="F68" s="4">
        <v>46073</v>
      </c>
      <c r="G68" s="5">
        <v>6700</v>
      </c>
      <c r="H68" s="5">
        <v>5314.57</v>
      </c>
      <c r="I68" s="2" t="s">
        <v>37</v>
      </c>
      <c r="J68" s="2"/>
      <c r="K68" s="2" t="s">
        <v>48</v>
      </c>
    </row>
    <row r="69" spans="1:11" x14ac:dyDescent="0.25">
      <c r="A69" s="2" t="s">
        <v>192</v>
      </c>
      <c r="B69" s="2" t="s">
        <v>193</v>
      </c>
      <c r="C69" s="2" t="s">
        <v>36</v>
      </c>
      <c r="D69" s="2" t="s">
        <v>55</v>
      </c>
      <c r="E69" s="4">
        <v>46031</v>
      </c>
      <c r="F69" s="4">
        <v>46046</v>
      </c>
      <c r="G69" s="5">
        <v>4375</v>
      </c>
      <c r="H69" s="5">
        <v>0</v>
      </c>
      <c r="I69" s="2" t="s">
        <v>31</v>
      </c>
      <c r="J69" s="2" t="s">
        <v>116</v>
      </c>
      <c r="K69" s="2" t="s">
        <v>65</v>
      </c>
    </row>
    <row r="70" spans="1:11" x14ac:dyDescent="0.25">
      <c r="A70" s="2" t="s">
        <v>194</v>
      </c>
      <c r="B70" s="2" t="s">
        <v>78</v>
      </c>
      <c r="C70" s="2" t="s">
        <v>46</v>
      </c>
      <c r="D70" s="2" t="s">
        <v>30</v>
      </c>
      <c r="E70" s="4">
        <v>46226</v>
      </c>
      <c r="F70" s="4">
        <v>46238</v>
      </c>
      <c r="G70" s="5">
        <v>13775</v>
      </c>
      <c r="H70" s="5">
        <v>10864.12</v>
      </c>
      <c r="I70" s="2" t="s">
        <v>37</v>
      </c>
      <c r="J70" s="2"/>
      <c r="K70" s="2" t="s">
        <v>195</v>
      </c>
    </row>
    <row r="71" spans="1:11" x14ac:dyDescent="0.25">
      <c r="A71" s="2" t="s">
        <v>196</v>
      </c>
      <c r="B71" s="2" t="s">
        <v>197</v>
      </c>
      <c r="C71" s="2" t="s">
        <v>29</v>
      </c>
      <c r="D71" s="2" t="s">
        <v>41</v>
      </c>
      <c r="E71" s="4">
        <v>46171</v>
      </c>
      <c r="F71" s="4">
        <v>46174</v>
      </c>
      <c r="G71" s="5">
        <v>650</v>
      </c>
      <c r="H71" s="5">
        <v>542.65</v>
      </c>
      <c r="I71" s="2" t="s">
        <v>37</v>
      </c>
      <c r="J71" s="2"/>
      <c r="K71" s="2" t="s">
        <v>52</v>
      </c>
    </row>
    <row r="72" spans="1:11" x14ac:dyDescent="0.25">
      <c r="A72" s="2" t="s">
        <v>198</v>
      </c>
      <c r="B72" s="2" t="s">
        <v>199</v>
      </c>
      <c r="C72" s="2" t="s">
        <v>46</v>
      </c>
      <c r="D72" s="2" t="s">
        <v>71</v>
      </c>
      <c r="E72" s="4">
        <v>46222</v>
      </c>
      <c r="F72" s="4">
        <v>46226</v>
      </c>
      <c r="G72" s="5">
        <v>8450</v>
      </c>
      <c r="H72" s="5">
        <v>0</v>
      </c>
      <c r="I72" s="2" t="s">
        <v>31</v>
      </c>
      <c r="J72" s="2" t="s">
        <v>47</v>
      </c>
      <c r="K72" s="2" t="s">
        <v>43</v>
      </c>
    </row>
    <row r="73" spans="1:11" x14ac:dyDescent="0.25">
      <c r="A73" s="2" t="s">
        <v>200</v>
      </c>
      <c r="B73" s="2" t="s">
        <v>201</v>
      </c>
      <c r="C73" s="2" t="s">
        <v>29</v>
      </c>
      <c r="D73" s="2" t="s">
        <v>202</v>
      </c>
      <c r="E73" s="4">
        <v>46027</v>
      </c>
      <c r="F73" s="4">
        <v>46046</v>
      </c>
      <c r="G73" s="5">
        <v>2800</v>
      </c>
      <c r="H73" s="5"/>
      <c r="I73" s="2" t="s">
        <v>42</v>
      </c>
      <c r="J73" s="2"/>
      <c r="K73" s="2" t="s">
        <v>43</v>
      </c>
    </row>
    <row r="74" spans="1:11" x14ac:dyDescent="0.25">
      <c r="A74" s="2" t="s">
        <v>203</v>
      </c>
      <c r="B74" s="2" t="s">
        <v>204</v>
      </c>
      <c r="C74" s="2" t="s">
        <v>79</v>
      </c>
      <c r="D74" s="2" t="s">
        <v>41</v>
      </c>
      <c r="E74" s="4">
        <v>46077</v>
      </c>
      <c r="F74" s="4">
        <v>46081</v>
      </c>
      <c r="G74" s="5">
        <v>10975</v>
      </c>
      <c r="H74" s="5">
        <v>6293.34</v>
      </c>
      <c r="I74" s="2" t="s">
        <v>37</v>
      </c>
      <c r="J74" s="2"/>
      <c r="K74" s="2" t="s">
        <v>65</v>
      </c>
    </row>
    <row r="75" spans="1:11" x14ac:dyDescent="0.25">
      <c r="A75" s="2" t="s">
        <v>205</v>
      </c>
      <c r="B75" s="2" t="s">
        <v>206</v>
      </c>
      <c r="C75" s="2" t="s">
        <v>79</v>
      </c>
      <c r="D75" s="2" t="s">
        <v>94</v>
      </c>
      <c r="E75" s="4">
        <v>46078</v>
      </c>
      <c r="F75" s="4">
        <v>46094</v>
      </c>
      <c r="G75" s="5">
        <v>11950</v>
      </c>
      <c r="H75" s="5">
        <v>10239.99</v>
      </c>
      <c r="I75" s="2" t="s">
        <v>37</v>
      </c>
      <c r="J75" s="2"/>
      <c r="K75" s="2" t="s">
        <v>33</v>
      </c>
    </row>
    <row r="76" spans="1:11" x14ac:dyDescent="0.25">
      <c r="A76" s="2" t="s">
        <v>207</v>
      </c>
      <c r="B76" s="2" t="s">
        <v>208</v>
      </c>
      <c r="C76" s="2" t="s">
        <v>46</v>
      </c>
      <c r="D76" s="2" t="s">
        <v>61</v>
      </c>
      <c r="E76" s="4">
        <v>46127</v>
      </c>
      <c r="F76" s="4">
        <v>46145</v>
      </c>
      <c r="G76" s="5">
        <v>3200</v>
      </c>
      <c r="H76" s="5">
        <v>2490.59</v>
      </c>
      <c r="I76" s="2" t="s">
        <v>37</v>
      </c>
      <c r="J76" s="2"/>
      <c r="K76" s="2" t="s">
        <v>109</v>
      </c>
    </row>
    <row r="77" spans="1:11" x14ac:dyDescent="0.25">
      <c r="A77" s="2" t="s">
        <v>209</v>
      </c>
      <c r="B77" s="2" t="s">
        <v>210</v>
      </c>
      <c r="C77" s="2" t="s">
        <v>79</v>
      </c>
      <c r="D77" s="2" t="s">
        <v>80</v>
      </c>
      <c r="E77" s="4">
        <v>46109</v>
      </c>
      <c r="F77" s="4">
        <v>46120</v>
      </c>
      <c r="G77" s="5">
        <v>6425</v>
      </c>
      <c r="H77" s="5">
        <v>6366.37</v>
      </c>
      <c r="I77" s="2" t="s">
        <v>37</v>
      </c>
      <c r="J77" s="2"/>
      <c r="K77" s="2" t="s">
        <v>56</v>
      </c>
    </row>
    <row r="78" spans="1:11" x14ac:dyDescent="0.25">
      <c r="A78" s="2" t="s">
        <v>211</v>
      </c>
      <c r="B78" s="2" t="s">
        <v>212</v>
      </c>
      <c r="C78" s="2" t="s">
        <v>46</v>
      </c>
      <c r="D78" s="2" t="s">
        <v>41</v>
      </c>
      <c r="E78" s="4">
        <v>46051</v>
      </c>
      <c r="F78" s="4">
        <v>46054</v>
      </c>
      <c r="G78" s="5">
        <v>7225</v>
      </c>
      <c r="H78" s="5">
        <v>4097.4399999999996</v>
      </c>
      <c r="I78" s="2" t="s">
        <v>37</v>
      </c>
      <c r="J78" s="2"/>
      <c r="K78" s="2" t="s">
        <v>48</v>
      </c>
    </row>
    <row r="79" spans="1:11" x14ac:dyDescent="0.25">
      <c r="A79" s="2" t="s">
        <v>213</v>
      </c>
      <c r="B79" s="2" t="s">
        <v>214</v>
      </c>
      <c r="C79" s="2" t="s">
        <v>46</v>
      </c>
      <c r="D79" s="2" t="s">
        <v>61</v>
      </c>
      <c r="E79" s="4">
        <v>46085</v>
      </c>
      <c r="F79" s="4">
        <v>46105</v>
      </c>
      <c r="G79" s="5">
        <v>6300</v>
      </c>
      <c r="H79" s="5">
        <v>4821.7</v>
      </c>
      <c r="I79" s="2" t="s">
        <v>37</v>
      </c>
      <c r="J79" s="2"/>
      <c r="K79" s="2" t="s">
        <v>33</v>
      </c>
    </row>
    <row r="80" spans="1:11" x14ac:dyDescent="0.25">
      <c r="A80" s="2" t="s">
        <v>215</v>
      </c>
      <c r="B80" s="2" t="s">
        <v>216</v>
      </c>
      <c r="C80" s="2" t="s">
        <v>79</v>
      </c>
      <c r="D80" s="2" t="s">
        <v>55</v>
      </c>
      <c r="E80" s="4">
        <v>46055</v>
      </c>
      <c r="F80" s="4">
        <v>46061</v>
      </c>
      <c r="G80" s="5">
        <v>11750</v>
      </c>
      <c r="H80" s="5"/>
      <c r="I80" s="2" t="s">
        <v>42</v>
      </c>
      <c r="J80" s="2"/>
      <c r="K80" s="2" t="s">
        <v>62</v>
      </c>
    </row>
    <row r="81" spans="1:11" x14ac:dyDescent="0.25">
      <c r="A81" s="2" t="s">
        <v>217</v>
      </c>
      <c r="B81" s="2" t="s">
        <v>218</v>
      </c>
      <c r="C81" s="2" t="s">
        <v>79</v>
      </c>
      <c r="D81" s="2" t="s">
        <v>55</v>
      </c>
      <c r="E81" s="4">
        <v>46215</v>
      </c>
      <c r="F81" s="4">
        <v>46222</v>
      </c>
      <c r="G81" s="5">
        <v>9725</v>
      </c>
      <c r="H81" s="5">
        <v>0</v>
      </c>
      <c r="I81" s="2" t="s">
        <v>31</v>
      </c>
      <c r="J81" s="2" t="s">
        <v>47</v>
      </c>
      <c r="K81" s="2" t="s">
        <v>52</v>
      </c>
    </row>
    <row r="82" spans="1:11" x14ac:dyDescent="0.25">
      <c r="A82" s="2" t="s">
        <v>219</v>
      </c>
      <c r="B82" s="2" t="s">
        <v>220</v>
      </c>
      <c r="C82" s="2" t="s">
        <v>29</v>
      </c>
      <c r="D82" s="2" t="s">
        <v>61</v>
      </c>
      <c r="E82" s="4">
        <v>46055</v>
      </c>
      <c r="F82" s="4">
        <v>46072</v>
      </c>
      <c r="G82" s="5">
        <v>8575</v>
      </c>
      <c r="H82" s="5">
        <v>6893.42</v>
      </c>
      <c r="I82" s="2" t="s">
        <v>130</v>
      </c>
      <c r="J82" s="2"/>
      <c r="K82" s="2" t="s">
        <v>56</v>
      </c>
    </row>
    <row r="83" spans="1:11" x14ac:dyDescent="0.25">
      <c r="A83" s="2" t="s">
        <v>221</v>
      </c>
      <c r="B83" s="2" t="s">
        <v>222</v>
      </c>
      <c r="C83" s="2" t="s">
        <v>36</v>
      </c>
      <c r="D83" s="2" t="s">
        <v>68</v>
      </c>
      <c r="E83" s="4">
        <v>46049</v>
      </c>
      <c r="F83" s="4">
        <v>46061</v>
      </c>
      <c r="G83" s="5">
        <v>5750</v>
      </c>
      <c r="H83" s="5"/>
      <c r="I83" s="2" t="s">
        <v>42</v>
      </c>
      <c r="J83" s="2"/>
      <c r="K83" s="2" t="s">
        <v>65</v>
      </c>
    </row>
    <row r="84" spans="1:11" x14ac:dyDescent="0.25">
      <c r="A84" s="2" t="s">
        <v>223</v>
      </c>
      <c r="B84" s="2" t="s">
        <v>224</v>
      </c>
      <c r="C84" s="2" t="s">
        <v>36</v>
      </c>
      <c r="D84" s="2" t="s">
        <v>61</v>
      </c>
      <c r="E84" s="4">
        <v>46178</v>
      </c>
      <c r="F84" s="4">
        <v>46190</v>
      </c>
      <c r="G84" s="5">
        <v>3950</v>
      </c>
      <c r="H84" s="5">
        <v>2753.86</v>
      </c>
      <c r="I84" s="2" t="s">
        <v>37</v>
      </c>
      <c r="J84" s="2"/>
      <c r="K84" s="2" t="s">
        <v>65</v>
      </c>
    </row>
    <row r="85" spans="1:11" x14ac:dyDescent="0.25">
      <c r="A85" s="2" t="s">
        <v>225</v>
      </c>
      <c r="B85" s="2" t="s">
        <v>226</v>
      </c>
      <c r="C85" s="2" t="s">
        <v>29</v>
      </c>
      <c r="D85" s="2" t="s">
        <v>61</v>
      </c>
      <c r="E85" s="4">
        <v>46148</v>
      </c>
      <c r="F85" s="4">
        <v>46165</v>
      </c>
      <c r="G85" s="5">
        <v>13850</v>
      </c>
      <c r="H85" s="5"/>
      <c r="I85" s="2" t="s">
        <v>42</v>
      </c>
      <c r="J85" s="2"/>
      <c r="K85" s="2" t="s">
        <v>38</v>
      </c>
    </row>
    <row r="86" spans="1:11" x14ac:dyDescent="0.25">
      <c r="A86" s="2" t="s">
        <v>227</v>
      </c>
      <c r="B86" s="2" t="s">
        <v>228</v>
      </c>
      <c r="C86" s="2" t="s">
        <v>36</v>
      </c>
      <c r="D86" s="2" t="s">
        <v>55</v>
      </c>
      <c r="E86" s="4">
        <v>46277</v>
      </c>
      <c r="F86" s="4">
        <v>46287</v>
      </c>
      <c r="G86" s="5">
        <v>2450</v>
      </c>
      <c r="H86" s="5"/>
      <c r="I86" s="2" t="s">
        <v>42</v>
      </c>
      <c r="J86" s="2"/>
      <c r="K86" s="2" t="s">
        <v>38</v>
      </c>
    </row>
    <row r="87" spans="1:11" x14ac:dyDescent="0.25">
      <c r="A87" s="2" t="s">
        <v>229</v>
      </c>
      <c r="B87" s="2" t="s">
        <v>230</v>
      </c>
      <c r="C87" s="2" t="s">
        <v>79</v>
      </c>
      <c r="D87" s="2" t="s">
        <v>41</v>
      </c>
      <c r="E87" s="4">
        <v>46212</v>
      </c>
      <c r="F87" s="4">
        <v>46221</v>
      </c>
      <c r="G87" s="5">
        <v>14725</v>
      </c>
      <c r="H87" s="5">
        <v>9124.4</v>
      </c>
      <c r="I87" s="2" t="s">
        <v>37</v>
      </c>
      <c r="J87" s="2"/>
      <c r="K87" s="2" t="s">
        <v>65</v>
      </c>
    </row>
    <row r="88" spans="1:11" x14ac:dyDescent="0.25">
      <c r="A88" s="2" t="s">
        <v>231</v>
      </c>
      <c r="B88" s="2" t="s">
        <v>232</v>
      </c>
      <c r="C88" s="2" t="s">
        <v>36</v>
      </c>
      <c r="D88" s="2" t="s">
        <v>68</v>
      </c>
      <c r="E88" s="4">
        <v>46164</v>
      </c>
      <c r="F88" s="4">
        <v>46167</v>
      </c>
      <c r="G88" s="5">
        <v>5950</v>
      </c>
      <c r="H88" s="5">
        <v>4791.88</v>
      </c>
      <c r="I88" s="2" t="s">
        <v>37</v>
      </c>
      <c r="J88" s="2"/>
      <c r="K88" s="2" t="s">
        <v>38</v>
      </c>
    </row>
    <row r="89" spans="1:11" x14ac:dyDescent="0.25">
      <c r="A89" s="2" t="s">
        <v>233</v>
      </c>
      <c r="B89" s="2" t="s">
        <v>98</v>
      </c>
      <c r="C89" s="2" t="s">
        <v>36</v>
      </c>
      <c r="D89" s="2" t="s">
        <v>94</v>
      </c>
      <c r="E89" s="4">
        <v>46035</v>
      </c>
      <c r="F89" s="4">
        <v>46055</v>
      </c>
      <c r="G89" s="5">
        <v>8100</v>
      </c>
      <c r="H89" s="5">
        <v>4752.7</v>
      </c>
      <c r="I89" s="2" t="s">
        <v>37</v>
      </c>
      <c r="J89" s="2"/>
      <c r="K89" s="2" t="s">
        <v>48</v>
      </c>
    </row>
    <row r="90" spans="1:11" x14ac:dyDescent="0.25">
      <c r="A90" s="2" t="s">
        <v>234</v>
      </c>
      <c r="B90" s="2" t="s">
        <v>235</v>
      </c>
      <c r="C90" s="2" t="s">
        <v>29</v>
      </c>
      <c r="D90" s="2" t="s">
        <v>80</v>
      </c>
      <c r="E90" s="4">
        <v>46029</v>
      </c>
      <c r="F90" s="4">
        <v>46036</v>
      </c>
      <c r="G90" s="5">
        <v>2775</v>
      </c>
      <c r="H90" s="5">
        <v>1832.76</v>
      </c>
      <c r="I90" s="2" t="s">
        <v>37</v>
      </c>
      <c r="J90" s="2"/>
      <c r="K90" s="2" t="s">
        <v>83</v>
      </c>
    </row>
    <row r="91" spans="1:11" x14ac:dyDescent="0.25">
      <c r="A91" s="2" t="s">
        <v>236</v>
      </c>
      <c r="B91" s="2" t="s">
        <v>237</v>
      </c>
      <c r="C91" s="2" t="s">
        <v>29</v>
      </c>
      <c r="D91" s="2" t="s">
        <v>30</v>
      </c>
      <c r="E91" s="4">
        <v>46179</v>
      </c>
      <c r="F91" s="4">
        <v>46196</v>
      </c>
      <c r="G91" s="5">
        <v>10375</v>
      </c>
      <c r="H91" s="5">
        <v>7260.79</v>
      </c>
      <c r="I91" s="2" t="s">
        <v>37</v>
      </c>
      <c r="J91" s="2"/>
      <c r="K91" s="2" t="s">
        <v>48</v>
      </c>
    </row>
    <row r="92" spans="1:11" x14ac:dyDescent="0.25">
      <c r="A92" s="2" t="s">
        <v>238</v>
      </c>
      <c r="B92" s="2" t="s">
        <v>239</v>
      </c>
      <c r="C92" s="2" t="s">
        <v>29</v>
      </c>
      <c r="D92" s="2" t="s">
        <v>80</v>
      </c>
      <c r="E92" s="4">
        <v>46030</v>
      </c>
      <c r="F92" s="4">
        <v>46046</v>
      </c>
      <c r="G92" s="5">
        <v>9225</v>
      </c>
      <c r="H92" s="5"/>
      <c r="I92" s="2" t="s">
        <v>145</v>
      </c>
      <c r="J92" s="2"/>
      <c r="K92" s="2" t="s">
        <v>65</v>
      </c>
    </row>
    <row r="93" spans="1:11" x14ac:dyDescent="0.25">
      <c r="A93" s="2" t="s">
        <v>240</v>
      </c>
      <c r="B93" s="2" t="s">
        <v>241</v>
      </c>
      <c r="C93" s="2" t="s">
        <v>36</v>
      </c>
      <c r="D93" s="2" t="s">
        <v>55</v>
      </c>
      <c r="E93" s="4">
        <v>46297</v>
      </c>
      <c r="F93" s="4">
        <v>46300</v>
      </c>
      <c r="G93" s="5">
        <v>13700</v>
      </c>
      <c r="H93" s="5"/>
      <c r="I93" s="2" t="s">
        <v>42</v>
      </c>
      <c r="J93" s="2"/>
      <c r="K93" s="2" t="s">
        <v>38</v>
      </c>
    </row>
    <row r="94" spans="1:11" x14ac:dyDescent="0.25">
      <c r="A94" s="2" t="s">
        <v>242</v>
      </c>
      <c r="B94" s="2" t="s">
        <v>243</v>
      </c>
      <c r="C94" s="2" t="s">
        <v>79</v>
      </c>
      <c r="D94" s="2" t="s">
        <v>61</v>
      </c>
      <c r="E94" s="4">
        <v>46087</v>
      </c>
      <c r="F94" s="4">
        <v>46097</v>
      </c>
      <c r="G94" s="5">
        <v>4450</v>
      </c>
      <c r="H94" s="5"/>
      <c r="I94" s="2" t="s">
        <v>42</v>
      </c>
      <c r="J94" s="2"/>
      <c r="K94" s="2" t="s">
        <v>38</v>
      </c>
    </row>
    <row r="95" spans="1:11" x14ac:dyDescent="0.25">
      <c r="A95" s="2" t="s">
        <v>244</v>
      </c>
      <c r="B95" s="2" t="s">
        <v>96</v>
      </c>
      <c r="C95" s="2" t="s">
        <v>36</v>
      </c>
      <c r="D95" s="2" t="s">
        <v>61</v>
      </c>
      <c r="E95" s="4">
        <v>46221</v>
      </c>
      <c r="F95" s="4">
        <v>46240</v>
      </c>
      <c r="G95" s="5">
        <v>7775</v>
      </c>
      <c r="H95" s="5">
        <v>0</v>
      </c>
      <c r="I95" s="2" t="s">
        <v>245</v>
      </c>
      <c r="J95" s="2" t="s">
        <v>47</v>
      </c>
      <c r="K95" s="2" t="s">
        <v>33</v>
      </c>
    </row>
    <row r="96" spans="1:11" x14ac:dyDescent="0.25">
      <c r="A96" s="2" t="s">
        <v>246</v>
      </c>
      <c r="B96" s="2" t="s">
        <v>247</v>
      </c>
      <c r="C96" s="2" t="s">
        <v>36</v>
      </c>
      <c r="D96" s="2" t="s">
        <v>41</v>
      </c>
      <c r="E96" s="4">
        <v>46110</v>
      </c>
      <c r="F96" s="4">
        <v>46114</v>
      </c>
      <c r="G96" s="5">
        <v>12025</v>
      </c>
      <c r="H96" s="5">
        <v>10944.93</v>
      </c>
      <c r="I96" s="2" t="s">
        <v>37</v>
      </c>
      <c r="J96" s="2"/>
      <c r="K96" s="2" t="s">
        <v>248</v>
      </c>
    </row>
    <row r="97" spans="1:11" x14ac:dyDescent="0.25">
      <c r="A97" s="2" t="s">
        <v>249</v>
      </c>
      <c r="B97" s="2" t="s">
        <v>250</v>
      </c>
      <c r="C97" s="2" t="s">
        <v>29</v>
      </c>
      <c r="D97" s="2" t="s">
        <v>41</v>
      </c>
      <c r="E97" s="4">
        <v>46124</v>
      </c>
      <c r="F97" s="4">
        <v>46134</v>
      </c>
      <c r="G97" s="5">
        <v>12375</v>
      </c>
      <c r="H97" s="5">
        <v>7836.4</v>
      </c>
      <c r="I97" s="2" t="s">
        <v>37</v>
      </c>
      <c r="J97" s="2"/>
      <c r="K97" s="2" t="s">
        <v>62</v>
      </c>
    </row>
    <row r="98" spans="1:11" x14ac:dyDescent="0.25">
      <c r="A98" s="2" t="s">
        <v>251</v>
      </c>
      <c r="B98" s="2" t="s">
        <v>210</v>
      </c>
      <c r="C98" s="2" t="s">
        <v>46</v>
      </c>
      <c r="D98" s="2" t="s">
        <v>68</v>
      </c>
      <c r="E98" s="4">
        <v>46257</v>
      </c>
      <c r="F98" s="4">
        <v>46268</v>
      </c>
      <c r="G98" s="5">
        <v>12700</v>
      </c>
      <c r="H98" s="5"/>
      <c r="I98" s="2" t="s">
        <v>42</v>
      </c>
      <c r="J98" s="2"/>
      <c r="K98" s="2" t="s">
        <v>48</v>
      </c>
    </row>
    <row r="99" spans="1:11" x14ac:dyDescent="0.25">
      <c r="A99" s="2" t="s">
        <v>252</v>
      </c>
      <c r="B99" s="2" t="s">
        <v>76</v>
      </c>
      <c r="C99" s="2" t="s">
        <v>46</v>
      </c>
      <c r="D99" s="2" t="s">
        <v>80</v>
      </c>
      <c r="E99" s="4">
        <v>46260</v>
      </c>
      <c r="F99" s="4">
        <v>46270</v>
      </c>
      <c r="G99" s="5">
        <v>10525</v>
      </c>
      <c r="H99" s="5">
        <v>0</v>
      </c>
      <c r="I99" s="2" t="s">
        <v>31</v>
      </c>
      <c r="J99" s="2" t="s">
        <v>116</v>
      </c>
      <c r="K99" s="2" t="s">
        <v>56</v>
      </c>
    </row>
    <row r="100" spans="1:11" x14ac:dyDescent="0.25">
      <c r="A100" s="2" t="s">
        <v>253</v>
      </c>
      <c r="B100" s="2" t="s">
        <v>254</v>
      </c>
      <c r="C100" s="2" t="s">
        <v>79</v>
      </c>
      <c r="D100" s="2" t="s">
        <v>68</v>
      </c>
      <c r="E100" s="4">
        <v>46141</v>
      </c>
      <c r="F100" s="4">
        <v>46144</v>
      </c>
      <c r="G100" s="5">
        <v>12375</v>
      </c>
      <c r="H100" s="5"/>
      <c r="I100" s="2" t="s">
        <v>42</v>
      </c>
      <c r="J100" s="2"/>
      <c r="K100" s="2" t="s">
        <v>109</v>
      </c>
    </row>
    <row r="101" spans="1:11" x14ac:dyDescent="0.25">
      <c r="A101" s="2" t="s">
        <v>255</v>
      </c>
      <c r="B101" s="2" t="s">
        <v>256</v>
      </c>
      <c r="C101" s="2" t="s">
        <v>79</v>
      </c>
      <c r="D101" s="2" t="s">
        <v>30</v>
      </c>
      <c r="E101" s="4">
        <v>46087</v>
      </c>
      <c r="F101" s="4">
        <v>46103</v>
      </c>
      <c r="G101" s="5">
        <v>4300</v>
      </c>
      <c r="H101" s="5">
        <v>4122.18</v>
      </c>
      <c r="I101" s="2" t="s">
        <v>37</v>
      </c>
      <c r="J101" s="2"/>
      <c r="K101" s="2" t="s">
        <v>109</v>
      </c>
    </row>
    <row r="102" spans="1:11" x14ac:dyDescent="0.25">
      <c r="A102" s="2" t="s">
        <v>257</v>
      </c>
      <c r="B102" s="2" t="s">
        <v>89</v>
      </c>
      <c r="C102" s="2" t="s">
        <v>79</v>
      </c>
      <c r="D102" s="2" t="s">
        <v>80</v>
      </c>
      <c r="E102" s="4">
        <v>46140</v>
      </c>
      <c r="F102" s="4">
        <v>46159</v>
      </c>
      <c r="G102" s="5">
        <v>13975</v>
      </c>
      <c r="H102" s="5">
        <v>8807.5300000000007</v>
      </c>
      <c r="I102" s="2" t="s">
        <v>37</v>
      </c>
      <c r="J102" s="2"/>
      <c r="K102" s="2" t="s">
        <v>48</v>
      </c>
    </row>
    <row r="103" spans="1:11" x14ac:dyDescent="0.25">
      <c r="A103" s="2" t="s">
        <v>258</v>
      </c>
      <c r="B103" s="2" t="s">
        <v>259</v>
      </c>
      <c r="C103" s="2" t="s">
        <v>46</v>
      </c>
      <c r="D103" s="2" t="s">
        <v>41</v>
      </c>
      <c r="E103" s="4">
        <v>46192</v>
      </c>
      <c r="F103" s="4">
        <v>46203</v>
      </c>
      <c r="G103" s="5">
        <v>13800</v>
      </c>
      <c r="H103" s="5">
        <v>10500.4</v>
      </c>
      <c r="I103" s="2" t="s">
        <v>37</v>
      </c>
      <c r="J103" s="2"/>
      <c r="K103" s="2" t="s">
        <v>43</v>
      </c>
    </row>
    <row r="104" spans="1:11" x14ac:dyDescent="0.25">
      <c r="A104" s="2" t="s">
        <v>260</v>
      </c>
      <c r="B104" s="2" t="s">
        <v>104</v>
      </c>
      <c r="C104" s="2" t="s">
        <v>79</v>
      </c>
      <c r="D104" s="2" t="s">
        <v>41</v>
      </c>
      <c r="E104" s="4">
        <v>46227</v>
      </c>
      <c r="F104" s="4">
        <v>46236</v>
      </c>
      <c r="G104" s="5">
        <v>2625</v>
      </c>
      <c r="H104" s="5"/>
      <c r="I104" s="2" t="s">
        <v>42</v>
      </c>
      <c r="J104" s="2"/>
      <c r="K104" s="2" t="s">
        <v>38</v>
      </c>
    </row>
    <row r="105" spans="1:11" x14ac:dyDescent="0.25">
      <c r="A105" s="2" t="s">
        <v>261</v>
      </c>
      <c r="B105" s="2" t="s">
        <v>262</v>
      </c>
      <c r="C105" s="2" t="s">
        <v>46</v>
      </c>
      <c r="D105" s="2"/>
      <c r="E105" s="4">
        <v>46274</v>
      </c>
      <c r="F105" s="4">
        <v>46292</v>
      </c>
      <c r="G105" s="5">
        <v>4325</v>
      </c>
      <c r="H105" s="5"/>
      <c r="I105" s="2" t="s">
        <v>42</v>
      </c>
      <c r="J105" s="2"/>
      <c r="K105" s="2" t="s">
        <v>38</v>
      </c>
    </row>
    <row r="106" spans="1:11" x14ac:dyDescent="0.25">
      <c r="A106" s="2" t="s">
        <v>263</v>
      </c>
      <c r="B106" s="2" t="s">
        <v>264</v>
      </c>
      <c r="C106" s="2" t="s">
        <v>36</v>
      </c>
      <c r="D106" s="2" t="s">
        <v>61</v>
      </c>
      <c r="E106" s="4">
        <v>46041</v>
      </c>
      <c r="F106" s="4">
        <v>46061</v>
      </c>
      <c r="G106" s="5">
        <v>8125</v>
      </c>
      <c r="H106" s="5"/>
      <c r="I106" s="2" t="s">
        <v>42</v>
      </c>
      <c r="J106" s="2"/>
      <c r="K106" s="2" t="s">
        <v>33</v>
      </c>
    </row>
    <row r="107" spans="1:11" x14ac:dyDescent="0.25">
      <c r="A107" s="2" t="s">
        <v>265</v>
      </c>
      <c r="B107" s="2" t="s">
        <v>266</v>
      </c>
      <c r="C107" s="2" t="s">
        <v>36</v>
      </c>
      <c r="D107" s="2" t="s">
        <v>80</v>
      </c>
      <c r="E107" s="4">
        <v>46062</v>
      </c>
      <c r="F107" s="4">
        <v>46077</v>
      </c>
      <c r="G107" s="5">
        <v>12100</v>
      </c>
      <c r="H107" s="5">
        <v>7318.71</v>
      </c>
      <c r="I107" s="2" t="s">
        <v>37</v>
      </c>
      <c r="J107" s="2"/>
      <c r="K107" s="2" t="s">
        <v>65</v>
      </c>
    </row>
    <row r="108" spans="1:11" x14ac:dyDescent="0.25">
      <c r="A108" s="2" t="s">
        <v>267</v>
      </c>
      <c r="B108" s="2" t="s">
        <v>268</v>
      </c>
      <c r="C108" s="2" t="s">
        <v>79</v>
      </c>
      <c r="D108" s="2" t="s">
        <v>94</v>
      </c>
      <c r="E108" s="4">
        <v>46132</v>
      </c>
      <c r="F108" s="4">
        <v>46144</v>
      </c>
      <c r="G108" s="5">
        <v>14725</v>
      </c>
      <c r="H108" s="5">
        <v>13771.26</v>
      </c>
      <c r="I108" s="2" t="s">
        <v>37</v>
      </c>
      <c r="J108" s="2"/>
      <c r="K108" s="2" t="s">
        <v>33</v>
      </c>
    </row>
    <row r="109" spans="1:11" x14ac:dyDescent="0.25">
      <c r="A109" s="2" t="s">
        <v>269</v>
      </c>
      <c r="B109" s="2" t="s">
        <v>270</v>
      </c>
      <c r="C109" s="2" t="s">
        <v>36</v>
      </c>
      <c r="D109" s="2" t="s">
        <v>61</v>
      </c>
      <c r="E109" s="4">
        <v>46156</v>
      </c>
      <c r="F109" s="4">
        <v>46171</v>
      </c>
      <c r="G109" s="5">
        <v>14100</v>
      </c>
      <c r="H109" s="5">
        <v>0</v>
      </c>
      <c r="I109" s="2" t="s">
        <v>31</v>
      </c>
      <c r="J109" s="2" t="s">
        <v>271</v>
      </c>
      <c r="K109" s="2" t="s">
        <v>43</v>
      </c>
    </row>
    <row r="110" spans="1:11" x14ac:dyDescent="0.25">
      <c r="A110" s="2" t="s">
        <v>272</v>
      </c>
      <c r="B110" s="2" t="s">
        <v>45</v>
      </c>
      <c r="C110" s="2" t="s">
        <v>46</v>
      </c>
      <c r="D110" s="2" t="s">
        <v>55</v>
      </c>
      <c r="E110" s="4">
        <v>46209</v>
      </c>
      <c r="F110" s="4">
        <v>46215</v>
      </c>
      <c r="G110" s="5">
        <v>8725</v>
      </c>
      <c r="H110" s="5">
        <v>6643.38</v>
      </c>
      <c r="I110" s="2" t="s">
        <v>130</v>
      </c>
      <c r="J110" s="2"/>
      <c r="K110" s="2" t="s">
        <v>38</v>
      </c>
    </row>
    <row r="111" spans="1:11" x14ac:dyDescent="0.25">
      <c r="A111" s="2" t="s">
        <v>273</v>
      </c>
      <c r="B111" s="2" t="s">
        <v>274</v>
      </c>
      <c r="C111" s="2" t="s">
        <v>79</v>
      </c>
      <c r="D111" s="2" t="s">
        <v>41</v>
      </c>
      <c r="E111" s="4">
        <v>46064</v>
      </c>
      <c r="F111" s="4">
        <v>46070</v>
      </c>
      <c r="G111" s="5">
        <v>3900</v>
      </c>
      <c r="H111" s="5">
        <v>3251.34</v>
      </c>
      <c r="I111" s="2" t="s">
        <v>37</v>
      </c>
      <c r="J111" s="2"/>
      <c r="K111" s="2" t="s">
        <v>56</v>
      </c>
    </row>
    <row r="112" spans="1:11" x14ac:dyDescent="0.25">
      <c r="A112" s="2" t="s">
        <v>275</v>
      </c>
      <c r="B112" s="2" t="s">
        <v>276</v>
      </c>
      <c r="C112" s="2" t="s">
        <v>36</v>
      </c>
      <c r="D112" s="2" t="s">
        <v>61</v>
      </c>
      <c r="E112" s="4">
        <v>46255</v>
      </c>
      <c r="F112" s="4">
        <v>46260</v>
      </c>
      <c r="G112" s="5">
        <v>2850</v>
      </c>
      <c r="H112" s="5">
        <v>1726.67</v>
      </c>
      <c r="I112" s="2" t="s">
        <v>37</v>
      </c>
      <c r="J112" s="2"/>
      <c r="K112" s="2" t="s">
        <v>38</v>
      </c>
    </row>
    <row r="113" spans="1:11" x14ac:dyDescent="0.25">
      <c r="A113" s="2" t="s">
        <v>277</v>
      </c>
      <c r="B113" s="2" t="s">
        <v>278</v>
      </c>
      <c r="C113" s="2" t="s">
        <v>29</v>
      </c>
      <c r="D113" s="2" t="s">
        <v>30</v>
      </c>
      <c r="E113" s="4">
        <v>46277</v>
      </c>
      <c r="F113" s="4">
        <v>46284</v>
      </c>
      <c r="G113" s="5">
        <v>5550</v>
      </c>
      <c r="H113" s="5"/>
      <c r="I113" s="2" t="s">
        <v>42</v>
      </c>
      <c r="J113" s="2"/>
      <c r="K113" s="2" t="s">
        <v>38</v>
      </c>
    </row>
    <row r="114" spans="1:11" x14ac:dyDescent="0.25">
      <c r="A114" s="2" t="s">
        <v>279</v>
      </c>
      <c r="B114" s="2" t="s">
        <v>280</v>
      </c>
      <c r="C114" s="2" t="s">
        <v>79</v>
      </c>
      <c r="D114" s="2" t="s">
        <v>68</v>
      </c>
      <c r="E114" s="4">
        <v>46015</v>
      </c>
      <c r="F114" s="4">
        <v>46030</v>
      </c>
      <c r="G114" s="5">
        <v>8425</v>
      </c>
      <c r="H114" s="5"/>
      <c r="I114" s="2" t="s">
        <v>42</v>
      </c>
      <c r="J114" s="2"/>
      <c r="K114" s="2" t="s">
        <v>109</v>
      </c>
    </row>
    <row r="115" spans="1:11" x14ac:dyDescent="0.25">
      <c r="A115" s="2" t="s">
        <v>281</v>
      </c>
      <c r="B115" s="2" t="s">
        <v>282</v>
      </c>
      <c r="C115" s="2" t="s">
        <v>46</v>
      </c>
      <c r="D115" s="2" t="s">
        <v>68</v>
      </c>
      <c r="E115" s="4">
        <v>46291</v>
      </c>
      <c r="F115" s="4">
        <v>46294</v>
      </c>
      <c r="G115" s="5">
        <v>6950</v>
      </c>
      <c r="H115" s="5"/>
      <c r="I115" s="2" t="s">
        <v>42</v>
      </c>
      <c r="J115" s="2"/>
      <c r="K115" s="2" t="s">
        <v>48</v>
      </c>
    </row>
    <row r="116" spans="1:11" x14ac:dyDescent="0.25">
      <c r="A116" s="2" t="s">
        <v>283</v>
      </c>
      <c r="B116" s="2" t="s">
        <v>284</v>
      </c>
      <c r="C116" s="2" t="s">
        <v>79</v>
      </c>
      <c r="D116" s="2" t="s">
        <v>61</v>
      </c>
      <c r="E116" s="4">
        <v>46207</v>
      </c>
      <c r="F116" s="4">
        <v>46216</v>
      </c>
      <c r="G116" s="5">
        <v>13325</v>
      </c>
      <c r="H116" s="5">
        <v>7944.34</v>
      </c>
      <c r="I116" s="2" t="s">
        <v>37</v>
      </c>
      <c r="J116" s="2"/>
      <c r="K116" s="2" t="s">
        <v>83</v>
      </c>
    </row>
    <row r="117" spans="1:11" x14ac:dyDescent="0.25">
      <c r="A117" s="2" t="s">
        <v>285</v>
      </c>
      <c r="B117" s="2" t="s">
        <v>284</v>
      </c>
      <c r="C117" s="2" t="s">
        <v>79</v>
      </c>
      <c r="D117" s="2" t="s">
        <v>71</v>
      </c>
      <c r="E117" s="4">
        <v>46155</v>
      </c>
      <c r="F117" s="4">
        <v>46175</v>
      </c>
      <c r="G117" s="5">
        <v>6275</v>
      </c>
      <c r="H117" s="5">
        <v>3851.53</v>
      </c>
      <c r="I117" s="2" t="s">
        <v>37</v>
      </c>
      <c r="J117" s="2"/>
      <c r="K117" s="2" t="s">
        <v>83</v>
      </c>
    </row>
    <row r="118" spans="1:11" x14ac:dyDescent="0.25">
      <c r="A118" s="2" t="s">
        <v>286</v>
      </c>
      <c r="B118" s="2" t="s">
        <v>287</v>
      </c>
      <c r="C118" s="2" t="s">
        <v>46</v>
      </c>
      <c r="D118" s="2" t="s">
        <v>61</v>
      </c>
      <c r="E118" s="4">
        <v>46120</v>
      </c>
      <c r="F118" s="4">
        <v>46123</v>
      </c>
      <c r="G118" s="5">
        <v>5350</v>
      </c>
      <c r="H118" s="5">
        <v>4093.01</v>
      </c>
      <c r="I118" s="2" t="s">
        <v>37</v>
      </c>
      <c r="J118" s="2"/>
      <c r="K118" s="2" t="s">
        <v>52</v>
      </c>
    </row>
    <row r="119" spans="1:11" x14ac:dyDescent="0.25">
      <c r="A119" s="2" t="s">
        <v>288</v>
      </c>
      <c r="B119" s="2" t="s">
        <v>168</v>
      </c>
      <c r="C119" s="2" t="s">
        <v>36</v>
      </c>
      <c r="D119" s="2" t="s">
        <v>30</v>
      </c>
      <c r="E119" s="4">
        <v>46142</v>
      </c>
      <c r="F119" s="4">
        <v>46159</v>
      </c>
      <c r="G119" s="5">
        <v>3475</v>
      </c>
      <c r="H119" s="5">
        <v>2284.41</v>
      </c>
      <c r="I119" s="2" t="s">
        <v>37</v>
      </c>
      <c r="J119" s="2"/>
      <c r="K119" s="2" t="s">
        <v>62</v>
      </c>
    </row>
    <row r="120" spans="1:11" x14ac:dyDescent="0.25">
      <c r="A120" s="2" t="s">
        <v>289</v>
      </c>
      <c r="B120" s="2" t="s">
        <v>290</v>
      </c>
      <c r="C120" s="2" t="s">
        <v>46</v>
      </c>
      <c r="D120" s="2" t="s">
        <v>61</v>
      </c>
      <c r="E120" s="4">
        <v>46096</v>
      </c>
      <c r="F120" s="4">
        <v>46109</v>
      </c>
      <c r="G120" s="5">
        <v>4025</v>
      </c>
      <c r="H120" s="5">
        <v>2736.44</v>
      </c>
      <c r="I120" s="2" t="s">
        <v>37</v>
      </c>
      <c r="J120" s="2"/>
      <c r="K120" s="2" t="s">
        <v>109</v>
      </c>
    </row>
    <row r="121" spans="1:11" x14ac:dyDescent="0.25">
      <c r="A121" s="2" t="s">
        <v>291</v>
      </c>
      <c r="B121" s="2" t="s">
        <v>292</v>
      </c>
      <c r="C121" s="2" t="s">
        <v>79</v>
      </c>
      <c r="D121" s="2" t="s">
        <v>80</v>
      </c>
      <c r="E121" s="4">
        <v>46200</v>
      </c>
      <c r="F121" s="4">
        <v>46208</v>
      </c>
      <c r="G121" s="5">
        <v>5050</v>
      </c>
      <c r="H121" s="5">
        <v>3810.01</v>
      </c>
      <c r="I121" s="2" t="s">
        <v>37</v>
      </c>
      <c r="J121" s="2"/>
      <c r="K121" s="2" t="s">
        <v>33</v>
      </c>
    </row>
    <row r="122" spans="1:11" x14ac:dyDescent="0.25">
      <c r="A122" s="2" t="s">
        <v>293</v>
      </c>
      <c r="B122" s="2" t="s">
        <v>204</v>
      </c>
      <c r="C122" s="2" t="s">
        <v>29</v>
      </c>
      <c r="D122" s="2" t="s">
        <v>41</v>
      </c>
      <c r="E122" s="4">
        <v>46165</v>
      </c>
      <c r="F122" s="4">
        <v>46180</v>
      </c>
      <c r="G122" s="5">
        <v>700</v>
      </c>
      <c r="H122" s="5">
        <v>395.41</v>
      </c>
      <c r="I122" s="2" t="s">
        <v>37</v>
      </c>
      <c r="J122" s="2"/>
      <c r="K122" s="2" t="s">
        <v>38</v>
      </c>
    </row>
    <row r="123" spans="1:11" x14ac:dyDescent="0.25">
      <c r="A123" s="2" t="s">
        <v>294</v>
      </c>
      <c r="B123" s="2" t="s">
        <v>295</v>
      </c>
      <c r="C123" s="2" t="s">
        <v>36</v>
      </c>
      <c r="D123" s="2" t="s">
        <v>68</v>
      </c>
      <c r="E123" s="4">
        <v>46098</v>
      </c>
      <c r="F123" s="4">
        <v>46111</v>
      </c>
      <c r="G123" s="5">
        <v>13600</v>
      </c>
      <c r="H123" s="5">
        <v>13182.05</v>
      </c>
      <c r="I123" s="2" t="s">
        <v>37</v>
      </c>
      <c r="J123" s="2"/>
      <c r="K123" s="2" t="s">
        <v>33</v>
      </c>
    </row>
    <row r="124" spans="1:11" x14ac:dyDescent="0.25">
      <c r="A124" s="2" t="s">
        <v>296</v>
      </c>
      <c r="B124" s="2" t="s">
        <v>140</v>
      </c>
      <c r="C124" s="2" t="s">
        <v>29</v>
      </c>
      <c r="D124" s="2" t="s">
        <v>80</v>
      </c>
      <c r="E124" s="4">
        <v>46211</v>
      </c>
      <c r="F124" s="4">
        <v>46229</v>
      </c>
      <c r="G124" s="5">
        <v>2900</v>
      </c>
      <c r="H124" s="5">
        <v>2409.06</v>
      </c>
      <c r="I124" s="2" t="s">
        <v>37</v>
      </c>
      <c r="J124" s="2"/>
      <c r="K124" s="2" t="s">
        <v>65</v>
      </c>
    </row>
    <row r="125" spans="1:11" x14ac:dyDescent="0.25">
      <c r="A125" s="2" t="s">
        <v>296</v>
      </c>
      <c r="B125" s="2" t="s">
        <v>140</v>
      </c>
      <c r="C125" s="2" t="s">
        <v>29</v>
      </c>
      <c r="D125" s="2" t="s">
        <v>80</v>
      </c>
      <c r="E125" s="4">
        <v>46211</v>
      </c>
      <c r="F125" s="4">
        <v>46229</v>
      </c>
      <c r="G125" s="5">
        <v>2900</v>
      </c>
      <c r="H125" s="5">
        <v>2409.06</v>
      </c>
      <c r="I125" s="2" t="s">
        <v>37</v>
      </c>
      <c r="J125" s="2"/>
      <c r="K125" s="2" t="s">
        <v>65</v>
      </c>
    </row>
    <row r="126" spans="1:11" x14ac:dyDescent="0.25">
      <c r="A126" s="2" t="s">
        <v>297</v>
      </c>
      <c r="B126" s="2" t="s">
        <v>298</v>
      </c>
      <c r="C126" s="2" t="s">
        <v>29</v>
      </c>
      <c r="D126" s="2" t="s">
        <v>55</v>
      </c>
      <c r="E126" s="4">
        <v>46244</v>
      </c>
      <c r="F126" s="4">
        <v>46260</v>
      </c>
      <c r="G126" s="5">
        <v>11400</v>
      </c>
      <c r="H126" s="5">
        <v>11086.74</v>
      </c>
      <c r="I126" s="2" t="s">
        <v>299</v>
      </c>
      <c r="J126" s="2"/>
      <c r="K126" s="2" t="s">
        <v>56</v>
      </c>
    </row>
    <row r="127" spans="1:11" x14ac:dyDescent="0.25">
      <c r="A127" s="2" t="s">
        <v>300</v>
      </c>
      <c r="B127" s="2" t="s">
        <v>301</v>
      </c>
      <c r="C127" s="2" t="s">
        <v>46</v>
      </c>
      <c r="D127" s="2" t="s">
        <v>80</v>
      </c>
      <c r="E127" s="4">
        <v>46183</v>
      </c>
      <c r="F127" s="4">
        <v>46187</v>
      </c>
      <c r="G127" s="5">
        <v>7875</v>
      </c>
      <c r="H127" s="5">
        <v>0</v>
      </c>
      <c r="I127" s="2" t="s">
        <v>31</v>
      </c>
      <c r="J127" s="2" t="s">
        <v>271</v>
      </c>
      <c r="K127" s="2" t="s">
        <v>62</v>
      </c>
    </row>
    <row r="128" spans="1:11" x14ac:dyDescent="0.25">
      <c r="A128" s="2" t="s">
        <v>302</v>
      </c>
      <c r="B128" s="2" t="s">
        <v>303</v>
      </c>
      <c r="C128" s="2" t="s">
        <v>29</v>
      </c>
      <c r="D128" s="2" t="s">
        <v>71</v>
      </c>
      <c r="E128" s="4">
        <v>46048</v>
      </c>
      <c r="F128" s="4">
        <v>46058</v>
      </c>
      <c r="G128" s="5">
        <v>3475</v>
      </c>
      <c r="H128" s="5"/>
      <c r="I128" s="2" t="s">
        <v>42</v>
      </c>
      <c r="J128" s="2"/>
      <c r="K128" s="2" t="s">
        <v>65</v>
      </c>
    </row>
    <row r="129" spans="1:11" x14ac:dyDescent="0.25">
      <c r="A129" s="2" t="s">
        <v>304</v>
      </c>
      <c r="B129" s="2" t="s">
        <v>305</v>
      </c>
      <c r="C129" s="2" t="s">
        <v>36</v>
      </c>
      <c r="D129" s="2" t="s">
        <v>71</v>
      </c>
      <c r="E129" s="4">
        <v>46057</v>
      </c>
      <c r="F129" s="4">
        <v>46076</v>
      </c>
      <c r="G129" s="5">
        <v>6400</v>
      </c>
      <c r="H129" s="5">
        <v>6227.9</v>
      </c>
      <c r="I129" s="2" t="s">
        <v>37</v>
      </c>
      <c r="J129" s="2"/>
      <c r="K129" s="2" t="s">
        <v>52</v>
      </c>
    </row>
    <row r="130" spans="1:11" x14ac:dyDescent="0.25">
      <c r="A130" s="2" t="s">
        <v>306</v>
      </c>
      <c r="B130" s="2" t="s">
        <v>136</v>
      </c>
      <c r="C130" s="2" t="s">
        <v>36</v>
      </c>
      <c r="D130" s="2" t="s">
        <v>94</v>
      </c>
      <c r="E130" s="4">
        <v>46230</v>
      </c>
      <c r="F130" s="4">
        <v>46238</v>
      </c>
      <c r="G130" s="5">
        <v>5975</v>
      </c>
      <c r="H130" s="5"/>
      <c r="I130" s="2" t="s">
        <v>42</v>
      </c>
      <c r="J130" s="2"/>
      <c r="K130" s="2" t="s">
        <v>48</v>
      </c>
    </row>
    <row r="131" spans="1:11" x14ac:dyDescent="0.25">
      <c r="A131" s="2" t="s">
        <v>307</v>
      </c>
      <c r="B131" s="2" t="s">
        <v>308</v>
      </c>
      <c r="C131" s="2" t="s">
        <v>29</v>
      </c>
      <c r="D131" s="2" t="s">
        <v>309</v>
      </c>
      <c r="E131" s="4">
        <v>46282</v>
      </c>
      <c r="F131" s="4">
        <v>46289</v>
      </c>
      <c r="G131" s="5">
        <v>3450</v>
      </c>
      <c r="H131" s="5"/>
      <c r="I131" s="2" t="s">
        <v>42</v>
      </c>
      <c r="J131" s="2"/>
      <c r="K131" s="2" t="s">
        <v>43</v>
      </c>
    </row>
    <row r="132" spans="1:11" x14ac:dyDescent="0.25">
      <c r="A132" s="2" t="s">
        <v>310</v>
      </c>
      <c r="B132" s="2" t="s">
        <v>162</v>
      </c>
      <c r="C132" s="2" t="s">
        <v>29</v>
      </c>
      <c r="D132" s="2" t="s">
        <v>41</v>
      </c>
      <c r="E132" s="4">
        <v>46173</v>
      </c>
      <c r="F132" s="4">
        <v>46176</v>
      </c>
      <c r="G132" s="5">
        <v>8600</v>
      </c>
      <c r="H132" s="5">
        <v>6471.65</v>
      </c>
      <c r="I132" s="2" t="s">
        <v>37</v>
      </c>
      <c r="J132" s="2"/>
      <c r="K132" s="2" t="s">
        <v>109</v>
      </c>
    </row>
    <row r="133" spans="1:11" x14ac:dyDescent="0.25">
      <c r="A133" s="2" t="s">
        <v>311</v>
      </c>
      <c r="B133" s="2" t="s">
        <v>111</v>
      </c>
      <c r="C133" s="2" t="s">
        <v>79</v>
      </c>
      <c r="D133" s="2" t="s">
        <v>94</v>
      </c>
      <c r="E133" s="4">
        <v>46137</v>
      </c>
      <c r="F133" s="4">
        <v>46141</v>
      </c>
      <c r="G133" s="5">
        <v>8125</v>
      </c>
      <c r="H133" s="5">
        <v>0</v>
      </c>
      <c r="I133" s="2" t="s">
        <v>31</v>
      </c>
      <c r="J133" s="2" t="s">
        <v>312</v>
      </c>
      <c r="K133" s="2" t="s">
        <v>65</v>
      </c>
    </row>
    <row r="134" spans="1:11" x14ac:dyDescent="0.25">
      <c r="A134" s="2" t="s">
        <v>313</v>
      </c>
      <c r="B134" s="2" t="s">
        <v>314</v>
      </c>
      <c r="C134" s="2" t="s">
        <v>36</v>
      </c>
      <c r="D134" s="2" t="s">
        <v>41</v>
      </c>
      <c r="E134" s="4">
        <v>46119</v>
      </c>
      <c r="F134" s="4">
        <v>46128</v>
      </c>
      <c r="G134" s="5">
        <v>7850</v>
      </c>
      <c r="H134" s="5"/>
      <c r="I134" s="2" t="s">
        <v>42</v>
      </c>
      <c r="J134" s="2"/>
      <c r="K134" s="2" t="s">
        <v>52</v>
      </c>
    </row>
    <row r="135" spans="1:11" x14ac:dyDescent="0.25">
      <c r="A135" s="2" t="s">
        <v>315</v>
      </c>
      <c r="B135" s="2" t="s">
        <v>316</v>
      </c>
      <c r="C135" s="2" t="s">
        <v>79</v>
      </c>
      <c r="D135" s="2" t="s">
        <v>30</v>
      </c>
      <c r="E135" s="4">
        <v>46261</v>
      </c>
      <c r="F135" s="4">
        <v>46264</v>
      </c>
      <c r="G135" s="5">
        <v>4700</v>
      </c>
      <c r="H135" s="5"/>
      <c r="I135" s="2" t="s">
        <v>42</v>
      </c>
      <c r="J135" s="2"/>
      <c r="K135" s="2" t="s">
        <v>43</v>
      </c>
    </row>
    <row r="136" spans="1:11" x14ac:dyDescent="0.25">
      <c r="A136" s="2" t="s">
        <v>317</v>
      </c>
      <c r="B136" s="2" t="s">
        <v>318</v>
      </c>
      <c r="C136" s="2" t="s">
        <v>29</v>
      </c>
      <c r="D136" s="2" t="s">
        <v>68</v>
      </c>
      <c r="E136" s="4">
        <v>46117</v>
      </c>
      <c r="F136" s="4">
        <v>46121</v>
      </c>
      <c r="G136" s="5">
        <v>3000</v>
      </c>
      <c r="H136" s="5">
        <v>2947.83</v>
      </c>
      <c r="I136" s="2" t="s">
        <v>37</v>
      </c>
      <c r="J136" s="2"/>
      <c r="K136" s="2" t="s">
        <v>33</v>
      </c>
    </row>
    <row r="137" spans="1:11" x14ac:dyDescent="0.25">
      <c r="A137" s="2" t="s">
        <v>319</v>
      </c>
      <c r="B137" s="2" t="s">
        <v>320</v>
      </c>
      <c r="C137" s="2" t="s">
        <v>79</v>
      </c>
      <c r="D137" s="2" t="s">
        <v>61</v>
      </c>
      <c r="E137" s="4">
        <v>46177</v>
      </c>
      <c r="F137" s="4">
        <v>46194</v>
      </c>
      <c r="G137" s="5">
        <v>10925</v>
      </c>
      <c r="H137" s="5">
        <v>7518.84</v>
      </c>
      <c r="I137" s="2" t="s">
        <v>37</v>
      </c>
      <c r="J137" s="2"/>
      <c r="K137" s="2" t="s">
        <v>43</v>
      </c>
    </row>
    <row r="138" spans="1:11" x14ac:dyDescent="0.25">
      <c r="A138" s="2" t="s">
        <v>321</v>
      </c>
      <c r="B138" s="2" t="s">
        <v>322</v>
      </c>
      <c r="C138" s="2" t="s">
        <v>36</v>
      </c>
      <c r="D138" s="2" t="s">
        <v>30</v>
      </c>
      <c r="E138" s="4">
        <v>46267</v>
      </c>
      <c r="F138" s="4">
        <v>46279</v>
      </c>
      <c r="G138" s="5">
        <v>7275</v>
      </c>
      <c r="H138" s="5"/>
      <c r="I138" s="2" t="s">
        <v>42</v>
      </c>
      <c r="J138" s="2"/>
      <c r="K138" s="2" t="s">
        <v>43</v>
      </c>
    </row>
    <row r="139" spans="1:11" x14ac:dyDescent="0.25">
      <c r="A139" s="2" t="s">
        <v>323</v>
      </c>
      <c r="B139" s="2" t="s">
        <v>324</v>
      </c>
      <c r="C139" s="2" t="s">
        <v>29</v>
      </c>
      <c r="D139" s="2" t="s">
        <v>94</v>
      </c>
      <c r="E139" s="4">
        <v>46169</v>
      </c>
      <c r="F139" s="4">
        <v>46177</v>
      </c>
      <c r="G139" s="5">
        <v>6075</v>
      </c>
      <c r="H139" s="5">
        <v>3587.24</v>
      </c>
      <c r="I139" s="2" t="s">
        <v>37</v>
      </c>
      <c r="J139" s="2"/>
      <c r="K139" s="2" t="s">
        <v>48</v>
      </c>
    </row>
    <row r="140" spans="1:11" x14ac:dyDescent="0.25">
      <c r="A140" s="2" t="s">
        <v>325</v>
      </c>
      <c r="B140" s="2" t="s">
        <v>326</v>
      </c>
      <c r="C140" s="2" t="s">
        <v>46</v>
      </c>
      <c r="D140" s="2" t="s">
        <v>55</v>
      </c>
      <c r="E140" s="4">
        <v>46290</v>
      </c>
      <c r="F140" s="4">
        <v>46294</v>
      </c>
      <c r="G140" s="5">
        <v>475</v>
      </c>
      <c r="H140" s="5"/>
      <c r="I140" s="2" t="s">
        <v>42</v>
      </c>
      <c r="J140" s="2"/>
      <c r="K140" s="2" t="s">
        <v>109</v>
      </c>
    </row>
    <row r="141" spans="1:11" x14ac:dyDescent="0.25">
      <c r="A141" s="2" t="s">
        <v>327</v>
      </c>
      <c r="B141" s="2" t="s">
        <v>328</v>
      </c>
      <c r="C141" s="2" t="s">
        <v>79</v>
      </c>
      <c r="D141" s="2" t="s">
        <v>202</v>
      </c>
      <c r="E141" s="4">
        <v>46059</v>
      </c>
      <c r="F141" s="4">
        <v>46067</v>
      </c>
      <c r="G141" s="5">
        <v>7575</v>
      </c>
      <c r="H141" s="5"/>
      <c r="I141" s="2" t="s">
        <v>42</v>
      </c>
      <c r="J141" s="2"/>
      <c r="K141" s="2" t="s">
        <v>83</v>
      </c>
    </row>
    <row r="142" spans="1:11" x14ac:dyDescent="0.25">
      <c r="A142" s="2" t="s">
        <v>329</v>
      </c>
      <c r="B142" s="2" t="s">
        <v>330</v>
      </c>
      <c r="C142" s="2" t="s">
        <v>29</v>
      </c>
      <c r="D142" s="2" t="s">
        <v>94</v>
      </c>
      <c r="E142" s="4">
        <v>46029</v>
      </c>
      <c r="F142" s="4">
        <v>46037</v>
      </c>
      <c r="G142" s="5">
        <v>4150</v>
      </c>
      <c r="H142" s="5"/>
      <c r="I142" s="2" t="s">
        <v>42</v>
      </c>
      <c r="J142" s="2"/>
      <c r="K142" s="2" t="s">
        <v>109</v>
      </c>
    </row>
    <row r="143" spans="1:11" x14ac:dyDescent="0.25">
      <c r="A143" s="2" t="s">
        <v>331</v>
      </c>
      <c r="B143" s="2" t="s">
        <v>129</v>
      </c>
      <c r="C143" s="2" t="s">
        <v>46</v>
      </c>
      <c r="D143" s="2" t="s">
        <v>61</v>
      </c>
      <c r="E143" s="4">
        <v>46216</v>
      </c>
      <c r="F143" s="4">
        <v>46219</v>
      </c>
      <c r="G143" s="5">
        <v>13075</v>
      </c>
      <c r="H143" s="5">
        <v>11761.56</v>
      </c>
      <c r="I143" s="2" t="s">
        <v>37</v>
      </c>
      <c r="J143" s="2"/>
      <c r="K143" s="2" t="s">
        <v>65</v>
      </c>
    </row>
    <row r="144" spans="1:11" x14ac:dyDescent="0.25">
      <c r="A144" s="2" t="s">
        <v>332</v>
      </c>
      <c r="B144" s="2" t="s">
        <v>333</v>
      </c>
      <c r="C144" s="2" t="s">
        <v>79</v>
      </c>
      <c r="D144" s="2" t="s">
        <v>30</v>
      </c>
      <c r="E144" s="4">
        <v>46020</v>
      </c>
      <c r="F144" s="4">
        <v>46039</v>
      </c>
      <c r="G144" s="5">
        <v>7750</v>
      </c>
      <c r="H144" s="5">
        <v>0</v>
      </c>
      <c r="I144" s="2" t="s">
        <v>31</v>
      </c>
      <c r="J144" s="2" t="s">
        <v>271</v>
      </c>
      <c r="K144" s="2" t="s">
        <v>33</v>
      </c>
    </row>
    <row r="145" spans="1:11" x14ac:dyDescent="0.25">
      <c r="A145" s="2" t="s">
        <v>334</v>
      </c>
      <c r="B145" s="2" t="s">
        <v>335</v>
      </c>
      <c r="C145" s="2" t="s">
        <v>79</v>
      </c>
      <c r="D145" s="2" t="s">
        <v>61</v>
      </c>
      <c r="E145" s="4">
        <v>46064</v>
      </c>
      <c r="F145" s="4">
        <v>46080</v>
      </c>
      <c r="G145" s="5">
        <v>6300</v>
      </c>
      <c r="H145" s="5">
        <v>4191.2299999999996</v>
      </c>
      <c r="I145" s="2" t="s">
        <v>37</v>
      </c>
      <c r="J145" s="2"/>
      <c r="K145" s="2" t="s">
        <v>83</v>
      </c>
    </row>
    <row r="146" spans="1:11" x14ac:dyDescent="0.25">
      <c r="A146" s="2" t="s">
        <v>336</v>
      </c>
      <c r="B146" s="2" t="s">
        <v>337</v>
      </c>
      <c r="C146" s="2" t="s">
        <v>29</v>
      </c>
      <c r="D146" s="2" t="s">
        <v>80</v>
      </c>
      <c r="E146" s="4">
        <v>46118</v>
      </c>
      <c r="F146" s="4">
        <v>46136</v>
      </c>
      <c r="G146" s="5">
        <v>6975</v>
      </c>
      <c r="H146" s="5">
        <v>6079.58</v>
      </c>
      <c r="I146" s="2" t="s">
        <v>37</v>
      </c>
      <c r="J146" s="2"/>
      <c r="K146" s="2" t="s">
        <v>338</v>
      </c>
    </row>
    <row r="147" spans="1:11" x14ac:dyDescent="0.25">
      <c r="A147" s="2" t="s">
        <v>336</v>
      </c>
      <c r="B147" s="2" t="s">
        <v>337</v>
      </c>
      <c r="C147" s="2" t="s">
        <v>29</v>
      </c>
      <c r="D147" s="2" t="s">
        <v>80</v>
      </c>
      <c r="E147" s="4">
        <v>46118</v>
      </c>
      <c r="F147" s="4">
        <v>46136</v>
      </c>
      <c r="G147" s="5">
        <v>6975</v>
      </c>
      <c r="H147" s="5">
        <v>6079.58</v>
      </c>
      <c r="I147" s="2" t="s">
        <v>37</v>
      </c>
      <c r="J147" s="2"/>
      <c r="K147" s="2" t="s">
        <v>338</v>
      </c>
    </row>
    <row r="148" spans="1:11" x14ac:dyDescent="0.25">
      <c r="A148" s="2" t="s">
        <v>339</v>
      </c>
      <c r="B148" s="2" t="s">
        <v>201</v>
      </c>
      <c r="C148" s="2" t="s">
        <v>46</v>
      </c>
      <c r="D148" s="2" t="s">
        <v>181</v>
      </c>
      <c r="E148" s="4">
        <v>46182</v>
      </c>
      <c r="F148" s="4">
        <v>46189</v>
      </c>
      <c r="G148" s="5">
        <v>750</v>
      </c>
      <c r="H148" s="5">
        <v>582.5</v>
      </c>
      <c r="I148" s="2" t="s">
        <v>37</v>
      </c>
      <c r="J148" s="2"/>
      <c r="K148" s="2" t="s">
        <v>56</v>
      </c>
    </row>
    <row r="149" spans="1:11" x14ac:dyDescent="0.25">
      <c r="A149" s="2" t="s">
        <v>340</v>
      </c>
      <c r="B149" s="2" t="s">
        <v>341</v>
      </c>
      <c r="C149" s="2" t="s">
        <v>79</v>
      </c>
      <c r="D149" s="2" t="s">
        <v>41</v>
      </c>
      <c r="E149" s="4">
        <v>46054</v>
      </c>
      <c r="F149" s="4">
        <v>46060</v>
      </c>
      <c r="G149" s="5">
        <v>4850</v>
      </c>
      <c r="H149" s="5">
        <v>4395.18</v>
      </c>
      <c r="I149" s="2" t="s">
        <v>130</v>
      </c>
      <c r="J149" s="2"/>
      <c r="K149" s="2" t="s">
        <v>38</v>
      </c>
    </row>
    <row r="150" spans="1:11" x14ac:dyDescent="0.25">
      <c r="A150" s="2" t="s">
        <v>342</v>
      </c>
      <c r="B150" s="2" t="s">
        <v>343</v>
      </c>
      <c r="C150" s="2" t="s">
        <v>79</v>
      </c>
      <c r="D150" s="2" t="s">
        <v>55</v>
      </c>
      <c r="E150" s="4">
        <v>46031</v>
      </c>
      <c r="F150" s="4">
        <v>46044</v>
      </c>
      <c r="G150" s="5">
        <v>13750</v>
      </c>
      <c r="H150" s="5">
        <v>10646.01</v>
      </c>
      <c r="I150" s="2" t="s">
        <v>37</v>
      </c>
      <c r="J150" s="2"/>
      <c r="K150" s="2" t="s">
        <v>43</v>
      </c>
    </row>
    <row r="151" spans="1:11" x14ac:dyDescent="0.25">
      <c r="A151" s="2" t="s">
        <v>344</v>
      </c>
      <c r="B151" s="2" t="s">
        <v>345</v>
      </c>
      <c r="C151" s="2" t="s">
        <v>36</v>
      </c>
      <c r="D151" s="2" t="s">
        <v>41</v>
      </c>
      <c r="E151" s="4">
        <v>46086</v>
      </c>
      <c r="F151" s="4">
        <v>46104</v>
      </c>
      <c r="G151" s="5">
        <v>11925</v>
      </c>
      <c r="H151" s="5">
        <v>8514.32</v>
      </c>
      <c r="I151" s="2" t="s">
        <v>37</v>
      </c>
      <c r="J151" s="2"/>
      <c r="K151" s="2" t="s">
        <v>109</v>
      </c>
    </row>
    <row r="152" spans="1:11" x14ac:dyDescent="0.25">
      <c r="A152" s="2" t="s">
        <v>346</v>
      </c>
      <c r="B152" s="2" t="s">
        <v>197</v>
      </c>
      <c r="C152" s="2" t="s">
        <v>79</v>
      </c>
      <c r="D152" s="2" t="s">
        <v>309</v>
      </c>
      <c r="E152" s="4">
        <v>46084</v>
      </c>
      <c r="F152" s="4">
        <v>46091</v>
      </c>
      <c r="G152" s="5">
        <v>11950</v>
      </c>
      <c r="H152" s="5">
        <v>0</v>
      </c>
      <c r="I152" s="2" t="s">
        <v>31</v>
      </c>
      <c r="J152" s="2" t="s">
        <v>347</v>
      </c>
      <c r="K152" s="2" t="s">
        <v>83</v>
      </c>
    </row>
    <row r="153" spans="1:11" x14ac:dyDescent="0.25">
      <c r="A153" s="2" t="s">
        <v>348</v>
      </c>
      <c r="B153" s="2" t="s">
        <v>349</v>
      </c>
      <c r="C153" s="2" t="s">
        <v>36</v>
      </c>
      <c r="D153" s="2" t="s">
        <v>68</v>
      </c>
      <c r="E153" s="4">
        <v>46157</v>
      </c>
      <c r="F153" s="4">
        <v>46175</v>
      </c>
      <c r="G153" s="5">
        <v>11150</v>
      </c>
      <c r="H153" s="5"/>
      <c r="I153" s="2" t="s">
        <v>42</v>
      </c>
      <c r="J153" s="2"/>
      <c r="K153" s="2" t="s">
        <v>109</v>
      </c>
    </row>
    <row r="154" spans="1:11" x14ac:dyDescent="0.25">
      <c r="A154" s="2" t="s">
        <v>350</v>
      </c>
      <c r="B154" s="2" t="s">
        <v>106</v>
      </c>
      <c r="C154" s="2" t="s">
        <v>79</v>
      </c>
      <c r="D154" s="2" t="s">
        <v>55</v>
      </c>
      <c r="E154" s="4">
        <v>46128</v>
      </c>
      <c r="F154" s="4">
        <v>46140</v>
      </c>
      <c r="G154" s="5">
        <v>6775</v>
      </c>
      <c r="H154" s="5">
        <v>0</v>
      </c>
      <c r="I154" s="2" t="s">
        <v>31</v>
      </c>
      <c r="J154" s="2" t="s">
        <v>312</v>
      </c>
      <c r="K154" s="2" t="s">
        <v>52</v>
      </c>
    </row>
    <row r="155" spans="1:11" x14ac:dyDescent="0.25">
      <c r="A155" s="2" t="s">
        <v>351</v>
      </c>
      <c r="B155" s="2" t="s">
        <v>282</v>
      </c>
      <c r="C155" s="2" t="s">
        <v>79</v>
      </c>
      <c r="D155" s="2" t="s">
        <v>55</v>
      </c>
      <c r="E155" s="4">
        <v>46130</v>
      </c>
      <c r="F155" s="4">
        <v>46134</v>
      </c>
      <c r="G155" s="5">
        <v>4400</v>
      </c>
      <c r="H155" s="5">
        <v>2535.87</v>
      </c>
      <c r="I155" s="2" t="s">
        <v>37</v>
      </c>
      <c r="J155" s="2"/>
      <c r="K155" s="2" t="s">
        <v>38</v>
      </c>
    </row>
    <row r="156" spans="1:11" x14ac:dyDescent="0.25">
      <c r="A156" s="2" t="s">
        <v>352</v>
      </c>
      <c r="B156" s="2" t="s">
        <v>353</v>
      </c>
      <c r="C156" s="2" t="s">
        <v>79</v>
      </c>
      <c r="D156" s="2" t="s">
        <v>30</v>
      </c>
      <c r="E156" s="4">
        <v>46117</v>
      </c>
      <c r="F156" s="4">
        <v>46132</v>
      </c>
      <c r="G156" s="5">
        <v>9975</v>
      </c>
      <c r="H156" s="5">
        <v>7045.7</v>
      </c>
      <c r="I156" s="2" t="s">
        <v>37</v>
      </c>
      <c r="J156" s="2"/>
      <c r="K156" s="2" t="s">
        <v>38</v>
      </c>
    </row>
    <row r="157" spans="1:11" x14ac:dyDescent="0.25">
      <c r="A157" s="2" t="s">
        <v>354</v>
      </c>
      <c r="B157" s="2" t="s">
        <v>176</v>
      </c>
      <c r="C157" s="2" t="s">
        <v>29</v>
      </c>
      <c r="D157" s="2" t="s">
        <v>41</v>
      </c>
      <c r="E157" s="4">
        <v>46115</v>
      </c>
      <c r="F157" s="4">
        <v>46132</v>
      </c>
      <c r="G157" s="5">
        <v>8175</v>
      </c>
      <c r="H157" s="5">
        <v>6801.55</v>
      </c>
      <c r="I157" s="2" t="s">
        <v>37</v>
      </c>
      <c r="J157" s="2"/>
      <c r="K157" s="2" t="s">
        <v>38</v>
      </c>
    </row>
    <row r="158" spans="1:11" x14ac:dyDescent="0.25">
      <c r="A158" s="2" t="s">
        <v>355</v>
      </c>
      <c r="B158" s="2" t="s">
        <v>356</v>
      </c>
      <c r="C158" s="2" t="s">
        <v>46</v>
      </c>
      <c r="D158" s="2" t="s">
        <v>30</v>
      </c>
      <c r="E158" s="4">
        <v>46232</v>
      </c>
      <c r="F158" s="4">
        <v>46237</v>
      </c>
      <c r="G158" s="5">
        <v>1500</v>
      </c>
      <c r="H158" s="5"/>
      <c r="I158" s="2" t="s">
        <v>42</v>
      </c>
      <c r="J158" s="2"/>
      <c r="K158" s="2" t="s">
        <v>83</v>
      </c>
    </row>
    <row r="159" spans="1:11" x14ac:dyDescent="0.25">
      <c r="A159" s="2" t="s">
        <v>357</v>
      </c>
      <c r="B159" s="2" t="s">
        <v>358</v>
      </c>
      <c r="C159" s="2" t="s">
        <v>36</v>
      </c>
      <c r="D159" s="2" t="s">
        <v>55</v>
      </c>
      <c r="E159" s="4">
        <v>46105</v>
      </c>
      <c r="F159" s="4">
        <v>46116</v>
      </c>
      <c r="G159" s="5">
        <v>13400</v>
      </c>
      <c r="H159" s="5">
        <v>0</v>
      </c>
      <c r="I159" s="2" t="s">
        <v>31</v>
      </c>
      <c r="J159" s="2" t="s">
        <v>271</v>
      </c>
      <c r="K159" s="2" t="s">
        <v>33</v>
      </c>
    </row>
    <row r="160" spans="1:11" x14ac:dyDescent="0.25">
      <c r="A160" s="2" t="s">
        <v>359</v>
      </c>
      <c r="B160" s="2" t="s">
        <v>360</v>
      </c>
      <c r="C160" s="2" t="s">
        <v>29</v>
      </c>
      <c r="D160" s="2" t="s">
        <v>55</v>
      </c>
      <c r="E160" s="4">
        <v>46200</v>
      </c>
      <c r="F160" s="4">
        <v>46207</v>
      </c>
      <c r="G160" s="5">
        <v>6450</v>
      </c>
      <c r="H160" s="5">
        <v>0</v>
      </c>
      <c r="I160" s="2" t="s">
        <v>31</v>
      </c>
      <c r="J160" s="2" t="s">
        <v>347</v>
      </c>
      <c r="K160" s="2" t="s">
        <v>38</v>
      </c>
    </row>
    <row r="161" spans="1:11" x14ac:dyDescent="0.25">
      <c r="A161" s="2" t="s">
        <v>361</v>
      </c>
      <c r="B161" s="2" t="s">
        <v>362</v>
      </c>
      <c r="C161" s="2" t="s">
        <v>36</v>
      </c>
      <c r="D161" s="2" t="s">
        <v>41</v>
      </c>
      <c r="E161" s="4">
        <v>46178</v>
      </c>
      <c r="F161" s="4">
        <v>46189</v>
      </c>
      <c r="G161" s="5">
        <v>13575</v>
      </c>
      <c r="H161" s="5">
        <v>11179.86</v>
      </c>
      <c r="I161" s="2" t="s">
        <v>37</v>
      </c>
      <c r="J161" s="2"/>
      <c r="K161" s="2" t="s">
        <v>83</v>
      </c>
    </row>
    <row r="162" spans="1:11" x14ac:dyDescent="0.25">
      <c r="A162" s="2" t="s">
        <v>363</v>
      </c>
      <c r="B162" s="2" t="s">
        <v>237</v>
      </c>
      <c r="C162" s="2" t="s">
        <v>46</v>
      </c>
      <c r="D162" s="2" t="s">
        <v>61</v>
      </c>
      <c r="E162" s="4">
        <v>46084</v>
      </c>
      <c r="F162" s="4">
        <v>46088</v>
      </c>
      <c r="G162" s="5">
        <v>5625</v>
      </c>
      <c r="H162" s="5">
        <v>4470.72</v>
      </c>
      <c r="I162" s="2" t="s">
        <v>37</v>
      </c>
      <c r="J162" s="2"/>
      <c r="K162" s="2" t="s">
        <v>65</v>
      </c>
    </row>
    <row r="163" spans="1:11" x14ac:dyDescent="0.25">
      <c r="A163" s="2" t="s">
        <v>364</v>
      </c>
      <c r="B163" s="2" t="s">
        <v>365</v>
      </c>
      <c r="C163" s="2" t="s">
        <v>29</v>
      </c>
      <c r="D163" s="2"/>
      <c r="E163" s="4">
        <v>46209</v>
      </c>
      <c r="F163" s="4">
        <v>46216</v>
      </c>
      <c r="G163" s="5">
        <v>5525</v>
      </c>
      <c r="H163" s="5"/>
      <c r="I163" s="2" t="s">
        <v>42</v>
      </c>
      <c r="J163" s="2"/>
      <c r="K163" s="2" t="s">
        <v>38</v>
      </c>
    </row>
    <row r="164" spans="1:11" x14ac:dyDescent="0.25">
      <c r="A164" s="2" t="s">
        <v>366</v>
      </c>
      <c r="B164" s="2" t="s">
        <v>93</v>
      </c>
      <c r="C164" s="2" t="s">
        <v>36</v>
      </c>
      <c r="D164" s="2" t="s">
        <v>80</v>
      </c>
      <c r="E164" s="4">
        <v>46273</v>
      </c>
      <c r="F164" s="4">
        <v>46287</v>
      </c>
      <c r="G164" s="5">
        <v>6075</v>
      </c>
      <c r="H164" s="5">
        <v>5012.41</v>
      </c>
      <c r="I164" s="2" t="s">
        <v>37</v>
      </c>
      <c r="J164" s="2"/>
      <c r="K164" s="2" t="s">
        <v>65</v>
      </c>
    </row>
    <row r="165" spans="1:11" x14ac:dyDescent="0.25">
      <c r="A165" s="2" t="s">
        <v>367</v>
      </c>
      <c r="B165" s="2" t="s">
        <v>345</v>
      </c>
      <c r="C165" s="2" t="s">
        <v>46</v>
      </c>
      <c r="D165" s="2" t="s">
        <v>51</v>
      </c>
      <c r="E165" s="4">
        <v>46016</v>
      </c>
      <c r="F165" s="4">
        <v>46028</v>
      </c>
      <c r="G165" s="5">
        <v>2000</v>
      </c>
      <c r="H165" s="5"/>
      <c r="I165" s="2" t="s">
        <v>42</v>
      </c>
      <c r="J165" s="2"/>
      <c r="K165" s="2" t="s">
        <v>52</v>
      </c>
    </row>
    <row r="166" spans="1:11" x14ac:dyDescent="0.25">
      <c r="A166" s="2" t="s">
        <v>368</v>
      </c>
      <c r="B166" s="2" t="s">
        <v>362</v>
      </c>
      <c r="C166" s="2" t="s">
        <v>29</v>
      </c>
      <c r="D166" s="2" t="s">
        <v>94</v>
      </c>
      <c r="E166" s="4">
        <v>46132</v>
      </c>
      <c r="F166" s="4">
        <v>46143</v>
      </c>
      <c r="G166" s="5">
        <v>2600</v>
      </c>
      <c r="H166" s="5">
        <v>2006.71</v>
      </c>
      <c r="I166" s="2" t="s">
        <v>37</v>
      </c>
      <c r="J166" s="2"/>
      <c r="K166" s="2" t="s">
        <v>62</v>
      </c>
    </row>
    <row r="167" spans="1:11" x14ac:dyDescent="0.25">
      <c r="A167" s="2" t="s">
        <v>369</v>
      </c>
      <c r="B167" s="2" t="s">
        <v>370</v>
      </c>
      <c r="C167" s="2" t="s">
        <v>46</v>
      </c>
      <c r="D167" s="2"/>
      <c r="E167" s="4">
        <v>46266</v>
      </c>
      <c r="F167" s="4">
        <v>46277</v>
      </c>
      <c r="G167" s="5">
        <v>5950</v>
      </c>
      <c r="H167" s="5">
        <v>4544.91</v>
      </c>
      <c r="I167" s="2" t="s">
        <v>37</v>
      </c>
      <c r="J167" s="2"/>
      <c r="K167" s="2" t="s">
        <v>43</v>
      </c>
    </row>
    <row r="168" spans="1:11" x14ac:dyDescent="0.25">
      <c r="A168" s="2" t="s">
        <v>371</v>
      </c>
      <c r="B168" s="2" t="s">
        <v>28</v>
      </c>
      <c r="C168" s="2" t="s">
        <v>79</v>
      </c>
      <c r="D168" s="2" t="s">
        <v>55</v>
      </c>
      <c r="E168" s="4">
        <v>46284</v>
      </c>
      <c r="F168" s="4">
        <v>46289</v>
      </c>
      <c r="G168" s="5">
        <v>9050</v>
      </c>
      <c r="H168" s="5"/>
      <c r="I168" s="2" t="s">
        <v>145</v>
      </c>
      <c r="J168" s="2"/>
      <c r="K168" s="2" t="s">
        <v>62</v>
      </c>
    </row>
    <row r="169" spans="1:11" x14ac:dyDescent="0.25">
      <c r="A169" s="2" t="s">
        <v>372</v>
      </c>
      <c r="B169" s="2" t="s">
        <v>373</v>
      </c>
      <c r="C169" s="2" t="s">
        <v>36</v>
      </c>
      <c r="D169" s="2" t="s">
        <v>55</v>
      </c>
      <c r="E169" s="4">
        <v>46177</v>
      </c>
      <c r="F169" s="4">
        <v>46180</v>
      </c>
      <c r="G169" s="5">
        <v>10300</v>
      </c>
      <c r="H169" s="5">
        <v>0</v>
      </c>
      <c r="I169" s="2" t="s">
        <v>31</v>
      </c>
      <c r="J169" s="2" t="s">
        <v>116</v>
      </c>
      <c r="K169" s="2" t="s">
        <v>109</v>
      </c>
    </row>
    <row r="170" spans="1:11" x14ac:dyDescent="0.25">
      <c r="A170" s="2" t="s">
        <v>374</v>
      </c>
      <c r="B170" s="2" t="s">
        <v>375</v>
      </c>
      <c r="C170" s="2" t="s">
        <v>36</v>
      </c>
      <c r="D170" s="2" t="s">
        <v>41</v>
      </c>
      <c r="E170" s="4">
        <v>46158</v>
      </c>
      <c r="F170" s="4">
        <v>46176</v>
      </c>
      <c r="G170" s="5">
        <v>8625</v>
      </c>
      <c r="H170" s="5"/>
      <c r="I170" s="2" t="s">
        <v>42</v>
      </c>
      <c r="J170" s="2"/>
      <c r="K170" s="2" t="s">
        <v>52</v>
      </c>
    </row>
    <row r="171" spans="1:11" x14ac:dyDescent="0.25">
      <c r="A171" s="2" t="s">
        <v>376</v>
      </c>
      <c r="B171" s="2" t="s">
        <v>377</v>
      </c>
      <c r="C171" s="2" t="s">
        <v>79</v>
      </c>
      <c r="D171" s="2" t="s">
        <v>68</v>
      </c>
      <c r="E171" s="4">
        <v>46202</v>
      </c>
      <c r="F171" s="4">
        <v>46214</v>
      </c>
      <c r="G171" s="5">
        <v>7000</v>
      </c>
      <c r="H171" s="5"/>
      <c r="I171" s="2" t="s">
        <v>42</v>
      </c>
      <c r="J171" s="2"/>
      <c r="K171" s="2" t="s">
        <v>38</v>
      </c>
    </row>
    <row r="172" spans="1:11" x14ac:dyDescent="0.25">
      <c r="A172" s="2" t="s">
        <v>378</v>
      </c>
      <c r="B172" s="2" t="s">
        <v>379</v>
      </c>
      <c r="C172" s="2" t="s">
        <v>36</v>
      </c>
      <c r="D172" s="2" t="s">
        <v>30</v>
      </c>
      <c r="E172" s="4">
        <v>46183</v>
      </c>
      <c r="F172" s="4">
        <v>46197</v>
      </c>
      <c r="G172" s="5">
        <v>1075</v>
      </c>
      <c r="H172" s="5">
        <v>0</v>
      </c>
      <c r="I172" s="2" t="s">
        <v>31</v>
      </c>
      <c r="J172" s="2" t="s">
        <v>271</v>
      </c>
      <c r="K172" s="2" t="s">
        <v>38</v>
      </c>
    </row>
    <row r="173" spans="1:11" x14ac:dyDescent="0.25">
      <c r="A173" s="2" t="s">
        <v>380</v>
      </c>
      <c r="B173" s="2" t="s">
        <v>232</v>
      </c>
      <c r="C173" s="2" t="s">
        <v>29</v>
      </c>
      <c r="D173" s="2" t="s">
        <v>41</v>
      </c>
      <c r="E173" s="4">
        <v>46230</v>
      </c>
      <c r="F173" s="4">
        <v>46235</v>
      </c>
      <c r="G173" s="5">
        <v>7350</v>
      </c>
      <c r="H173" s="5">
        <v>5529.44</v>
      </c>
      <c r="I173" s="2" t="s">
        <v>37</v>
      </c>
      <c r="J173" s="2"/>
      <c r="K173" s="2" t="s">
        <v>33</v>
      </c>
    </row>
    <row r="174" spans="1:11" x14ac:dyDescent="0.25">
      <c r="A174" s="2" t="s">
        <v>381</v>
      </c>
      <c r="B174" s="2" t="s">
        <v>382</v>
      </c>
      <c r="C174" s="2" t="s">
        <v>36</v>
      </c>
      <c r="D174" s="2" t="s">
        <v>41</v>
      </c>
      <c r="E174" s="4">
        <v>46271</v>
      </c>
      <c r="F174" s="4">
        <v>46282</v>
      </c>
      <c r="G174" s="5">
        <v>8200</v>
      </c>
      <c r="H174" s="5"/>
      <c r="I174" s="2" t="s">
        <v>42</v>
      </c>
      <c r="J174" s="2"/>
      <c r="K174" s="2" t="s">
        <v>43</v>
      </c>
    </row>
    <row r="175" spans="1:11" x14ac:dyDescent="0.25">
      <c r="A175" s="2" t="s">
        <v>383</v>
      </c>
      <c r="B175" s="2" t="s">
        <v>384</v>
      </c>
      <c r="C175" s="2" t="s">
        <v>29</v>
      </c>
      <c r="D175" s="2" t="s">
        <v>41</v>
      </c>
      <c r="E175" s="4">
        <v>46151</v>
      </c>
      <c r="F175" s="4">
        <v>46161</v>
      </c>
      <c r="G175" s="5">
        <v>6900</v>
      </c>
      <c r="H175" s="5">
        <v>3797.89</v>
      </c>
      <c r="I175" s="2" t="s">
        <v>37</v>
      </c>
      <c r="J175" s="2"/>
      <c r="K175" s="2" t="s">
        <v>83</v>
      </c>
    </row>
    <row r="176" spans="1:11" x14ac:dyDescent="0.25">
      <c r="A176" s="2" t="s">
        <v>385</v>
      </c>
      <c r="B176" s="2" t="s">
        <v>142</v>
      </c>
      <c r="C176" s="2" t="s">
        <v>46</v>
      </c>
      <c r="D176" s="2" t="s">
        <v>61</v>
      </c>
      <c r="E176" s="4">
        <v>46255</v>
      </c>
      <c r="F176" s="4">
        <v>46275</v>
      </c>
      <c r="G176" s="5">
        <v>2300</v>
      </c>
      <c r="H176" s="5"/>
      <c r="I176" s="2" t="s">
        <v>42</v>
      </c>
      <c r="J176" s="2"/>
      <c r="K176" s="2" t="s">
        <v>48</v>
      </c>
    </row>
    <row r="177" spans="1:11" x14ac:dyDescent="0.25">
      <c r="A177" s="2" t="s">
        <v>386</v>
      </c>
      <c r="B177" s="2" t="s">
        <v>387</v>
      </c>
      <c r="C177" s="2" t="s">
        <v>79</v>
      </c>
      <c r="D177" s="2" t="s">
        <v>41</v>
      </c>
      <c r="E177" s="4">
        <v>46019</v>
      </c>
      <c r="F177" s="4">
        <v>46032</v>
      </c>
      <c r="G177" s="5">
        <v>5600</v>
      </c>
      <c r="H177" s="5">
        <v>5509.06</v>
      </c>
      <c r="I177" s="2" t="s">
        <v>37</v>
      </c>
      <c r="J177" s="2"/>
      <c r="K177" s="2" t="s">
        <v>109</v>
      </c>
    </row>
    <row r="178" spans="1:11" x14ac:dyDescent="0.25">
      <c r="A178" s="2" t="s">
        <v>388</v>
      </c>
      <c r="B178" s="2" t="s">
        <v>228</v>
      </c>
      <c r="C178" s="2" t="s">
        <v>29</v>
      </c>
      <c r="D178" s="2" t="s">
        <v>61</v>
      </c>
      <c r="E178" s="4">
        <v>46262</v>
      </c>
      <c r="F178" s="4">
        <v>46274</v>
      </c>
      <c r="G178" s="5">
        <v>9750</v>
      </c>
      <c r="H178" s="5"/>
      <c r="I178" s="2" t="s">
        <v>42</v>
      </c>
      <c r="J178" s="2"/>
      <c r="K178" s="2" t="s">
        <v>43</v>
      </c>
    </row>
    <row r="179" spans="1:11" x14ac:dyDescent="0.25">
      <c r="A179" s="2" t="s">
        <v>389</v>
      </c>
      <c r="B179" s="2" t="s">
        <v>98</v>
      </c>
      <c r="C179" s="2" t="s">
        <v>79</v>
      </c>
      <c r="D179" s="2" t="s">
        <v>80</v>
      </c>
      <c r="E179" s="4">
        <v>46195</v>
      </c>
      <c r="F179" s="4">
        <v>46208</v>
      </c>
      <c r="G179" s="5">
        <v>4850</v>
      </c>
      <c r="H179" s="5"/>
      <c r="I179" s="2" t="s">
        <v>42</v>
      </c>
      <c r="J179" s="2"/>
      <c r="K179" s="2" t="s">
        <v>48</v>
      </c>
    </row>
    <row r="180" spans="1:11" x14ac:dyDescent="0.25">
      <c r="A180" s="2" t="s">
        <v>390</v>
      </c>
      <c r="B180" s="2" t="s">
        <v>391</v>
      </c>
      <c r="C180" s="2" t="s">
        <v>29</v>
      </c>
      <c r="D180" s="2" t="s">
        <v>41</v>
      </c>
      <c r="E180" s="4">
        <v>46063</v>
      </c>
      <c r="F180" s="4">
        <v>46075</v>
      </c>
      <c r="G180" s="5">
        <v>3175</v>
      </c>
      <c r="H180" s="5"/>
      <c r="I180" s="2" t="s">
        <v>42</v>
      </c>
      <c r="J180" s="2"/>
      <c r="K180" s="2" t="s">
        <v>109</v>
      </c>
    </row>
    <row r="181" spans="1:11" x14ac:dyDescent="0.25">
      <c r="A181" s="2" t="s">
        <v>392</v>
      </c>
      <c r="B181" s="2" t="s">
        <v>393</v>
      </c>
      <c r="C181" s="2" t="s">
        <v>29</v>
      </c>
      <c r="D181" s="2" t="s">
        <v>61</v>
      </c>
      <c r="E181" s="4">
        <v>46216</v>
      </c>
      <c r="F181" s="4">
        <v>46234</v>
      </c>
      <c r="G181" s="5">
        <v>1650</v>
      </c>
      <c r="H181" s="5">
        <v>1456.55</v>
      </c>
      <c r="I181" s="2" t="s">
        <v>394</v>
      </c>
      <c r="J181" s="2"/>
      <c r="K181" s="2" t="s">
        <v>62</v>
      </c>
    </row>
    <row r="182" spans="1:11" x14ac:dyDescent="0.25">
      <c r="A182" s="2" t="s">
        <v>395</v>
      </c>
      <c r="B182" s="2" t="s">
        <v>396</v>
      </c>
      <c r="C182" s="2" t="s">
        <v>79</v>
      </c>
      <c r="D182" s="2" t="s">
        <v>30</v>
      </c>
      <c r="E182" s="4">
        <v>46198</v>
      </c>
      <c r="F182" s="4">
        <v>46211</v>
      </c>
      <c r="G182" s="5">
        <v>4975</v>
      </c>
      <c r="H182" s="5">
        <v>4622.87</v>
      </c>
      <c r="I182" s="2" t="s">
        <v>37</v>
      </c>
      <c r="J182" s="2"/>
      <c r="K182" s="2" t="s">
        <v>38</v>
      </c>
    </row>
    <row r="183" spans="1:11" x14ac:dyDescent="0.25">
      <c r="A183" s="2" t="s">
        <v>397</v>
      </c>
      <c r="B183" s="2" t="s">
        <v>398</v>
      </c>
      <c r="C183" s="2" t="s">
        <v>79</v>
      </c>
      <c r="D183" s="2" t="s">
        <v>71</v>
      </c>
      <c r="E183" s="4">
        <v>46076</v>
      </c>
      <c r="F183" s="4">
        <v>46087</v>
      </c>
      <c r="G183" s="5">
        <v>4400</v>
      </c>
      <c r="H183" s="5">
        <v>3745.33</v>
      </c>
      <c r="I183" s="2" t="s">
        <v>37</v>
      </c>
      <c r="J183" s="2"/>
      <c r="K183" s="2" t="s">
        <v>65</v>
      </c>
    </row>
    <row r="184" spans="1:11" x14ac:dyDescent="0.25">
      <c r="A184" s="2" t="s">
        <v>399</v>
      </c>
      <c r="B184" s="2" t="s">
        <v>50</v>
      </c>
      <c r="C184" s="2" t="s">
        <v>79</v>
      </c>
      <c r="D184" s="2" t="s">
        <v>41</v>
      </c>
      <c r="E184" s="4">
        <v>46080</v>
      </c>
      <c r="F184" s="4">
        <v>46091</v>
      </c>
      <c r="G184" s="5">
        <v>7225</v>
      </c>
      <c r="H184" s="5">
        <v>5263.58</v>
      </c>
      <c r="I184" s="2" t="s">
        <v>37</v>
      </c>
      <c r="J184" s="2"/>
      <c r="K184" s="2" t="s">
        <v>48</v>
      </c>
    </row>
    <row r="185" spans="1:11" x14ac:dyDescent="0.25">
      <c r="A185" s="2" t="s">
        <v>400</v>
      </c>
      <c r="B185" s="2" t="s">
        <v>183</v>
      </c>
      <c r="C185" s="2" t="s">
        <v>46</v>
      </c>
      <c r="D185" s="2" t="s">
        <v>94</v>
      </c>
      <c r="E185" s="4">
        <v>46035</v>
      </c>
      <c r="F185" s="4">
        <v>46044</v>
      </c>
      <c r="G185" s="5">
        <v>7600</v>
      </c>
      <c r="H185" s="5">
        <v>6921.62</v>
      </c>
      <c r="I185" s="2" t="s">
        <v>37</v>
      </c>
      <c r="J185" s="2"/>
      <c r="K185" s="2" t="s">
        <v>83</v>
      </c>
    </row>
    <row r="186" spans="1:11" x14ac:dyDescent="0.25">
      <c r="A186" s="2" t="s">
        <v>401</v>
      </c>
      <c r="B186" s="2" t="s">
        <v>343</v>
      </c>
      <c r="C186" s="2" t="s">
        <v>46</v>
      </c>
      <c r="D186" s="2" t="s">
        <v>61</v>
      </c>
      <c r="E186" s="4">
        <v>46262</v>
      </c>
      <c r="F186" s="4">
        <v>46270</v>
      </c>
      <c r="G186" s="5">
        <v>9850</v>
      </c>
      <c r="H186" s="5">
        <v>9272.93</v>
      </c>
      <c r="I186" s="2" t="s">
        <v>37</v>
      </c>
      <c r="J186" s="2"/>
      <c r="K186" s="2" t="s">
        <v>109</v>
      </c>
    </row>
    <row r="187" spans="1:11" x14ac:dyDescent="0.25">
      <c r="A187" s="2" t="s">
        <v>402</v>
      </c>
      <c r="B187" s="2" t="s">
        <v>345</v>
      </c>
      <c r="C187" s="2" t="s">
        <v>46</v>
      </c>
      <c r="D187" s="2"/>
      <c r="E187" s="4">
        <v>46224</v>
      </c>
      <c r="F187" s="4">
        <v>46231</v>
      </c>
      <c r="G187" s="5">
        <v>10250</v>
      </c>
      <c r="H187" s="5"/>
      <c r="I187" s="2" t="s">
        <v>42</v>
      </c>
      <c r="J187" s="2"/>
      <c r="K187" s="2" t="s">
        <v>33</v>
      </c>
    </row>
    <row r="188" spans="1:11" x14ac:dyDescent="0.25">
      <c r="A188" s="2" t="s">
        <v>403</v>
      </c>
      <c r="B188" s="2" t="s">
        <v>290</v>
      </c>
      <c r="C188" s="2" t="s">
        <v>46</v>
      </c>
      <c r="D188" s="2" t="s">
        <v>94</v>
      </c>
      <c r="E188" s="4">
        <v>46241</v>
      </c>
      <c r="F188" s="4">
        <v>46249</v>
      </c>
      <c r="G188" s="5">
        <v>3025</v>
      </c>
      <c r="H188" s="5"/>
      <c r="I188" s="2" t="s">
        <v>42</v>
      </c>
      <c r="J188" s="2"/>
      <c r="K188" s="2" t="s">
        <v>38</v>
      </c>
    </row>
    <row r="189" spans="1:11" x14ac:dyDescent="0.25">
      <c r="A189" s="2" t="s">
        <v>404</v>
      </c>
      <c r="B189" s="2" t="s">
        <v>405</v>
      </c>
      <c r="C189" s="2" t="s">
        <v>79</v>
      </c>
      <c r="D189" s="2" t="s">
        <v>61</v>
      </c>
      <c r="E189" s="4">
        <v>46077</v>
      </c>
      <c r="F189" s="4">
        <v>46084</v>
      </c>
      <c r="G189" s="5">
        <v>8575</v>
      </c>
      <c r="H189" s="5"/>
      <c r="I189" s="2" t="s">
        <v>42</v>
      </c>
      <c r="J189" s="2"/>
      <c r="K189" s="2" t="s">
        <v>38</v>
      </c>
    </row>
    <row r="190" spans="1:11" x14ac:dyDescent="0.25">
      <c r="A190" s="2" t="s">
        <v>406</v>
      </c>
      <c r="B190" s="2" t="s">
        <v>407</v>
      </c>
      <c r="C190" s="2" t="s">
        <v>36</v>
      </c>
      <c r="D190" s="2" t="s">
        <v>41</v>
      </c>
      <c r="E190" s="4">
        <v>46150</v>
      </c>
      <c r="F190" s="4">
        <v>46163</v>
      </c>
      <c r="G190" s="5">
        <v>6125</v>
      </c>
      <c r="H190" s="5">
        <v>4888.76</v>
      </c>
      <c r="I190" s="2" t="s">
        <v>37</v>
      </c>
      <c r="J190" s="2"/>
      <c r="K190" s="2" t="s">
        <v>56</v>
      </c>
    </row>
    <row r="191" spans="1:11" x14ac:dyDescent="0.25">
      <c r="A191" s="2" t="s">
        <v>408</v>
      </c>
      <c r="B191" s="2" t="s">
        <v>409</v>
      </c>
      <c r="C191" s="2" t="s">
        <v>29</v>
      </c>
      <c r="D191" s="2" t="s">
        <v>30</v>
      </c>
      <c r="E191" s="4">
        <v>46176</v>
      </c>
      <c r="F191" s="4">
        <v>46181</v>
      </c>
      <c r="G191" s="5">
        <v>400</v>
      </c>
      <c r="H191" s="5">
        <v>399.49</v>
      </c>
      <c r="I191" s="2" t="s">
        <v>37</v>
      </c>
      <c r="J191" s="2"/>
      <c r="K191" s="2" t="s">
        <v>38</v>
      </c>
    </row>
    <row r="192" spans="1:11" x14ac:dyDescent="0.25">
      <c r="A192" s="2" t="s">
        <v>410</v>
      </c>
      <c r="B192" s="2" t="s">
        <v>411</v>
      </c>
      <c r="C192" s="2" t="s">
        <v>46</v>
      </c>
      <c r="D192" s="2" t="s">
        <v>61</v>
      </c>
      <c r="E192" s="4">
        <v>46182</v>
      </c>
      <c r="F192" s="4">
        <v>46202</v>
      </c>
      <c r="G192" s="5">
        <v>10425</v>
      </c>
      <c r="H192" s="5">
        <v>8626.8799999999992</v>
      </c>
      <c r="I192" s="2" t="s">
        <v>37</v>
      </c>
      <c r="J192" s="2"/>
      <c r="K192" s="2" t="s">
        <v>62</v>
      </c>
    </row>
    <row r="193" spans="1:11" x14ac:dyDescent="0.25">
      <c r="A193" s="2" t="s">
        <v>412</v>
      </c>
      <c r="B193" s="2" t="s">
        <v>413</v>
      </c>
      <c r="C193" s="2" t="s">
        <v>36</v>
      </c>
      <c r="D193" s="2" t="s">
        <v>41</v>
      </c>
      <c r="E193" s="4">
        <v>46133</v>
      </c>
      <c r="F193" s="4">
        <v>46150</v>
      </c>
      <c r="G193" s="5">
        <v>14900</v>
      </c>
      <c r="H193" s="5"/>
      <c r="I193" s="2" t="s">
        <v>42</v>
      </c>
      <c r="J193" s="2"/>
      <c r="K193" s="2" t="s">
        <v>56</v>
      </c>
    </row>
    <row r="194" spans="1:11" x14ac:dyDescent="0.25">
      <c r="A194" s="2" t="s">
        <v>414</v>
      </c>
      <c r="B194" s="2" t="s">
        <v>270</v>
      </c>
      <c r="C194" s="2" t="s">
        <v>46</v>
      </c>
      <c r="D194" s="2" t="s">
        <v>41</v>
      </c>
      <c r="E194" s="4">
        <v>46089</v>
      </c>
      <c r="F194" s="4">
        <v>46109</v>
      </c>
      <c r="G194" s="5">
        <v>3325</v>
      </c>
      <c r="H194" s="5">
        <v>1864.65</v>
      </c>
      <c r="I194" s="2" t="s">
        <v>37</v>
      </c>
      <c r="J194" s="2"/>
      <c r="K194" s="2" t="s">
        <v>65</v>
      </c>
    </row>
    <row r="195" spans="1:11" x14ac:dyDescent="0.25">
      <c r="A195" s="2" t="s">
        <v>415</v>
      </c>
      <c r="B195" s="2" t="s">
        <v>241</v>
      </c>
      <c r="C195" s="2" t="s">
        <v>46</v>
      </c>
      <c r="D195" s="2" t="s">
        <v>80</v>
      </c>
      <c r="E195" s="4">
        <v>46019</v>
      </c>
      <c r="F195" s="4">
        <v>46028</v>
      </c>
      <c r="G195" s="5">
        <v>1925</v>
      </c>
      <c r="H195" s="5"/>
      <c r="I195" s="2" t="s">
        <v>42</v>
      </c>
      <c r="J195" s="2"/>
      <c r="K195" s="2" t="s">
        <v>65</v>
      </c>
    </row>
    <row r="196" spans="1:11" x14ac:dyDescent="0.25">
      <c r="A196" s="2" t="s">
        <v>416</v>
      </c>
      <c r="B196" s="2" t="s">
        <v>417</v>
      </c>
      <c r="C196" s="2" t="s">
        <v>36</v>
      </c>
      <c r="D196" s="2" t="s">
        <v>94</v>
      </c>
      <c r="E196" s="4">
        <v>46215</v>
      </c>
      <c r="F196" s="4">
        <v>46227</v>
      </c>
      <c r="G196" s="5">
        <v>13900</v>
      </c>
      <c r="H196" s="5"/>
      <c r="I196" s="2" t="s">
        <v>42</v>
      </c>
      <c r="J196" s="2"/>
      <c r="K196" s="2" t="s">
        <v>65</v>
      </c>
    </row>
    <row r="197" spans="1:11" x14ac:dyDescent="0.25">
      <c r="A197" s="2" t="s">
        <v>418</v>
      </c>
      <c r="B197" s="2" t="s">
        <v>216</v>
      </c>
      <c r="C197" s="2" t="s">
        <v>36</v>
      </c>
      <c r="D197" s="2" t="s">
        <v>41</v>
      </c>
      <c r="E197" s="4">
        <v>46212</v>
      </c>
      <c r="F197" s="4">
        <v>46228</v>
      </c>
      <c r="G197" s="5">
        <v>6700</v>
      </c>
      <c r="H197" s="5"/>
      <c r="I197" s="2" t="s">
        <v>42</v>
      </c>
      <c r="J197" s="2"/>
      <c r="K197" s="2" t="s">
        <v>33</v>
      </c>
    </row>
    <row r="198" spans="1:11" x14ac:dyDescent="0.25">
      <c r="A198" s="2" t="s">
        <v>419</v>
      </c>
      <c r="B198" s="2" t="s">
        <v>206</v>
      </c>
      <c r="C198" s="2" t="s">
        <v>29</v>
      </c>
      <c r="D198" s="2" t="s">
        <v>61</v>
      </c>
      <c r="E198" s="4">
        <v>46126</v>
      </c>
      <c r="F198" s="4">
        <v>46139</v>
      </c>
      <c r="G198" s="5">
        <v>10225</v>
      </c>
      <c r="H198" s="5">
        <v>6897.49</v>
      </c>
      <c r="I198" s="2" t="s">
        <v>37</v>
      </c>
      <c r="J198" s="2"/>
      <c r="K198" s="2" t="s">
        <v>62</v>
      </c>
    </row>
    <row r="199" spans="1:11" x14ac:dyDescent="0.25">
      <c r="A199" s="2" t="s">
        <v>420</v>
      </c>
      <c r="B199" s="2" t="s">
        <v>421</v>
      </c>
      <c r="C199" s="2" t="s">
        <v>79</v>
      </c>
      <c r="D199" s="2" t="s">
        <v>30</v>
      </c>
      <c r="E199" s="4">
        <v>46044</v>
      </c>
      <c r="F199" s="4">
        <v>46057</v>
      </c>
      <c r="G199" s="5">
        <v>2700</v>
      </c>
      <c r="H199" s="5">
        <v>1703.8</v>
      </c>
      <c r="I199" s="2" t="s">
        <v>37</v>
      </c>
      <c r="J199" s="2"/>
      <c r="K199" s="2" t="s">
        <v>43</v>
      </c>
    </row>
    <row r="200" spans="1:11" x14ac:dyDescent="0.25">
      <c r="A200" s="2" t="s">
        <v>422</v>
      </c>
      <c r="B200" s="2" t="s">
        <v>423</v>
      </c>
      <c r="C200" s="2" t="s">
        <v>36</v>
      </c>
      <c r="D200" s="2" t="s">
        <v>55</v>
      </c>
      <c r="E200" s="4">
        <v>46099</v>
      </c>
      <c r="F200" s="4">
        <v>46113</v>
      </c>
      <c r="G200" s="5">
        <v>3000</v>
      </c>
      <c r="H200" s="5">
        <v>1896.16</v>
      </c>
      <c r="I200" s="2" t="s">
        <v>37</v>
      </c>
      <c r="J200" s="2"/>
      <c r="K200" s="2" t="s">
        <v>56</v>
      </c>
    </row>
    <row r="201" spans="1:11" x14ac:dyDescent="0.25">
      <c r="A201" s="2" t="s">
        <v>424</v>
      </c>
      <c r="B201" s="2" t="s">
        <v>425</v>
      </c>
      <c r="C201" s="2" t="s">
        <v>79</v>
      </c>
      <c r="D201" s="2" t="s">
        <v>41</v>
      </c>
      <c r="E201" s="4">
        <v>46223</v>
      </c>
      <c r="F201" s="4">
        <v>46229</v>
      </c>
      <c r="G201" s="5">
        <v>8525</v>
      </c>
      <c r="H201" s="5"/>
      <c r="I201" s="2" t="s">
        <v>42</v>
      </c>
      <c r="J201" s="2"/>
      <c r="K201" s="2" t="s">
        <v>33</v>
      </c>
    </row>
    <row r="202" spans="1:11" x14ac:dyDescent="0.25">
      <c r="A202" s="2" t="s">
        <v>426</v>
      </c>
      <c r="B202" s="2" t="s">
        <v>427</v>
      </c>
      <c r="C202" s="2" t="s">
        <v>79</v>
      </c>
      <c r="D202" s="2" t="s">
        <v>30</v>
      </c>
      <c r="E202" s="4">
        <v>46182</v>
      </c>
      <c r="F202" s="4">
        <v>46187</v>
      </c>
      <c r="G202" s="5">
        <v>3050</v>
      </c>
      <c r="H202" s="5">
        <v>2327.17</v>
      </c>
      <c r="I202" s="2" t="s">
        <v>37</v>
      </c>
      <c r="J202" s="2"/>
      <c r="K202" s="2" t="s">
        <v>33</v>
      </c>
    </row>
    <row r="203" spans="1:11" x14ac:dyDescent="0.25">
      <c r="A203" s="2" t="s">
        <v>428</v>
      </c>
      <c r="B203" s="2" t="s">
        <v>360</v>
      </c>
      <c r="C203" s="2" t="s">
        <v>79</v>
      </c>
      <c r="D203" s="2" t="s">
        <v>80</v>
      </c>
      <c r="E203" s="4">
        <v>46157</v>
      </c>
      <c r="F203" s="4">
        <v>46162</v>
      </c>
      <c r="G203" s="5">
        <v>10275</v>
      </c>
      <c r="H203" s="5"/>
      <c r="I203" s="2" t="s">
        <v>429</v>
      </c>
      <c r="J203" s="2"/>
      <c r="K203" s="2" t="s">
        <v>83</v>
      </c>
    </row>
    <row r="204" spans="1:11" x14ac:dyDescent="0.25">
      <c r="A204" s="2" t="s">
        <v>430</v>
      </c>
      <c r="B204" s="2" t="s">
        <v>431</v>
      </c>
      <c r="C204" s="2" t="s">
        <v>79</v>
      </c>
      <c r="D204" s="2" t="s">
        <v>30</v>
      </c>
      <c r="E204" s="4">
        <v>46021</v>
      </c>
      <c r="F204" s="4">
        <v>46028</v>
      </c>
      <c r="G204" s="5">
        <v>9975</v>
      </c>
      <c r="H204" s="5"/>
      <c r="I204" s="2" t="s">
        <v>42</v>
      </c>
      <c r="J204" s="2"/>
      <c r="K204" s="2" t="s">
        <v>52</v>
      </c>
    </row>
    <row r="205" spans="1:11" x14ac:dyDescent="0.25">
      <c r="A205" s="2" t="s">
        <v>432</v>
      </c>
      <c r="B205" s="2" t="s">
        <v>433</v>
      </c>
      <c r="C205" s="2" t="s">
        <v>36</v>
      </c>
      <c r="D205" s="2" t="s">
        <v>41</v>
      </c>
      <c r="E205" s="4">
        <v>46232</v>
      </c>
      <c r="F205" s="4">
        <v>46248</v>
      </c>
      <c r="G205" s="5">
        <v>13200</v>
      </c>
      <c r="H205" s="5"/>
      <c r="I205" s="2" t="s">
        <v>42</v>
      </c>
      <c r="J205" s="2"/>
      <c r="K205" s="2" t="s">
        <v>65</v>
      </c>
    </row>
    <row r="206" spans="1:11" x14ac:dyDescent="0.25">
      <c r="A206" s="2" t="s">
        <v>434</v>
      </c>
      <c r="B206" s="2" t="s">
        <v>127</v>
      </c>
      <c r="C206" s="2" t="s">
        <v>79</v>
      </c>
      <c r="D206" s="2" t="s">
        <v>55</v>
      </c>
      <c r="E206" s="4">
        <v>46229</v>
      </c>
      <c r="F206" s="4">
        <v>46246</v>
      </c>
      <c r="G206" s="5">
        <v>11025</v>
      </c>
      <c r="H206" s="5"/>
      <c r="I206" s="2" t="s">
        <v>42</v>
      </c>
      <c r="J206" s="2"/>
      <c r="K206" s="2" t="s">
        <v>83</v>
      </c>
    </row>
    <row r="207" spans="1:11" x14ac:dyDescent="0.25">
      <c r="A207" s="2" t="s">
        <v>435</v>
      </c>
      <c r="B207" s="2" t="s">
        <v>436</v>
      </c>
      <c r="C207" s="2" t="s">
        <v>36</v>
      </c>
      <c r="D207" s="2" t="s">
        <v>94</v>
      </c>
      <c r="E207" s="4">
        <v>46025</v>
      </c>
      <c r="F207" s="4">
        <v>46044</v>
      </c>
      <c r="G207" s="5">
        <v>1100</v>
      </c>
      <c r="H207" s="5">
        <v>745.67</v>
      </c>
      <c r="I207" s="2" t="s">
        <v>37</v>
      </c>
      <c r="J207" s="2"/>
      <c r="K207" s="2" t="s">
        <v>33</v>
      </c>
    </row>
    <row r="208" spans="1:11" x14ac:dyDescent="0.25">
      <c r="A208" s="2" t="s">
        <v>437</v>
      </c>
      <c r="B208" s="2" t="s">
        <v>98</v>
      </c>
      <c r="C208" s="2" t="s">
        <v>46</v>
      </c>
      <c r="D208" s="2" t="s">
        <v>41</v>
      </c>
      <c r="E208" s="4">
        <v>46280</v>
      </c>
      <c r="F208" s="4">
        <v>46297</v>
      </c>
      <c r="G208" s="5">
        <v>8700</v>
      </c>
      <c r="H208" s="5"/>
      <c r="I208" s="2" t="s">
        <v>42</v>
      </c>
      <c r="J208" s="2"/>
      <c r="K208" s="2" t="s">
        <v>65</v>
      </c>
    </row>
    <row r="209" spans="1:11" x14ac:dyDescent="0.25">
      <c r="A209" s="2" t="s">
        <v>438</v>
      </c>
      <c r="B209" s="2" t="s">
        <v>290</v>
      </c>
      <c r="C209" s="2" t="s">
        <v>29</v>
      </c>
      <c r="D209" s="2" t="s">
        <v>309</v>
      </c>
      <c r="E209" s="4">
        <v>46224</v>
      </c>
      <c r="F209" s="4">
        <v>46228</v>
      </c>
      <c r="G209" s="5">
        <v>3525</v>
      </c>
      <c r="H209" s="5"/>
      <c r="I209" s="2" t="s">
        <v>42</v>
      </c>
      <c r="J209" s="2"/>
      <c r="K209" s="2" t="s">
        <v>33</v>
      </c>
    </row>
    <row r="210" spans="1:11" x14ac:dyDescent="0.25">
      <c r="A210" s="2" t="s">
        <v>439</v>
      </c>
      <c r="B210" s="2" t="s">
        <v>144</v>
      </c>
      <c r="C210" s="2" t="s">
        <v>36</v>
      </c>
      <c r="D210" s="2" t="s">
        <v>68</v>
      </c>
      <c r="E210" s="4">
        <v>46089</v>
      </c>
      <c r="F210" s="4">
        <v>46095</v>
      </c>
      <c r="G210" s="5">
        <v>2950</v>
      </c>
      <c r="H210" s="5">
        <v>0</v>
      </c>
      <c r="I210" s="2" t="s">
        <v>31</v>
      </c>
      <c r="J210" s="2" t="s">
        <v>347</v>
      </c>
      <c r="K210" s="2" t="s">
        <v>62</v>
      </c>
    </row>
    <row r="211" spans="1:11" x14ac:dyDescent="0.25">
      <c r="A211" s="2" t="s">
        <v>440</v>
      </c>
      <c r="B211" s="2" t="s">
        <v>362</v>
      </c>
      <c r="C211" s="2" t="s">
        <v>46</v>
      </c>
      <c r="D211" s="2" t="s">
        <v>441</v>
      </c>
      <c r="E211" s="4">
        <v>46274</v>
      </c>
      <c r="F211" s="4">
        <v>46288</v>
      </c>
      <c r="G211" s="5">
        <v>11900</v>
      </c>
      <c r="H211" s="5">
        <v>8830.7199999999993</v>
      </c>
      <c r="I211" s="2" t="s">
        <v>37</v>
      </c>
      <c r="J211" s="2"/>
      <c r="K211" s="2" t="s">
        <v>43</v>
      </c>
    </row>
    <row r="212" spans="1:11" x14ac:dyDescent="0.25">
      <c r="A212" s="2" t="s">
        <v>442</v>
      </c>
      <c r="B212" s="2" t="s">
        <v>170</v>
      </c>
      <c r="C212" s="2" t="s">
        <v>29</v>
      </c>
      <c r="D212" s="2" t="s">
        <v>80</v>
      </c>
      <c r="E212" s="4">
        <v>46054</v>
      </c>
      <c r="F212" s="4">
        <v>46060</v>
      </c>
      <c r="G212" s="5">
        <v>14500</v>
      </c>
      <c r="H212" s="5">
        <v>13696.07</v>
      </c>
      <c r="I212" s="2" t="s">
        <v>37</v>
      </c>
      <c r="J212" s="2"/>
      <c r="K212" s="2" t="s">
        <v>83</v>
      </c>
    </row>
    <row r="213" spans="1:11" x14ac:dyDescent="0.25">
      <c r="A213" s="2" t="s">
        <v>443</v>
      </c>
      <c r="B213" s="2" t="s">
        <v>259</v>
      </c>
      <c r="C213" s="2" t="s">
        <v>79</v>
      </c>
      <c r="D213" s="2" t="s">
        <v>80</v>
      </c>
      <c r="E213" s="4">
        <v>46049</v>
      </c>
      <c r="F213" s="4">
        <v>46056</v>
      </c>
      <c r="G213" s="5">
        <v>9650</v>
      </c>
      <c r="H213" s="5">
        <v>9341.0499999999993</v>
      </c>
      <c r="I213" s="2" t="s">
        <v>37</v>
      </c>
      <c r="J213" s="2"/>
      <c r="K213" s="2" t="s">
        <v>48</v>
      </c>
    </row>
    <row r="214" spans="1:11" x14ac:dyDescent="0.25">
      <c r="A214" s="2" t="s">
        <v>444</v>
      </c>
      <c r="B214" s="2" t="s">
        <v>362</v>
      </c>
      <c r="C214" s="2" t="s">
        <v>36</v>
      </c>
      <c r="D214" s="2" t="s">
        <v>41</v>
      </c>
      <c r="E214" s="4">
        <v>46228</v>
      </c>
      <c r="F214" s="4">
        <v>46236</v>
      </c>
      <c r="G214" s="5">
        <v>10225</v>
      </c>
      <c r="H214" s="5">
        <v>7766.46</v>
      </c>
      <c r="I214" s="2" t="s">
        <v>37</v>
      </c>
      <c r="J214" s="2"/>
      <c r="K214" s="2" t="s">
        <v>43</v>
      </c>
    </row>
    <row r="215" spans="1:11" x14ac:dyDescent="0.25">
      <c r="A215" s="2" t="s">
        <v>445</v>
      </c>
      <c r="B215" s="2" t="s">
        <v>446</v>
      </c>
      <c r="C215" s="2" t="s">
        <v>29</v>
      </c>
      <c r="D215" s="2" t="s">
        <v>41</v>
      </c>
      <c r="E215" s="4">
        <v>46282</v>
      </c>
      <c r="F215" s="4">
        <v>46295</v>
      </c>
      <c r="G215" s="5">
        <v>5325</v>
      </c>
      <c r="H215" s="5"/>
      <c r="I215" s="2" t="s">
        <v>42</v>
      </c>
      <c r="J215" s="2"/>
      <c r="K215" s="2" t="s">
        <v>52</v>
      </c>
    </row>
    <row r="216" spans="1:11" x14ac:dyDescent="0.25">
      <c r="A216" s="2" t="s">
        <v>447</v>
      </c>
      <c r="B216" s="2" t="s">
        <v>393</v>
      </c>
      <c r="C216" s="2" t="s">
        <v>29</v>
      </c>
      <c r="D216" s="2" t="s">
        <v>41</v>
      </c>
      <c r="E216" s="4">
        <v>46173</v>
      </c>
      <c r="F216" s="4">
        <v>46184</v>
      </c>
      <c r="G216" s="5">
        <v>5625</v>
      </c>
      <c r="H216" s="5">
        <v>3417.82</v>
      </c>
      <c r="I216" s="2" t="s">
        <v>37</v>
      </c>
      <c r="J216" s="2"/>
      <c r="K216" s="2" t="s">
        <v>62</v>
      </c>
    </row>
    <row r="217" spans="1:11" x14ac:dyDescent="0.25">
      <c r="A217" s="2" t="s">
        <v>448</v>
      </c>
      <c r="B217" s="2" t="s">
        <v>87</v>
      </c>
      <c r="C217" s="2" t="s">
        <v>79</v>
      </c>
      <c r="D217" s="2" t="s">
        <v>68</v>
      </c>
      <c r="E217" s="4">
        <v>46071</v>
      </c>
      <c r="F217" s="4">
        <v>46082</v>
      </c>
      <c r="G217" s="5">
        <v>9100</v>
      </c>
      <c r="H217" s="5">
        <v>5808.26</v>
      </c>
      <c r="I217" s="2" t="s">
        <v>37</v>
      </c>
      <c r="J217" s="2"/>
      <c r="K217" s="2" t="s">
        <v>52</v>
      </c>
    </row>
    <row r="218" spans="1:11" x14ac:dyDescent="0.25">
      <c r="A218" s="2" t="s">
        <v>449</v>
      </c>
      <c r="B218" s="2" t="s">
        <v>450</v>
      </c>
      <c r="C218" s="2" t="s">
        <v>29</v>
      </c>
      <c r="D218" s="2" t="s">
        <v>61</v>
      </c>
      <c r="E218" s="4">
        <v>46165</v>
      </c>
      <c r="F218" s="4">
        <v>46181</v>
      </c>
      <c r="G218" s="5">
        <v>5400</v>
      </c>
      <c r="H218" s="5">
        <v>4002.07</v>
      </c>
      <c r="I218" s="2" t="s">
        <v>37</v>
      </c>
      <c r="J218" s="2"/>
      <c r="K218" s="2" t="s">
        <v>33</v>
      </c>
    </row>
    <row r="219" spans="1:11" x14ac:dyDescent="0.25">
      <c r="A219" s="2" t="s">
        <v>451</v>
      </c>
      <c r="B219" s="2" t="s">
        <v>452</v>
      </c>
      <c r="C219" s="2" t="s">
        <v>29</v>
      </c>
      <c r="D219" s="2" t="s">
        <v>61</v>
      </c>
      <c r="E219" s="4">
        <v>46276</v>
      </c>
      <c r="F219" s="4">
        <v>46282</v>
      </c>
      <c r="G219" s="5">
        <v>2725</v>
      </c>
      <c r="H219" s="5"/>
      <c r="I219" s="2" t="s">
        <v>42</v>
      </c>
      <c r="J219" s="2"/>
      <c r="K219" s="2" t="s">
        <v>109</v>
      </c>
    </row>
    <row r="220" spans="1:11" x14ac:dyDescent="0.25">
      <c r="A220" s="2" t="s">
        <v>453</v>
      </c>
      <c r="B220" s="2" t="s">
        <v>454</v>
      </c>
      <c r="C220" s="2" t="s">
        <v>36</v>
      </c>
      <c r="D220" s="2" t="s">
        <v>68</v>
      </c>
      <c r="E220" s="4">
        <v>46071</v>
      </c>
      <c r="F220" s="4">
        <v>46083</v>
      </c>
      <c r="G220" s="5">
        <v>3450</v>
      </c>
      <c r="H220" s="5"/>
      <c r="I220" s="2" t="s">
        <v>42</v>
      </c>
      <c r="J220" s="2"/>
      <c r="K220" s="2" t="s">
        <v>65</v>
      </c>
    </row>
    <row r="221" spans="1:11" x14ac:dyDescent="0.25">
      <c r="A221" s="2" t="s">
        <v>455</v>
      </c>
      <c r="B221" s="2" t="s">
        <v>45</v>
      </c>
      <c r="C221" s="2" t="s">
        <v>36</v>
      </c>
      <c r="D221" s="2" t="s">
        <v>55</v>
      </c>
      <c r="E221" s="4">
        <v>46120</v>
      </c>
      <c r="F221" s="4">
        <v>46138</v>
      </c>
      <c r="G221" s="5">
        <v>10200</v>
      </c>
      <c r="H221" s="5">
        <v>6621.55</v>
      </c>
      <c r="I221" s="2" t="s">
        <v>37</v>
      </c>
      <c r="J221" s="2"/>
      <c r="K221" s="2" t="s">
        <v>52</v>
      </c>
    </row>
    <row r="222" spans="1:11" x14ac:dyDescent="0.25">
      <c r="A222" s="2" t="s">
        <v>456</v>
      </c>
      <c r="B222" s="2" t="s">
        <v>457</v>
      </c>
      <c r="C222" s="2" t="s">
        <v>36</v>
      </c>
      <c r="D222" s="2" t="s">
        <v>55</v>
      </c>
      <c r="E222" s="4">
        <v>46150</v>
      </c>
      <c r="F222" s="4">
        <v>46167</v>
      </c>
      <c r="G222" s="5">
        <v>7150</v>
      </c>
      <c r="H222" s="5">
        <v>6094.86</v>
      </c>
      <c r="I222" s="2" t="s">
        <v>37</v>
      </c>
      <c r="J222" s="2"/>
      <c r="K222" s="2" t="s">
        <v>33</v>
      </c>
    </row>
    <row r="223" spans="1:11" x14ac:dyDescent="0.25">
      <c r="A223" s="2" t="s">
        <v>458</v>
      </c>
      <c r="B223" s="2" t="s">
        <v>417</v>
      </c>
      <c r="C223" s="2" t="s">
        <v>36</v>
      </c>
      <c r="D223" s="2" t="s">
        <v>30</v>
      </c>
      <c r="E223" s="4">
        <v>46136</v>
      </c>
      <c r="F223" s="4">
        <v>46151</v>
      </c>
      <c r="G223" s="5">
        <v>11050</v>
      </c>
      <c r="H223" s="5">
        <v>10453.82</v>
      </c>
      <c r="I223" s="2" t="s">
        <v>37</v>
      </c>
      <c r="J223" s="2"/>
      <c r="K223" s="2" t="s">
        <v>48</v>
      </c>
    </row>
    <row r="224" spans="1:11" x14ac:dyDescent="0.25">
      <c r="A224" s="2" t="s">
        <v>459</v>
      </c>
      <c r="B224" s="2" t="s">
        <v>460</v>
      </c>
      <c r="C224" s="2" t="s">
        <v>46</v>
      </c>
      <c r="D224" s="2" t="s">
        <v>41</v>
      </c>
      <c r="E224" s="4">
        <v>46246</v>
      </c>
      <c r="F224" s="4">
        <v>46255</v>
      </c>
      <c r="G224" s="5">
        <v>2550</v>
      </c>
      <c r="H224" s="5"/>
      <c r="I224" s="2" t="s">
        <v>42</v>
      </c>
      <c r="J224" s="2"/>
      <c r="K224" s="2" t="s">
        <v>109</v>
      </c>
    </row>
    <row r="225" spans="1:11" x14ac:dyDescent="0.25">
      <c r="A225" s="2" t="s">
        <v>461</v>
      </c>
      <c r="B225" s="2" t="s">
        <v>164</v>
      </c>
      <c r="C225" s="2" t="s">
        <v>29</v>
      </c>
      <c r="D225" s="2" t="s">
        <v>68</v>
      </c>
      <c r="E225" s="4">
        <v>46196</v>
      </c>
      <c r="F225" s="4">
        <v>46199</v>
      </c>
      <c r="G225" s="5">
        <v>4275</v>
      </c>
      <c r="H225" s="5">
        <v>3245.49</v>
      </c>
      <c r="I225" s="2" t="s">
        <v>37</v>
      </c>
      <c r="J225" s="2"/>
      <c r="K225" s="2" t="s">
        <v>109</v>
      </c>
    </row>
    <row r="226" spans="1:11" x14ac:dyDescent="0.25">
      <c r="A226" s="2" t="s">
        <v>462</v>
      </c>
      <c r="B226" s="2" t="s">
        <v>463</v>
      </c>
      <c r="C226" s="2" t="s">
        <v>29</v>
      </c>
      <c r="D226" s="2" t="s">
        <v>80</v>
      </c>
      <c r="E226" s="4">
        <v>46044</v>
      </c>
      <c r="F226" s="4">
        <v>46054</v>
      </c>
      <c r="G226" s="5">
        <v>825</v>
      </c>
      <c r="H226" s="5"/>
      <c r="I226" s="2" t="s">
        <v>42</v>
      </c>
      <c r="J226" s="2"/>
      <c r="K226" s="2" t="s">
        <v>83</v>
      </c>
    </row>
    <row r="227" spans="1:11" x14ac:dyDescent="0.25">
      <c r="A227" s="2" t="s">
        <v>464</v>
      </c>
      <c r="B227" s="2" t="s">
        <v>465</v>
      </c>
      <c r="C227" s="2" t="s">
        <v>29</v>
      </c>
      <c r="D227" s="2" t="s">
        <v>80</v>
      </c>
      <c r="E227" s="4">
        <v>46075</v>
      </c>
      <c r="F227" s="4">
        <v>46079</v>
      </c>
      <c r="G227" s="5">
        <v>2000</v>
      </c>
      <c r="H227" s="5"/>
      <c r="I227" s="2" t="s">
        <v>42</v>
      </c>
      <c r="J227" s="2"/>
      <c r="K227" s="2" t="s">
        <v>43</v>
      </c>
    </row>
    <row r="228" spans="1:11" x14ac:dyDescent="0.25">
      <c r="A228" s="2" t="s">
        <v>466</v>
      </c>
      <c r="B228" s="2" t="s">
        <v>467</v>
      </c>
      <c r="C228" s="2" t="s">
        <v>29</v>
      </c>
      <c r="D228" s="2" t="s">
        <v>41</v>
      </c>
      <c r="E228" s="4">
        <v>46279</v>
      </c>
      <c r="F228" s="4">
        <v>46288</v>
      </c>
      <c r="G228" s="5">
        <v>13025</v>
      </c>
      <c r="H228" s="5"/>
      <c r="I228" s="2" t="s">
        <v>42</v>
      </c>
      <c r="J228" s="2"/>
      <c r="K228" s="2" t="s">
        <v>48</v>
      </c>
    </row>
    <row r="229" spans="1:11" x14ac:dyDescent="0.25">
      <c r="A229" s="2" t="s">
        <v>468</v>
      </c>
      <c r="B229" s="2" t="s">
        <v>469</v>
      </c>
      <c r="C229" s="2" t="s">
        <v>36</v>
      </c>
      <c r="D229" s="2" t="s">
        <v>55</v>
      </c>
      <c r="E229" s="4">
        <v>46016</v>
      </c>
      <c r="F229" s="4">
        <v>46024</v>
      </c>
      <c r="G229" s="5">
        <v>6775</v>
      </c>
      <c r="H229" s="5">
        <v>0</v>
      </c>
      <c r="I229" s="2" t="s">
        <v>31</v>
      </c>
      <c r="J229" s="2" t="s">
        <v>47</v>
      </c>
      <c r="K229" s="2" t="s">
        <v>33</v>
      </c>
    </row>
    <row r="230" spans="1:11" x14ac:dyDescent="0.25">
      <c r="A230" s="2" t="s">
        <v>468</v>
      </c>
      <c r="B230" s="2" t="s">
        <v>469</v>
      </c>
      <c r="C230" s="2" t="s">
        <v>36</v>
      </c>
      <c r="D230" s="2" t="s">
        <v>55</v>
      </c>
      <c r="E230" s="4">
        <v>46016</v>
      </c>
      <c r="F230" s="4">
        <v>46024</v>
      </c>
      <c r="G230" s="5">
        <v>6775</v>
      </c>
      <c r="H230" s="5">
        <v>0</v>
      </c>
      <c r="I230" s="2" t="s">
        <v>31</v>
      </c>
      <c r="J230" s="2" t="s">
        <v>47</v>
      </c>
      <c r="K230" s="2" t="s">
        <v>33</v>
      </c>
    </row>
    <row r="231" spans="1:11" x14ac:dyDescent="0.25">
      <c r="A231" s="2" t="s">
        <v>470</v>
      </c>
      <c r="B231" s="2" t="s">
        <v>471</v>
      </c>
      <c r="C231" s="2" t="s">
        <v>36</v>
      </c>
      <c r="D231" s="2" t="s">
        <v>41</v>
      </c>
      <c r="E231" s="4">
        <v>46017</v>
      </c>
      <c r="F231" s="4">
        <v>46031</v>
      </c>
      <c r="G231" s="5">
        <v>9650</v>
      </c>
      <c r="H231" s="5"/>
      <c r="I231" s="2" t="s">
        <v>42</v>
      </c>
      <c r="J231" s="2"/>
      <c r="K231" s="2" t="s">
        <v>472</v>
      </c>
    </row>
    <row r="232" spans="1:11" x14ac:dyDescent="0.25">
      <c r="A232" s="2" t="s">
        <v>473</v>
      </c>
      <c r="B232" s="2" t="s">
        <v>474</v>
      </c>
      <c r="C232" s="2" t="s">
        <v>36</v>
      </c>
      <c r="D232" s="2" t="s">
        <v>61</v>
      </c>
      <c r="E232" s="4">
        <v>46277</v>
      </c>
      <c r="F232" s="4">
        <v>46297</v>
      </c>
      <c r="G232" s="5">
        <v>13950</v>
      </c>
      <c r="H232" s="5"/>
      <c r="I232" s="2" t="s">
        <v>42</v>
      </c>
      <c r="J232" s="2"/>
      <c r="K232" s="2" t="s">
        <v>83</v>
      </c>
    </row>
    <row r="233" spans="1:11" x14ac:dyDescent="0.25">
      <c r="A233" s="2" t="s">
        <v>475</v>
      </c>
      <c r="B233" s="2" t="s">
        <v>476</v>
      </c>
      <c r="C233" s="2" t="s">
        <v>46</v>
      </c>
      <c r="D233" s="2" t="s">
        <v>61</v>
      </c>
      <c r="E233" s="4">
        <v>46081</v>
      </c>
      <c r="F233" s="4">
        <v>46086</v>
      </c>
      <c r="G233" s="5">
        <v>14825</v>
      </c>
      <c r="H233" s="5">
        <v>11554.14</v>
      </c>
      <c r="I233" s="2" t="s">
        <v>37</v>
      </c>
      <c r="J233" s="2"/>
      <c r="K233" s="2" t="s">
        <v>43</v>
      </c>
    </row>
    <row r="234" spans="1:11" x14ac:dyDescent="0.25">
      <c r="A234" s="2" t="s">
        <v>477</v>
      </c>
      <c r="B234" s="2" t="s">
        <v>478</v>
      </c>
      <c r="C234" s="2" t="s">
        <v>36</v>
      </c>
      <c r="D234" s="2" t="s">
        <v>55</v>
      </c>
      <c r="E234" s="4">
        <v>46133</v>
      </c>
      <c r="F234" s="4">
        <v>46149</v>
      </c>
      <c r="G234" s="5">
        <v>12225</v>
      </c>
      <c r="H234" s="5">
        <v>9208.61</v>
      </c>
      <c r="I234" s="2" t="s">
        <v>37</v>
      </c>
      <c r="J234" s="2"/>
      <c r="K234" s="2" t="s">
        <v>48</v>
      </c>
    </row>
    <row r="235" spans="1:11" x14ac:dyDescent="0.25">
      <c r="A235" s="2" t="s">
        <v>479</v>
      </c>
      <c r="B235" s="2" t="s">
        <v>480</v>
      </c>
      <c r="C235" s="2" t="s">
        <v>79</v>
      </c>
      <c r="D235" s="2" t="s">
        <v>55</v>
      </c>
      <c r="E235" s="4">
        <v>46273</v>
      </c>
      <c r="F235" s="4">
        <v>46280</v>
      </c>
      <c r="G235" s="5">
        <v>3975</v>
      </c>
      <c r="H235" s="5"/>
      <c r="I235" s="2" t="s">
        <v>42</v>
      </c>
      <c r="J235" s="2"/>
      <c r="K235" s="2" t="s">
        <v>109</v>
      </c>
    </row>
    <row r="236" spans="1:11" x14ac:dyDescent="0.25">
      <c r="A236" s="2" t="s">
        <v>481</v>
      </c>
      <c r="B236" s="2" t="s">
        <v>98</v>
      </c>
      <c r="C236" s="2" t="s">
        <v>29</v>
      </c>
      <c r="D236" s="2" t="s">
        <v>41</v>
      </c>
      <c r="E236" s="4">
        <v>46067</v>
      </c>
      <c r="F236" s="4">
        <v>46083</v>
      </c>
      <c r="G236" s="5">
        <v>550</v>
      </c>
      <c r="H236" s="5">
        <v>329.61</v>
      </c>
      <c r="I236" s="2" t="s">
        <v>37</v>
      </c>
      <c r="J236" s="2"/>
      <c r="K236" s="2" t="s">
        <v>83</v>
      </c>
    </row>
    <row r="237" spans="1:11" x14ac:dyDescent="0.25">
      <c r="A237" s="2" t="s">
        <v>482</v>
      </c>
      <c r="B237" s="2" t="s">
        <v>483</v>
      </c>
      <c r="C237" s="2" t="s">
        <v>36</v>
      </c>
      <c r="D237" s="2" t="s">
        <v>55</v>
      </c>
      <c r="E237" s="4">
        <v>46022</v>
      </c>
      <c r="F237" s="4">
        <v>46037</v>
      </c>
      <c r="G237" s="5">
        <v>3100</v>
      </c>
      <c r="H237" s="5">
        <v>0</v>
      </c>
      <c r="I237" s="2" t="s">
        <v>31</v>
      </c>
      <c r="J237" s="2" t="s">
        <v>47</v>
      </c>
      <c r="K237" s="2" t="s">
        <v>62</v>
      </c>
    </row>
    <row r="238" spans="1:11" x14ac:dyDescent="0.25">
      <c r="A238" s="2" t="s">
        <v>484</v>
      </c>
      <c r="B238" s="2" t="s">
        <v>471</v>
      </c>
      <c r="C238" s="2" t="s">
        <v>29</v>
      </c>
      <c r="D238" s="2" t="s">
        <v>41</v>
      </c>
      <c r="E238" s="4">
        <v>46054</v>
      </c>
      <c r="F238" s="4">
        <v>46063</v>
      </c>
      <c r="G238" s="5">
        <v>6975</v>
      </c>
      <c r="H238" s="5">
        <v>5152.07</v>
      </c>
      <c r="I238" s="2" t="s">
        <v>37</v>
      </c>
      <c r="J238" s="2"/>
      <c r="K238" s="2" t="s">
        <v>83</v>
      </c>
    </row>
    <row r="239" spans="1:11" x14ac:dyDescent="0.25">
      <c r="A239" s="2" t="s">
        <v>485</v>
      </c>
      <c r="B239" s="2" t="s">
        <v>166</v>
      </c>
      <c r="C239" s="2" t="s">
        <v>79</v>
      </c>
      <c r="D239" s="2" t="s">
        <v>55</v>
      </c>
      <c r="E239" s="4">
        <v>46074</v>
      </c>
      <c r="F239" s="4">
        <v>46093</v>
      </c>
      <c r="G239" s="5">
        <v>2775</v>
      </c>
      <c r="H239" s="5">
        <v>2449.48</v>
      </c>
      <c r="I239" s="2" t="s">
        <v>37</v>
      </c>
      <c r="J239" s="2"/>
      <c r="K239" s="2" t="s">
        <v>38</v>
      </c>
    </row>
    <row r="240" spans="1:11" x14ac:dyDescent="0.25">
      <c r="A240" s="2" t="s">
        <v>486</v>
      </c>
      <c r="B240" s="2" t="s">
        <v>487</v>
      </c>
      <c r="C240" s="2" t="s">
        <v>29</v>
      </c>
      <c r="D240" s="2" t="s">
        <v>41</v>
      </c>
      <c r="E240" s="4">
        <v>46252</v>
      </c>
      <c r="F240" s="4">
        <v>46267</v>
      </c>
      <c r="G240" s="5">
        <v>9475</v>
      </c>
      <c r="H240" s="5"/>
      <c r="I240" s="2" t="s">
        <v>42</v>
      </c>
      <c r="J240" s="2"/>
      <c r="K240" s="2" t="s">
        <v>62</v>
      </c>
    </row>
    <row r="241" spans="1:11" x14ac:dyDescent="0.25">
      <c r="A241" s="2" t="s">
        <v>488</v>
      </c>
      <c r="B241" s="2" t="s">
        <v>489</v>
      </c>
      <c r="C241" s="2" t="s">
        <v>46</v>
      </c>
      <c r="D241" s="2" t="s">
        <v>55</v>
      </c>
      <c r="E241" s="4">
        <v>46290</v>
      </c>
      <c r="F241" s="4">
        <v>46294</v>
      </c>
      <c r="G241" s="5">
        <v>4475</v>
      </c>
      <c r="H241" s="5"/>
      <c r="I241" s="2" t="s">
        <v>42</v>
      </c>
      <c r="J241" s="2"/>
      <c r="K241" s="2" t="s">
        <v>43</v>
      </c>
    </row>
    <row r="242" spans="1:11" x14ac:dyDescent="0.25">
      <c r="A242" s="2" t="s">
        <v>490</v>
      </c>
      <c r="B242" s="2" t="s">
        <v>491</v>
      </c>
      <c r="C242" s="2" t="s">
        <v>29</v>
      </c>
      <c r="D242" s="2" t="s">
        <v>68</v>
      </c>
      <c r="E242" s="4">
        <v>46059</v>
      </c>
      <c r="F242" s="4">
        <v>46073</v>
      </c>
      <c r="G242" s="5">
        <v>1125</v>
      </c>
      <c r="H242" s="5">
        <v>735.35</v>
      </c>
      <c r="I242" s="2" t="s">
        <v>37</v>
      </c>
      <c r="J242" s="2"/>
      <c r="K242" s="2" t="s">
        <v>52</v>
      </c>
    </row>
    <row r="243" spans="1:11" x14ac:dyDescent="0.25">
      <c r="A243" s="2" t="s">
        <v>492</v>
      </c>
      <c r="B243" s="2" t="s">
        <v>493</v>
      </c>
      <c r="C243" s="2" t="s">
        <v>79</v>
      </c>
      <c r="D243" s="2" t="s">
        <v>55</v>
      </c>
      <c r="E243" s="4">
        <v>46225</v>
      </c>
      <c r="F243" s="4">
        <v>46231</v>
      </c>
      <c r="G243" s="5">
        <v>475</v>
      </c>
      <c r="H243" s="5"/>
      <c r="I243" s="2" t="s">
        <v>42</v>
      </c>
      <c r="J243" s="2"/>
      <c r="K243" s="2" t="s">
        <v>109</v>
      </c>
    </row>
    <row r="244" spans="1:11" x14ac:dyDescent="0.25">
      <c r="A244" s="2" t="s">
        <v>494</v>
      </c>
      <c r="B244" s="2" t="s">
        <v>187</v>
      </c>
      <c r="C244" s="2" t="s">
        <v>36</v>
      </c>
      <c r="D244" s="2" t="s">
        <v>30</v>
      </c>
      <c r="E244" s="4">
        <v>46199</v>
      </c>
      <c r="F244" s="4">
        <v>46211</v>
      </c>
      <c r="G244" s="5">
        <v>5650</v>
      </c>
      <c r="H244" s="5">
        <v>3908.72</v>
      </c>
      <c r="I244" s="2" t="s">
        <v>37</v>
      </c>
      <c r="J244" s="2"/>
      <c r="K244" s="2" t="s">
        <v>52</v>
      </c>
    </row>
    <row r="245" spans="1:11" x14ac:dyDescent="0.25">
      <c r="A245" s="2" t="s">
        <v>495</v>
      </c>
      <c r="B245" s="2" t="s">
        <v>496</v>
      </c>
      <c r="C245" s="2" t="s">
        <v>46</v>
      </c>
      <c r="D245" s="2" t="s">
        <v>55</v>
      </c>
      <c r="E245" s="4">
        <v>46045</v>
      </c>
      <c r="F245" s="4">
        <v>46050</v>
      </c>
      <c r="G245" s="5">
        <v>5750</v>
      </c>
      <c r="H245" s="5">
        <v>5221.24</v>
      </c>
      <c r="I245" s="2" t="s">
        <v>37</v>
      </c>
      <c r="J245" s="2"/>
      <c r="K245" s="2" t="s">
        <v>62</v>
      </c>
    </row>
    <row r="246" spans="1:11" x14ac:dyDescent="0.25">
      <c r="A246" s="2" t="s">
        <v>497</v>
      </c>
      <c r="B246" s="2" t="s">
        <v>498</v>
      </c>
      <c r="C246" s="2" t="s">
        <v>46</v>
      </c>
      <c r="D246" s="2" t="s">
        <v>61</v>
      </c>
      <c r="E246" s="4">
        <v>46067</v>
      </c>
      <c r="F246" s="4">
        <v>46072</v>
      </c>
      <c r="G246" s="5">
        <v>10450</v>
      </c>
      <c r="H246" s="5"/>
      <c r="I246" s="2" t="s">
        <v>42</v>
      </c>
      <c r="J246" s="2"/>
      <c r="K246" s="2" t="s">
        <v>52</v>
      </c>
    </row>
    <row r="247" spans="1:11" x14ac:dyDescent="0.25">
      <c r="A247" s="2" t="s">
        <v>499</v>
      </c>
      <c r="B247" s="2" t="s">
        <v>421</v>
      </c>
      <c r="C247" s="2" t="s">
        <v>29</v>
      </c>
      <c r="D247" s="2" t="s">
        <v>30</v>
      </c>
      <c r="E247" s="4">
        <v>46092</v>
      </c>
      <c r="F247" s="4">
        <v>46099</v>
      </c>
      <c r="G247" s="5">
        <v>7600</v>
      </c>
      <c r="H247" s="5">
        <v>6791.45</v>
      </c>
      <c r="I247" s="2" t="s">
        <v>130</v>
      </c>
      <c r="J247" s="2"/>
      <c r="K247" s="2" t="s">
        <v>83</v>
      </c>
    </row>
    <row r="248" spans="1:11" x14ac:dyDescent="0.25">
      <c r="A248" s="2" t="s">
        <v>500</v>
      </c>
      <c r="B248" s="2" t="s">
        <v>501</v>
      </c>
      <c r="C248" s="2" t="s">
        <v>36</v>
      </c>
      <c r="D248" s="2" t="s">
        <v>80</v>
      </c>
      <c r="E248" s="4">
        <v>46080</v>
      </c>
      <c r="F248" s="4">
        <v>46093</v>
      </c>
      <c r="G248" s="5">
        <v>850</v>
      </c>
      <c r="H248" s="5">
        <v>548.4</v>
      </c>
      <c r="I248" s="2" t="s">
        <v>37</v>
      </c>
      <c r="J248" s="2"/>
      <c r="K248" s="2" t="s">
        <v>65</v>
      </c>
    </row>
    <row r="249" spans="1:11" x14ac:dyDescent="0.25">
      <c r="A249" s="2" t="s">
        <v>502</v>
      </c>
      <c r="B249" s="2" t="s">
        <v>93</v>
      </c>
      <c r="C249" s="2" t="s">
        <v>29</v>
      </c>
      <c r="D249" s="2" t="s">
        <v>80</v>
      </c>
      <c r="E249" s="4">
        <v>46224</v>
      </c>
      <c r="F249" s="4">
        <v>46237</v>
      </c>
      <c r="G249" s="5">
        <v>2200</v>
      </c>
      <c r="H249" s="5">
        <v>1888.49</v>
      </c>
      <c r="I249" s="2" t="s">
        <v>37</v>
      </c>
      <c r="J249" s="2"/>
      <c r="K249" s="2" t="s">
        <v>38</v>
      </c>
    </row>
    <row r="250" spans="1:11" x14ac:dyDescent="0.25">
      <c r="A250" s="2" t="s">
        <v>503</v>
      </c>
      <c r="B250" s="2" t="s">
        <v>504</v>
      </c>
      <c r="C250" s="2" t="s">
        <v>36</v>
      </c>
      <c r="D250" s="2" t="s">
        <v>80</v>
      </c>
      <c r="E250" s="4">
        <v>46066</v>
      </c>
      <c r="F250" s="4">
        <v>46083</v>
      </c>
      <c r="G250" s="5">
        <v>8475</v>
      </c>
      <c r="H250" s="5"/>
      <c r="I250" s="2" t="s">
        <v>42</v>
      </c>
      <c r="J250" s="2"/>
      <c r="K250" s="2" t="s">
        <v>52</v>
      </c>
    </row>
    <row r="251" spans="1:11" x14ac:dyDescent="0.25">
      <c r="A251" s="2" t="s">
        <v>505</v>
      </c>
      <c r="B251" s="2" t="s">
        <v>506</v>
      </c>
      <c r="C251" s="2" t="s">
        <v>79</v>
      </c>
      <c r="D251" s="2" t="s">
        <v>41</v>
      </c>
      <c r="E251" s="4">
        <v>46074</v>
      </c>
      <c r="F251" s="4">
        <v>46080</v>
      </c>
      <c r="G251" s="5">
        <v>10450</v>
      </c>
      <c r="H251" s="5">
        <v>0</v>
      </c>
      <c r="I251" s="2" t="s">
        <v>31</v>
      </c>
      <c r="J251" s="2" t="s">
        <v>47</v>
      </c>
      <c r="K251" s="2" t="s">
        <v>52</v>
      </c>
    </row>
    <row r="252" spans="1:11" x14ac:dyDescent="0.25">
      <c r="A252" s="2" t="s">
        <v>507</v>
      </c>
      <c r="B252" s="2" t="s">
        <v>290</v>
      </c>
      <c r="C252" s="2" t="s">
        <v>29</v>
      </c>
      <c r="D252" s="2" t="s">
        <v>94</v>
      </c>
      <c r="E252" s="4">
        <v>46290</v>
      </c>
      <c r="F252" s="4">
        <v>46297</v>
      </c>
      <c r="G252" s="5">
        <v>3450</v>
      </c>
      <c r="H252" s="5">
        <v>2530.3000000000002</v>
      </c>
      <c r="I252" s="2" t="s">
        <v>37</v>
      </c>
      <c r="J252" s="2"/>
      <c r="K252" s="2" t="s">
        <v>43</v>
      </c>
    </row>
    <row r="253" spans="1:11" x14ac:dyDescent="0.25">
      <c r="A253" s="2" t="s">
        <v>508</v>
      </c>
      <c r="B253" s="2" t="s">
        <v>509</v>
      </c>
      <c r="C253" s="2" t="s">
        <v>29</v>
      </c>
      <c r="D253" s="2" t="s">
        <v>41</v>
      </c>
      <c r="E253" s="4">
        <v>46258</v>
      </c>
      <c r="F253" s="4">
        <v>46276</v>
      </c>
      <c r="G253" s="5">
        <v>11475</v>
      </c>
      <c r="H253" s="5"/>
      <c r="I253" s="2" t="s">
        <v>42</v>
      </c>
      <c r="J253" s="2"/>
      <c r="K253" s="2" t="s">
        <v>33</v>
      </c>
    </row>
    <row r="254" spans="1:11" x14ac:dyDescent="0.25">
      <c r="A254" s="2" t="s">
        <v>510</v>
      </c>
      <c r="B254" s="2" t="s">
        <v>230</v>
      </c>
      <c r="C254" s="2" t="s">
        <v>29</v>
      </c>
      <c r="D254" s="2" t="s">
        <v>55</v>
      </c>
      <c r="E254" s="4">
        <v>46179</v>
      </c>
      <c r="F254" s="4">
        <v>46188</v>
      </c>
      <c r="G254" s="5">
        <v>675</v>
      </c>
      <c r="H254" s="5">
        <v>477.49</v>
      </c>
      <c r="I254" s="2" t="s">
        <v>37</v>
      </c>
      <c r="J254" s="2"/>
      <c r="K254" s="2" t="s">
        <v>109</v>
      </c>
    </row>
    <row r="255" spans="1:11" x14ac:dyDescent="0.25">
      <c r="A255" s="2" t="s">
        <v>511</v>
      </c>
      <c r="B255" s="2" t="s">
        <v>316</v>
      </c>
      <c r="C255" s="2" t="s">
        <v>29</v>
      </c>
      <c r="D255" s="2" t="s">
        <v>61</v>
      </c>
      <c r="E255" s="4">
        <v>46245</v>
      </c>
      <c r="F255" s="4">
        <v>46259</v>
      </c>
      <c r="G255" s="5">
        <v>4075</v>
      </c>
      <c r="H255" s="5">
        <v>0</v>
      </c>
      <c r="I255" s="2" t="s">
        <v>31</v>
      </c>
      <c r="J255" s="2" t="s">
        <v>312</v>
      </c>
      <c r="K255" s="2" t="s">
        <v>62</v>
      </c>
    </row>
    <row r="256" spans="1:11" x14ac:dyDescent="0.25">
      <c r="A256" s="2" t="s">
        <v>512</v>
      </c>
      <c r="B256" s="2" t="s">
        <v>513</v>
      </c>
      <c r="C256" s="2" t="s">
        <v>79</v>
      </c>
      <c r="D256" s="2" t="s">
        <v>68</v>
      </c>
      <c r="E256" s="4">
        <v>46186</v>
      </c>
      <c r="F256" s="4">
        <v>46202</v>
      </c>
      <c r="G256" s="5">
        <v>1450</v>
      </c>
      <c r="H256" s="5">
        <v>1335.71</v>
      </c>
      <c r="I256" s="2" t="s">
        <v>37</v>
      </c>
      <c r="J256" s="2"/>
      <c r="K256" s="2" t="s">
        <v>38</v>
      </c>
    </row>
    <row r="257" spans="1:11" x14ac:dyDescent="0.25">
      <c r="A257" s="2" t="s">
        <v>514</v>
      </c>
      <c r="B257" s="2" t="s">
        <v>129</v>
      </c>
      <c r="C257" s="2" t="s">
        <v>29</v>
      </c>
      <c r="D257" s="2" t="s">
        <v>55</v>
      </c>
      <c r="E257" s="4">
        <v>46036</v>
      </c>
      <c r="F257" s="4">
        <v>46056</v>
      </c>
      <c r="G257" s="5">
        <v>4900</v>
      </c>
      <c r="H257" s="5"/>
      <c r="I257" s="2" t="s">
        <v>42</v>
      </c>
      <c r="J257" s="2"/>
      <c r="K257" s="2" t="s">
        <v>48</v>
      </c>
    </row>
    <row r="258" spans="1:11" x14ac:dyDescent="0.25">
      <c r="A258" s="2" t="s">
        <v>514</v>
      </c>
      <c r="B258" s="2" t="s">
        <v>129</v>
      </c>
      <c r="C258" s="2" t="s">
        <v>29</v>
      </c>
      <c r="D258" s="2" t="s">
        <v>55</v>
      </c>
      <c r="E258" s="4">
        <v>46036</v>
      </c>
      <c r="F258" s="4">
        <v>46056</v>
      </c>
      <c r="G258" s="5">
        <v>4900</v>
      </c>
      <c r="H258" s="5"/>
      <c r="I258" s="2" t="s">
        <v>42</v>
      </c>
      <c r="J258" s="2"/>
      <c r="K258" s="2" t="s">
        <v>48</v>
      </c>
    </row>
    <row r="259" spans="1:11" x14ac:dyDescent="0.25">
      <c r="A259" s="2" t="s">
        <v>515</v>
      </c>
      <c r="B259" s="2" t="s">
        <v>316</v>
      </c>
      <c r="C259" s="2" t="s">
        <v>46</v>
      </c>
      <c r="D259" s="2" t="s">
        <v>30</v>
      </c>
      <c r="E259" s="4">
        <v>46133</v>
      </c>
      <c r="F259" s="4">
        <v>46141</v>
      </c>
      <c r="G259" s="5">
        <v>2900</v>
      </c>
      <c r="H259" s="5">
        <v>1791.1</v>
      </c>
      <c r="I259" s="2" t="s">
        <v>37</v>
      </c>
      <c r="J259" s="2"/>
      <c r="K259" s="2" t="s">
        <v>83</v>
      </c>
    </row>
    <row r="260" spans="1:11" x14ac:dyDescent="0.25">
      <c r="A260" s="2" t="s">
        <v>516</v>
      </c>
      <c r="B260" s="2" t="s">
        <v>239</v>
      </c>
      <c r="C260" s="2" t="s">
        <v>46</v>
      </c>
      <c r="D260" s="2" t="s">
        <v>41</v>
      </c>
      <c r="E260" s="4">
        <v>46260</v>
      </c>
      <c r="F260" s="4">
        <v>46273</v>
      </c>
      <c r="G260" s="5">
        <v>12825</v>
      </c>
      <c r="H260" s="5">
        <v>0</v>
      </c>
      <c r="I260" s="2" t="s">
        <v>31</v>
      </c>
      <c r="J260" s="2" t="s">
        <v>271</v>
      </c>
      <c r="K260" s="2" t="s">
        <v>33</v>
      </c>
    </row>
    <row r="261" spans="1:11" x14ac:dyDescent="0.25">
      <c r="A261" s="2" t="s">
        <v>517</v>
      </c>
      <c r="B261" s="2" t="s">
        <v>328</v>
      </c>
      <c r="C261" s="2" t="s">
        <v>79</v>
      </c>
      <c r="D261" s="2" t="s">
        <v>94</v>
      </c>
      <c r="E261" s="4">
        <v>46125</v>
      </c>
      <c r="F261" s="4">
        <v>46134</v>
      </c>
      <c r="G261" s="5">
        <v>13975</v>
      </c>
      <c r="H261" s="5">
        <v>8711.9699999999993</v>
      </c>
      <c r="I261" s="2" t="s">
        <v>37</v>
      </c>
      <c r="J261" s="2"/>
      <c r="K261" s="2" t="s">
        <v>52</v>
      </c>
    </row>
    <row r="262" spans="1:11" x14ac:dyDescent="0.25">
      <c r="A262" s="2" t="s">
        <v>518</v>
      </c>
      <c r="B262" s="2" t="s">
        <v>519</v>
      </c>
      <c r="C262" s="2" t="s">
        <v>46</v>
      </c>
      <c r="D262" s="2" t="s">
        <v>148</v>
      </c>
      <c r="E262" s="4">
        <v>46175</v>
      </c>
      <c r="F262" s="4">
        <v>46189</v>
      </c>
      <c r="G262" s="5">
        <v>3075</v>
      </c>
      <c r="H262" s="5"/>
      <c r="I262" s="2" t="s">
        <v>42</v>
      </c>
      <c r="J262" s="2"/>
      <c r="K262" s="2" t="s">
        <v>62</v>
      </c>
    </row>
    <row r="263" spans="1:11" x14ac:dyDescent="0.25">
      <c r="A263" s="2" t="s">
        <v>520</v>
      </c>
      <c r="B263" s="2" t="s">
        <v>521</v>
      </c>
      <c r="C263" s="2" t="s">
        <v>46</v>
      </c>
      <c r="D263" s="2" t="s">
        <v>61</v>
      </c>
      <c r="E263" s="4">
        <v>46069</v>
      </c>
      <c r="F263" s="4">
        <v>46079</v>
      </c>
      <c r="G263" s="5">
        <v>9450</v>
      </c>
      <c r="H263" s="5">
        <v>6275.79</v>
      </c>
      <c r="I263" s="2" t="s">
        <v>37</v>
      </c>
      <c r="J263" s="2"/>
      <c r="K263" s="2" t="s">
        <v>33</v>
      </c>
    </row>
    <row r="264" spans="1:11" x14ac:dyDescent="0.25">
      <c r="A264" s="2" t="s">
        <v>522</v>
      </c>
      <c r="B264" s="2" t="s">
        <v>523</v>
      </c>
      <c r="C264" s="2" t="s">
        <v>79</v>
      </c>
      <c r="D264" s="2" t="s">
        <v>80</v>
      </c>
      <c r="E264" s="4">
        <v>46139</v>
      </c>
      <c r="F264" s="4">
        <v>46157</v>
      </c>
      <c r="G264" s="5">
        <v>2225</v>
      </c>
      <c r="H264" s="5">
        <v>1501.68</v>
      </c>
      <c r="I264" s="2" t="s">
        <v>37</v>
      </c>
      <c r="J264" s="2"/>
      <c r="K264" s="2" t="s">
        <v>33</v>
      </c>
    </row>
    <row r="265" spans="1:11" x14ac:dyDescent="0.25">
      <c r="A265" s="2" t="s">
        <v>524</v>
      </c>
      <c r="B265" s="2" t="s">
        <v>525</v>
      </c>
      <c r="C265" s="2" t="s">
        <v>46</v>
      </c>
      <c r="D265" s="2" t="s">
        <v>61</v>
      </c>
      <c r="E265" s="4">
        <v>46085</v>
      </c>
      <c r="F265" s="4">
        <v>46090</v>
      </c>
      <c r="G265" s="5">
        <v>14200</v>
      </c>
      <c r="H265" s="5"/>
      <c r="I265" s="2" t="s">
        <v>42</v>
      </c>
      <c r="J265" s="2"/>
      <c r="K265" s="2" t="s">
        <v>472</v>
      </c>
    </row>
    <row r="266" spans="1:11" x14ac:dyDescent="0.25">
      <c r="A266" s="2" t="s">
        <v>526</v>
      </c>
      <c r="B266" s="2" t="s">
        <v>345</v>
      </c>
      <c r="C266" s="2" t="s">
        <v>46</v>
      </c>
      <c r="D266" s="2" t="s">
        <v>30</v>
      </c>
      <c r="E266" s="4">
        <v>46188</v>
      </c>
      <c r="F266" s="4">
        <v>46208</v>
      </c>
      <c r="G266" s="5">
        <v>6275</v>
      </c>
      <c r="H266" s="5">
        <v>4427.25</v>
      </c>
      <c r="I266" s="2" t="s">
        <v>37</v>
      </c>
      <c r="J266" s="2"/>
      <c r="K266" s="2" t="s">
        <v>52</v>
      </c>
    </row>
    <row r="267" spans="1:11" x14ac:dyDescent="0.25">
      <c r="A267" s="2" t="s">
        <v>527</v>
      </c>
      <c r="B267" s="2" t="s">
        <v>170</v>
      </c>
      <c r="C267" s="2" t="s">
        <v>46</v>
      </c>
      <c r="D267" s="2" t="s">
        <v>94</v>
      </c>
      <c r="E267" s="4">
        <v>46136</v>
      </c>
      <c r="F267" s="4">
        <v>46141</v>
      </c>
      <c r="G267" s="5">
        <v>14375</v>
      </c>
      <c r="H267" s="5">
        <v>0</v>
      </c>
      <c r="I267" s="2" t="s">
        <v>31</v>
      </c>
      <c r="J267" s="2" t="s">
        <v>271</v>
      </c>
      <c r="K267" s="2" t="s">
        <v>48</v>
      </c>
    </row>
    <row r="268" spans="1:11" x14ac:dyDescent="0.25">
      <c r="A268" s="2" t="s">
        <v>528</v>
      </c>
      <c r="B268" s="2" t="s">
        <v>264</v>
      </c>
      <c r="C268" s="2" t="s">
        <v>36</v>
      </c>
      <c r="D268" s="2" t="s">
        <v>41</v>
      </c>
      <c r="E268" s="4">
        <v>46075</v>
      </c>
      <c r="F268" s="4">
        <v>46084</v>
      </c>
      <c r="G268" s="5">
        <v>9700</v>
      </c>
      <c r="H268" s="5">
        <v>0</v>
      </c>
      <c r="I268" s="2" t="s">
        <v>31</v>
      </c>
      <c r="J268" s="2" t="s">
        <v>347</v>
      </c>
      <c r="K268" s="2" t="s">
        <v>38</v>
      </c>
    </row>
    <row r="269" spans="1:11" x14ac:dyDescent="0.25">
      <c r="A269" s="2" t="s">
        <v>529</v>
      </c>
      <c r="B269" s="2" t="s">
        <v>530</v>
      </c>
      <c r="C269" s="2" t="s">
        <v>46</v>
      </c>
      <c r="D269" s="2" t="s">
        <v>30</v>
      </c>
      <c r="E269" s="4">
        <v>46077</v>
      </c>
      <c r="F269" s="4">
        <v>46096</v>
      </c>
      <c r="G269" s="5">
        <v>14175</v>
      </c>
      <c r="H269" s="5">
        <v>8973.58</v>
      </c>
      <c r="I269" s="2" t="s">
        <v>37</v>
      </c>
      <c r="J269" s="2"/>
      <c r="K269" s="2" t="s">
        <v>43</v>
      </c>
    </row>
    <row r="270" spans="1:11" x14ac:dyDescent="0.25">
      <c r="A270" s="2" t="s">
        <v>531</v>
      </c>
      <c r="B270" s="2" t="s">
        <v>478</v>
      </c>
      <c r="C270" s="2" t="s">
        <v>36</v>
      </c>
      <c r="D270" s="2" t="s">
        <v>41</v>
      </c>
      <c r="E270" s="4">
        <v>46059</v>
      </c>
      <c r="F270" s="4">
        <v>46075</v>
      </c>
      <c r="G270" s="5">
        <v>3850</v>
      </c>
      <c r="H270" s="5">
        <v>2961.14</v>
      </c>
      <c r="I270" s="2" t="s">
        <v>37</v>
      </c>
      <c r="J270" s="2"/>
      <c r="K270" s="2" t="s">
        <v>62</v>
      </c>
    </row>
    <row r="271" spans="1:11" x14ac:dyDescent="0.25">
      <c r="A271" s="2" t="s">
        <v>532</v>
      </c>
      <c r="B271" s="2" t="s">
        <v>533</v>
      </c>
      <c r="C271" s="2" t="s">
        <v>79</v>
      </c>
      <c r="D271" s="2" t="s">
        <v>80</v>
      </c>
      <c r="E271" s="4">
        <v>46141</v>
      </c>
      <c r="F271" s="4">
        <v>46154</v>
      </c>
      <c r="G271" s="5">
        <v>5900</v>
      </c>
      <c r="H271" s="5">
        <v>0</v>
      </c>
      <c r="I271" s="2" t="s">
        <v>31</v>
      </c>
      <c r="J271" s="2" t="s">
        <v>72</v>
      </c>
      <c r="K271" s="2" t="s">
        <v>56</v>
      </c>
    </row>
    <row r="272" spans="1:11" x14ac:dyDescent="0.25">
      <c r="A272" s="2" t="s">
        <v>534</v>
      </c>
      <c r="B272" s="2" t="s">
        <v>535</v>
      </c>
      <c r="C272" s="2" t="s">
        <v>36</v>
      </c>
      <c r="D272" s="2" t="s">
        <v>41</v>
      </c>
      <c r="E272" s="4">
        <v>46260</v>
      </c>
      <c r="F272" s="4">
        <v>46273</v>
      </c>
      <c r="G272" s="5">
        <v>4625</v>
      </c>
      <c r="H272" s="5">
        <v>4540.66</v>
      </c>
      <c r="I272" s="2" t="s">
        <v>130</v>
      </c>
      <c r="J272" s="2"/>
      <c r="K272" s="2" t="s">
        <v>62</v>
      </c>
    </row>
    <row r="273" spans="1:11" x14ac:dyDescent="0.25">
      <c r="A273" s="2" t="s">
        <v>536</v>
      </c>
      <c r="B273" s="2" t="s">
        <v>208</v>
      </c>
      <c r="C273" s="2" t="s">
        <v>36</v>
      </c>
      <c r="D273" s="2" t="s">
        <v>41</v>
      </c>
      <c r="E273" s="4">
        <v>46019</v>
      </c>
      <c r="F273" s="4">
        <v>46035</v>
      </c>
      <c r="G273" s="5">
        <v>1100</v>
      </c>
      <c r="H273" s="5">
        <v>904.33</v>
      </c>
      <c r="I273" s="2" t="s">
        <v>37</v>
      </c>
      <c r="J273" s="2"/>
      <c r="K273" s="2" t="s">
        <v>48</v>
      </c>
    </row>
    <row r="274" spans="1:11" x14ac:dyDescent="0.25">
      <c r="A274" s="2" t="s">
        <v>537</v>
      </c>
      <c r="B274" s="2" t="s">
        <v>538</v>
      </c>
      <c r="C274" s="2" t="s">
        <v>79</v>
      </c>
      <c r="D274" s="2" t="s">
        <v>61</v>
      </c>
      <c r="E274" s="4">
        <v>46118</v>
      </c>
      <c r="F274" s="4">
        <v>46133</v>
      </c>
      <c r="G274" s="5">
        <v>6225</v>
      </c>
      <c r="H274" s="5">
        <v>4395.05</v>
      </c>
      <c r="I274" s="2" t="s">
        <v>37</v>
      </c>
      <c r="J274" s="2"/>
      <c r="K274" s="2" t="s">
        <v>109</v>
      </c>
    </row>
    <row r="275" spans="1:11" x14ac:dyDescent="0.25">
      <c r="A275" s="2" t="s">
        <v>539</v>
      </c>
      <c r="B275" s="2" t="s">
        <v>540</v>
      </c>
      <c r="C275" s="2" t="s">
        <v>29</v>
      </c>
      <c r="D275" s="2" t="s">
        <v>41</v>
      </c>
      <c r="E275" s="4">
        <v>46193</v>
      </c>
      <c r="F275" s="4">
        <v>46212</v>
      </c>
      <c r="G275" s="5">
        <v>8875</v>
      </c>
      <c r="H275" s="5">
        <v>7483.45</v>
      </c>
      <c r="I275" s="2" t="s">
        <v>37</v>
      </c>
      <c r="J275" s="2"/>
      <c r="K275" s="2" t="s">
        <v>33</v>
      </c>
    </row>
    <row r="276" spans="1:11" x14ac:dyDescent="0.25">
      <c r="A276" s="2" t="s">
        <v>541</v>
      </c>
      <c r="B276" s="2" t="s">
        <v>341</v>
      </c>
      <c r="C276" s="2" t="s">
        <v>46</v>
      </c>
      <c r="D276" s="2" t="s">
        <v>30</v>
      </c>
      <c r="E276" s="4">
        <v>46120</v>
      </c>
      <c r="F276" s="4">
        <v>46131</v>
      </c>
      <c r="G276" s="5">
        <v>11850</v>
      </c>
      <c r="H276" s="5">
        <v>8292.6</v>
      </c>
      <c r="I276" s="2" t="s">
        <v>37</v>
      </c>
      <c r="J276" s="2"/>
      <c r="K276" s="2" t="s">
        <v>109</v>
      </c>
    </row>
    <row r="277" spans="1:11" x14ac:dyDescent="0.25">
      <c r="A277" s="2" t="s">
        <v>542</v>
      </c>
      <c r="B277" s="2" t="s">
        <v>543</v>
      </c>
      <c r="C277" s="2" t="s">
        <v>79</v>
      </c>
      <c r="D277" s="2" t="s">
        <v>68</v>
      </c>
      <c r="E277" s="4">
        <v>46150</v>
      </c>
      <c r="F277" s="4">
        <v>46153</v>
      </c>
      <c r="G277" s="5">
        <v>5000</v>
      </c>
      <c r="H277" s="5">
        <v>3896.85</v>
      </c>
      <c r="I277" s="2" t="s">
        <v>37</v>
      </c>
      <c r="J277" s="2"/>
      <c r="K277" s="2" t="s">
        <v>43</v>
      </c>
    </row>
    <row r="278" spans="1:11" x14ac:dyDescent="0.25">
      <c r="A278" s="2" t="s">
        <v>544</v>
      </c>
      <c r="B278" s="2" t="s">
        <v>545</v>
      </c>
      <c r="C278" s="2" t="s">
        <v>79</v>
      </c>
      <c r="D278" s="2" t="s">
        <v>55</v>
      </c>
      <c r="E278" s="4">
        <v>46294</v>
      </c>
      <c r="F278" s="4">
        <v>46299</v>
      </c>
      <c r="G278" s="5">
        <v>2300</v>
      </c>
      <c r="H278" s="5"/>
      <c r="I278" s="2" t="s">
        <v>42</v>
      </c>
      <c r="J278" s="2"/>
      <c r="K278" s="2" t="s">
        <v>56</v>
      </c>
    </row>
    <row r="279" spans="1:11" x14ac:dyDescent="0.25">
      <c r="A279" s="2" t="s">
        <v>546</v>
      </c>
      <c r="B279" s="2" t="s">
        <v>547</v>
      </c>
      <c r="C279" s="2" t="s">
        <v>29</v>
      </c>
      <c r="D279" s="2" t="s">
        <v>71</v>
      </c>
      <c r="E279" s="4">
        <v>46215</v>
      </c>
      <c r="F279" s="4">
        <v>46235</v>
      </c>
      <c r="G279" s="5">
        <v>3825</v>
      </c>
      <c r="H279" s="5">
        <v>3671.82</v>
      </c>
      <c r="I279" s="2" t="s">
        <v>37</v>
      </c>
      <c r="J279" s="2"/>
      <c r="K279" s="2" t="s">
        <v>38</v>
      </c>
    </row>
    <row r="280" spans="1:11" x14ac:dyDescent="0.25">
      <c r="A280" s="2" t="s">
        <v>548</v>
      </c>
      <c r="B280" s="2" t="s">
        <v>549</v>
      </c>
      <c r="C280" s="2" t="s">
        <v>36</v>
      </c>
      <c r="D280" s="2" t="s">
        <v>55</v>
      </c>
      <c r="E280" s="4">
        <v>46129</v>
      </c>
      <c r="F280" s="4">
        <v>46142</v>
      </c>
      <c r="G280" s="5">
        <v>5575</v>
      </c>
      <c r="H280" s="5">
        <v>4554.6899999999996</v>
      </c>
      <c r="I280" s="2" t="s">
        <v>37</v>
      </c>
      <c r="J280" s="2"/>
      <c r="K280" s="2" t="s">
        <v>56</v>
      </c>
    </row>
    <row r="281" spans="1:11" x14ac:dyDescent="0.25">
      <c r="A281" s="2" t="s">
        <v>550</v>
      </c>
      <c r="B281" s="2" t="s">
        <v>467</v>
      </c>
      <c r="C281" s="2" t="s">
        <v>36</v>
      </c>
      <c r="D281" s="2" t="s">
        <v>41</v>
      </c>
      <c r="E281" s="4">
        <v>46031</v>
      </c>
      <c r="F281" s="4">
        <v>46049</v>
      </c>
      <c r="G281" s="5">
        <v>1125</v>
      </c>
      <c r="H281" s="5">
        <v>1081.73</v>
      </c>
      <c r="I281" s="2" t="s">
        <v>37</v>
      </c>
      <c r="J281" s="2"/>
      <c r="K281" s="2" t="s">
        <v>65</v>
      </c>
    </row>
    <row r="282" spans="1:11" x14ac:dyDescent="0.25">
      <c r="A282" s="2" t="s">
        <v>551</v>
      </c>
      <c r="B282" s="2" t="s">
        <v>552</v>
      </c>
      <c r="C282" s="2" t="s">
        <v>36</v>
      </c>
      <c r="D282" s="2" t="s">
        <v>41</v>
      </c>
      <c r="E282" s="4">
        <v>46125</v>
      </c>
      <c r="F282" s="4">
        <v>46138</v>
      </c>
      <c r="G282" s="5">
        <v>9050</v>
      </c>
      <c r="H282" s="5">
        <v>8250.07</v>
      </c>
      <c r="I282" s="2" t="s">
        <v>37</v>
      </c>
      <c r="J282" s="2"/>
      <c r="K282" s="2" t="s">
        <v>33</v>
      </c>
    </row>
    <row r="283" spans="1:11" x14ac:dyDescent="0.25">
      <c r="A283" s="2" t="s">
        <v>553</v>
      </c>
      <c r="B283" s="2" t="s">
        <v>427</v>
      </c>
      <c r="C283" s="2" t="s">
        <v>36</v>
      </c>
      <c r="D283" s="2" t="s">
        <v>71</v>
      </c>
      <c r="E283" s="4">
        <v>46127</v>
      </c>
      <c r="F283" s="4">
        <v>46144</v>
      </c>
      <c r="G283" s="5">
        <v>9700</v>
      </c>
      <c r="H283" s="5">
        <v>6526.66</v>
      </c>
      <c r="I283" s="2" t="s">
        <v>37</v>
      </c>
      <c r="J283" s="2"/>
      <c r="K283" s="2" t="s">
        <v>52</v>
      </c>
    </row>
    <row r="284" spans="1:11" x14ac:dyDescent="0.25">
      <c r="A284" s="2" t="s">
        <v>554</v>
      </c>
      <c r="B284" s="2" t="s">
        <v>555</v>
      </c>
      <c r="C284" s="2" t="s">
        <v>29</v>
      </c>
      <c r="D284" s="2" t="s">
        <v>80</v>
      </c>
      <c r="E284" s="4">
        <v>46042</v>
      </c>
      <c r="F284" s="4">
        <v>46048</v>
      </c>
      <c r="G284" s="5">
        <v>8150</v>
      </c>
      <c r="H284" s="5">
        <v>5486.97</v>
      </c>
      <c r="I284" s="2" t="s">
        <v>37</v>
      </c>
      <c r="J284" s="2"/>
      <c r="K284" s="2" t="s">
        <v>83</v>
      </c>
    </row>
    <row r="285" spans="1:11" x14ac:dyDescent="0.25">
      <c r="A285" s="2" t="s">
        <v>556</v>
      </c>
      <c r="B285" s="2" t="s">
        <v>557</v>
      </c>
      <c r="C285" s="2" t="s">
        <v>79</v>
      </c>
      <c r="D285" s="2" t="s">
        <v>41</v>
      </c>
      <c r="E285" s="4">
        <v>46152</v>
      </c>
      <c r="F285" s="4">
        <v>46157</v>
      </c>
      <c r="G285" s="5">
        <v>2375</v>
      </c>
      <c r="H285" s="5">
        <v>2291.2800000000002</v>
      </c>
      <c r="I285" s="2" t="s">
        <v>37</v>
      </c>
      <c r="J285" s="2"/>
      <c r="K285" s="2" t="s">
        <v>52</v>
      </c>
    </row>
    <row r="286" spans="1:11" x14ac:dyDescent="0.25">
      <c r="A286" s="2" t="s">
        <v>558</v>
      </c>
      <c r="B286" s="2" t="s">
        <v>74</v>
      </c>
      <c r="C286" s="2" t="s">
        <v>29</v>
      </c>
      <c r="D286" s="2" t="s">
        <v>55</v>
      </c>
      <c r="E286" s="4">
        <v>46064</v>
      </c>
      <c r="F286" s="4">
        <v>46076</v>
      </c>
      <c r="G286" s="5">
        <v>12675</v>
      </c>
      <c r="H286" s="5">
        <v>0</v>
      </c>
      <c r="I286" s="2" t="s">
        <v>31</v>
      </c>
      <c r="J286" s="2" t="s">
        <v>47</v>
      </c>
      <c r="K286" s="2" t="s">
        <v>43</v>
      </c>
    </row>
    <row r="287" spans="1:11" x14ac:dyDescent="0.25">
      <c r="A287" s="2" t="s">
        <v>559</v>
      </c>
      <c r="B287" s="2" t="s">
        <v>560</v>
      </c>
      <c r="C287" s="2" t="s">
        <v>79</v>
      </c>
      <c r="D287" s="2" t="s">
        <v>41</v>
      </c>
      <c r="E287" s="4">
        <v>46080</v>
      </c>
      <c r="F287" s="4">
        <v>46098</v>
      </c>
      <c r="G287" s="5">
        <v>925</v>
      </c>
      <c r="H287" s="5">
        <v>734.92</v>
      </c>
      <c r="I287" s="2" t="s">
        <v>37</v>
      </c>
      <c r="J287" s="2"/>
      <c r="K287" s="2" t="s">
        <v>38</v>
      </c>
    </row>
    <row r="288" spans="1:11" x14ac:dyDescent="0.25">
      <c r="A288" s="2" t="s">
        <v>561</v>
      </c>
      <c r="B288" s="2" t="s">
        <v>562</v>
      </c>
      <c r="C288" s="2" t="s">
        <v>36</v>
      </c>
      <c r="D288" s="2" t="s">
        <v>55</v>
      </c>
      <c r="E288" s="4">
        <v>46128</v>
      </c>
      <c r="F288" s="4">
        <v>46131</v>
      </c>
      <c r="G288" s="5">
        <v>900</v>
      </c>
      <c r="H288" s="5">
        <v>697.17</v>
      </c>
      <c r="I288" s="2" t="s">
        <v>37</v>
      </c>
      <c r="J288" s="2"/>
      <c r="K288" s="2" t="s">
        <v>33</v>
      </c>
    </row>
    <row r="289" spans="1:11" x14ac:dyDescent="0.25">
      <c r="A289" s="2" t="s">
        <v>563</v>
      </c>
      <c r="B289" s="2" t="s">
        <v>564</v>
      </c>
      <c r="C289" s="2" t="s">
        <v>46</v>
      </c>
      <c r="D289" s="2" t="s">
        <v>68</v>
      </c>
      <c r="E289" s="4">
        <v>46195</v>
      </c>
      <c r="F289" s="4">
        <v>46198</v>
      </c>
      <c r="G289" s="5">
        <v>4550</v>
      </c>
      <c r="H289" s="5">
        <v>3036.04</v>
      </c>
      <c r="I289" s="2" t="s">
        <v>37</v>
      </c>
      <c r="J289" s="2"/>
      <c r="K289" s="2" t="s">
        <v>62</v>
      </c>
    </row>
    <row r="290" spans="1:11" x14ac:dyDescent="0.25">
      <c r="A290" s="2" t="s">
        <v>565</v>
      </c>
      <c r="B290" s="2" t="s">
        <v>566</v>
      </c>
      <c r="C290" s="2" t="s">
        <v>29</v>
      </c>
      <c r="D290" s="2" t="s">
        <v>61</v>
      </c>
      <c r="E290" s="4">
        <v>46177</v>
      </c>
      <c r="F290" s="4">
        <v>46185</v>
      </c>
      <c r="G290" s="5">
        <v>9425</v>
      </c>
      <c r="H290" s="5">
        <v>7780.95</v>
      </c>
      <c r="I290" s="2" t="s">
        <v>37</v>
      </c>
      <c r="J290" s="2"/>
      <c r="K290" s="2" t="s">
        <v>567</v>
      </c>
    </row>
    <row r="291" spans="1:11" x14ac:dyDescent="0.25">
      <c r="A291" s="2" t="s">
        <v>568</v>
      </c>
      <c r="B291" s="2" t="s">
        <v>569</v>
      </c>
      <c r="C291" s="2" t="s">
        <v>46</v>
      </c>
      <c r="D291" s="2" t="s">
        <v>61</v>
      </c>
      <c r="E291" s="4">
        <v>46134</v>
      </c>
      <c r="F291" s="4">
        <v>46142</v>
      </c>
      <c r="G291" s="5">
        <v>12275</v>
      </c>
      <c r="H291" s="5">
        <v>0</v>
      </c>
      <c r="I291" s="2" t="s">
        <v>31</v>
      </c>
      <c r="J291" s="2" t="s">
        <v>312</v>
      </c>
      <c r="K291" s="2" t="s">
        <v>109</v>
      </c>
    </row>
    <row r="292" spans="1:11" x14ac:dyDescent="0.25">
      <c r="A292" s="2" t="s">
        <v>570</v>
      </c>
      <c r="B292" s="2" t="s">
        <v>571</v>
      </c>
      <c r="C292" s="2" t="s">
        <v>29</v>
      </c>
      <c r="D292" s="2" t="s">
        <v>30</v>
      </c>
      <c r="E292" s="4">
        <v>46221</v>
      </c>
      <c r="F292" s="4">
        <v>46229</v>
      </c>
      <c r="G292" s="5">
        <v>8975</v>
      </c>
      <c r="H292" s="5">
        <v>7712.1</v>
      </c>
      <c r="I292" s="2" t="s">
        <v>130</v>
      </c>
      <c r="J292" s="2"/>
      <c r="K292" s="2" t="s">
        <v>65</v>
      </c>
    </row>
    <row r="293" spans="1:11" x14ac:dyDescent="0.25">
      <c r="A293" s="2" t="s">
        <v>572</v>
      </c>
      <c r="B293" s="2" t="s">
        <v>573</v>
      </c>
      <c r="C293" s="2" t="s">
        <v>46</v>
      </c>
      <c r="D293" s="2" t="s">
        <v>30</v>
      </c>
      <c r="E293" s="4">
        <v>46271</v>
      </c>
      <c r="F293" s="4">
        <v>46286</v>
      </c>
      <c r="G293" s="5">
        <v>325</v>
      </c>
      <c r="H293" s="5"/>
      <c r="I293" s="2" t="s">
        <v>42</v>
      </c>
      <c r="J293" s="2"/>
      <c r="K293" s="2" t="s">
        <v>109</v>
      </c>
    </row>
    <row r="294" spans="1:11" x14ac:dyDescent="0.25">
      <c r="A294" s="2" t="s">
        <v>574</v>
      </c>
      <c r="B294" s="2" t="s">
        <v>467</v>
      </c>
      <c r="C294" s="2" t="s">
        <v>36</v>
      </c>
      <c r="D294" s="2" t="s">
        <v>61</v>
      </c>
      <c r="E294" s="4">
        <v>46255</v>
      </c>
      <c r="F294" s="4">
        <v>46259</v>
      </c>
      <c r="G294" s="5">
        <v>2600</v>
      </c>
      <c r="H294" s="5">
        <v>1502.24</v>
      </c>
      <c r="I294" s="2" t="s">
        <v>37</v>
      </c>
      <c r="J294" s="2"/>
      <c r="K294" s="2" t="s">
        <v>65</v>
      </c>
    </row>
    <row r="295" spans="1:11" x14ac:dyDescent="0.25">
      <c r="A295" s="2" t="s">
        <v>575</v>
      </c>
      <c r="B295" s="2" t="s">
        <v>576</v>
      </c>
      <c r="C295" s="2" t="s">
        <v>36</v>
      </c>
      <c r="D295" s="2" t="s">
        <v>61</v>
      </c>
      <c r="E295" s="4">
        <v>46043</v>
      </c>
      <c r="F295" s="4">
        <v>46048</v>
      </c>
      <c r="G295" s="5">
        <v>7450</v>
      </c>
      <c r="H295" s="5">
        <v>6876.93</v>
      </c>
      <c r="I295" s="2" t="s">
        <v>37</v>
      </c>
      <c r="J295" s="2"/>
      <c r="K295" s="2" t="s">
        <v>83</v>
      </c>
    </row>
    <row r="296" spans="1:11" x14ac:dyDescent="0.25">
      <c r="A296" s="2" t="s">
        <v>577</v>
      </c>
      <c r="B296" s="2" t="s">
        <v>578</v>
      </c>
      <c r="C296" s="2" t="s">
        <v>79</v>
      </c>
      <c r="D296" s="2" t="s">
        <v>61</v>
      </c>
      <c r="E296" s="4">
        <v>46059</v>
      </c>
      <c r="F296" s="4">
        <v>46075</v>
      </c>
      <c r="G296" s="5">
        <v>9325</v>
      </c>
      <c r="H296" s="5">
        <v>0</v>
      </c>
      <c r="I296" s="2" t="s">
        <v>31</v>
      </c>
      <c r="J296" s="2" t="s">
        <v>47</v>
      </c>
      <c r="K296" s="2" t="s">
        <v>83</v>
      </c>
    </row>
    <row r="297" spans="1:11" x14ac:dyDescent="0.25">
      <c r="A297" s="2" t="s">
        <v>579</v>
      </c>
      <c r="B297" s="2" t="s">
        <v>580</v>
      </c>
      <c r="C297" s="2" t="s">
        <v>29</v>
      </c>
      <c r="D297" s="2" t="s">
        <v>80</v>
      </c>
      <c r="E297" s="4">
        <v>46267</v>
      </c>
      <c r="F297" s="4">
        <v>46280</v>
      </c>
      <c r="G297" s="5">
        <v>5325</v>
      </c>
      <c r="H297" s="5"/>
      <c r="I297" s="2" t="s">
        <v>42</v>
      </c>
      <c r="J297" s="2"/>
      <c r="K297" s="2" t="s">
        <v>33</v>
      </c>
    </row>
    <row r="298" spans="1:11" x14ac:dyDescent="0.25">
      <c r="A298" s="2" t="s">
        <v>581</v>
      </c>
      <c r="B298" s="2" t="s">
        <v>582</v>
      </c>
      <c r="C298" s="2" t="s">
        <v>36</v>
      </c>
      <c r="D298" s="2" t="s">
        <v>80</v>
      </c>
      <c r="E298" s="4">
        <v>46138</v>
      </c>
      <c r="F298" s="4">
        <v>46149</v>
      </c>
      <c r="G298" s="5">
        <v>7900</v>
      </c>
      <c r="H298" s="5"/>
      <c r="I298" s="2" t="s">
        <v>42</v>
      </c>
      <c r="J298" s="2"/>
      <c r="K298" s="2" t="s">
        <v>62</v>
      </c>
    </row>
    <row r="299" spans="1:11" x14ac:dyDescent="0.25">
      <c r="A299" s="2" t="s">
        <v>583</v>
      </c>
      <c r="B299" s="2" t="s">
        <v>584</v>
      </c>
      <c r="C299" s="2" t="s">
        <v>46</v>
      </c>
      <c r="D299" s="2" t="s">
        <v>55</v>
      </c>
      <c r="E299" s="4">
        <v>46143</v>
      </c>
      <c r="F299" s="4">
        <v>46147</v>
      </c>
      <c r="G299" s="5">
        <v>875</v>
      </c>
      <c r="H299" s="5"/>
      <c r="I299" s="2" t="s">
        <v>42</v>
      </c>
      <c r="J299" s="2"/>
      <c r="K299" s="2" t="s">
        <v>109</v>
      </c>
    </row>
    <row r="300" spans="1:11" x14ac:dyDescent="0.25">
      <c r="A300" s="2" t="s">
        <v>585</v>
      </c>
      <c r="B300" s="2" t="s">
        <v>586</v>
      </c>
      <c r="C300" s="2" t="s">
        <v>46</v>
      </c>
      <c r="D300" s="2" t="s">
        <v>41</v>
      </c>
      <c r="E300" s="4">
        <v>46222</v>
      </c>
      <c r="F300" s="4">
        <v>46227</v>
      </c>
      <c r="G300" s="5">
        <v>4375</v>
      </c>
      <c r="H300" s="5">
        <v>0</v>
      </c>
      <c r="I300" s="2" t="s">
        <v>31</v>
      </c>
      <c r="J300" s="2" t="s">
        <v>116</v>
      </c>
      <c r="K300" s="2" t="s">
        <v>62</v>
      </c>
    </row>
    <row r="301" spans="1:11" x14ac:dyDescent="0.25">
      <c r="A301" s="2" t="s">
        <v>587</v>
      </c>
      <c r="B301" s="2" t="s">
        <v>417</v>
      </c>
      <c r="C301" s="2" t="s">
        <v>29</v>
      </c>
      <c r="D301" s="2" t="s">
        <v>80</v>
      </c>
      <c r="E301" s="4">
        <v>46083</v>
      </c>
      <c r="F301" s="4">
        <v>46087</v>
      </c>
      <c r="G301" s="5">
        <v>11450</v>
      </c>
      <c r="H301" s="5"/>
      <c r="I301" s="2" t="s">
        <v>42</v>
      </c>
      <c r="J301" s="2"/>
      <c r="K301" s="2" t="s">
        <v>56</v>
      </c>
    </row>
    <row r="302" spans="1:11" x14ac:dyDescent="0.25">
      <c r="A302" s="2" t="s">
        <v>588</v>
      </c>
      <c r="B302" s="2" t="s">
        <v>469</v>
      </c>
      <c r="C302" s="2" t="s">
        <v>79</v>
      </c>
      <c r="D302" s="2" t="s">
        <v>30</v>
      </c>
      <c r="E302" s="4">
        <v>46140</v>
      </c>
      <c r="F302" s="4">
        <v>46158</v>
      </c>
      <c r="G302" s="5">
        <v>12875</v>
      </c>
      <c r="H302" s="5">
        <v>7307.6</v>
      </c>
      <c r="I302" s="2" t="s">
        <v>37</v>
      </c>
      <c r="J302" s="2"/>
      <c r="K302" s="2" t="s">
        <v>43</v>
      </c>
    </row>
    <row r="303" spans="1:11" x14ac:dyDescent="0.25">
      <c r="A303" s="2" t="s">
        <v>589</v>
      </c>
      <c r="B303" s="2" t="s">
        <v>590</v>
      </c>
      <c r="C303" s="2" t="s">
        <v>36</v>
      </c>
      <c r="D303" s="2" t="s">
        <v>591</v>
      </c>
      <c r="E303" s="4">
        <v>46135</v>
      </c>
      <c r="F303" s="4">
        <v>46141</v>
      </c>
      <c r="G303" s="5">
        <v>4200</v>
      </c>
      <c r="H303" s="5">
        <v>2825.74</v>
      </c>
      <c r="I303" s="2" t="s">
        <v>37</v>
      </c>
      <c r="J303" s="2"/>
      <c r="K303" s="2" t="s">
        <v>48</v>
      </c>
    </row>
    <row r="304" spans="1:11" x14ac:dyDescent="0.25">
      <c r="A304" s="2" t="s">
        <v>592</v>
      </c>
      <c r="B304" s="2" t="s">
        <v>218</v>
      </c>
      <c r="C304" s="2" t="s">
        <v>46</v>
      </c>
      <c r="D304" s="2" t="s">
        <v>71</v>
      </c>
      <c r="E304" s="4">
        <v>46179</v>
      </c>
      <c r="F304" s="4">
        <v>46192</v>
      </c>
      <c r="G304" s="5">
        <v>1675</v>
      </c>
      <c r="H304" s="5"/>
      <c r="I304" s="2" t="s">
        <v>42</v>
      </c>
      <c r="J304" s="2"/>
      <c r="K304" s="2" t="s">
        <v>56</v>
      </c>
    </row>
    <row r="305" spans="1:11" x14ac:dyDescent="0.25">
      <c r="A305" s="2" t="s">
        <v>593</v>
      </c>
      <c r="B305" s="2" t="s">
        <v>594</v>
      </c>
      <c r="C305" s="2" t="s">
        <v>36</v>
      </c>
      <c r="D305" s="2" t="s">
        <v>55</v>
      </c>
      <c r="E305" s="4">
        <v>46187</v>
      </c>
      <c r="F305" s="4">
        <v>46193</v>
      </c>
      <c r="G305" s="5">
        <v>7450</v>
      </c>
      <c r="H305" s="5">
        <v>0</v>
      </c>
      <c r="I305" s="2" t="s">
        <v>31</v>
      </c>
      <c r="J305" s="2" t="s">
        <v>347</v>
      </c>
      <c r="K305" s="2" t="s">
        <v>595</v>
      </c>
    </row>
    <row r="306" spans="1:11" x14ac:dyDescent="0.25">
      <c r="A306" s="2" t="s">
        <v>596</v>
      </c>
      <c r="B306" s="2" t="s">
        <v>206</v>
      </c>
      <c r="C306" s="2" t="s">
        <v>79</v>
      </c>
      <c r="D306" s="2" t="s">
        <v>55</v>
      </c>
      <c r="E306" s="4">
        <v>46138</v>
      </c>
      <c r="F306" s="4">
        <v>46150</v>
      </c>
      <c r="G306" s="5">
        <v>5400</v>
      </c>
      <c r="H306" s="5"/>
      <c r="I306" s="2" t="s">
        <v>42</v>
      </c>
      <c r="J306" s="2"/>
      <c r="K306" s="2" t="s">
        <v>38</v>
      </c>
    </row>
    <row r="307" spans="1:11" x14ac:dyDescent="0.25">
      <c r="A307" s="2" t="s">
        <v>597</v>
      </c>
      <c r="B307" s="2" t="s">
        <v>598</v>
      </c>
      <c r="C307" s="2" t="s">
        <v>29</v>
      </c>
      <c r="D307" s="2" t="s">
        <v>41</v>
      </c>
      <c r="E307" s="4">
        <v>46045</v>
      </c>
      <c r="F307" s="4">
        <v>46058</v>
      </c>
      <c r="G307" s="5">
        <v>1625</v>
      </c>
      <c r="H307" s="5"/>
      <c r="I307" s="2" t="s">
        <v>42</v>
      </c>
      <c r="J307" s="2"/>
      <c r="K307" s="2" t="s">
        <v>43</v>
      </c>
    </row>
    <row r="308" spans="1:11" x14ac:dyDescent="0.25">
      <c r="A308" s="2" t="s">
        <v>599</v>
      </c>
      <c r="B308" s="2" t="s">
        <v>600</v>
      </c>
      <c r="C308" s="2" t="s">
        <v>29</v>
      </c>
      <c r="D308" s="2" t="s">
        <v>80</v>
      </c>
      <c r="E308" s="4">
        <v>46260</v>
      </c>
      <c r="F308" s="4">
        <v>46265</v>
      </c>
      <c r="G308" s="5">
        <v>3400</v>
      </c>
      <c r="H308" s="5"/>
      <c r="I308" s="2" t="s">
        <v>42</v>
      </c>
      <c r="J308" s="2"/>
      <c r="K308" s="2" t="s">
        <v>83</v>
      </c>
    </row>
    <row r="309" spans="1:11" x14ac:dyDescent="0.25">
      <c r="A309" s="2" t="s">
        <v>601</v>
      </c>
      <c r="B309" s="2" t="s">
        <v>102</v>
      </c>
      <c r="C309" s="2" t="s">
        <v>36</v>
      </c>
      <c r="D309" s="2" t="s">
        <v>41</v>
      </c>
      <c r="E309" s="4">
        <v>46268</v>
      </c>
      <c r="F309" s="4">
        <v>46279</v>
      </c>
      <c r="G309" s="5">
        <v>14150</v>
      </c>
      <c r="H309" s="5"/>
      <c r="I309" s="2" t="s">
        <v>42</v>
      </c>
      <c r="J309" s="2"/>
      <c r="K309" s="2" t="s">
        <v>56</v>
      </c>
    </row>
    <row r="310" spans="1:11" x14ac:dyDescent="0.25">
      <c r="A310" s="2" t="s">
        <v>602</v>
      </c>
      <c r="B310" s="2" t="s">
        <v>138</v>
      </c>
      <c r="C310" s="2" t="s">
        <v>46</v>
      </c>
      <c r="D310" s="2" t="s">
        <v>61</v>
      </c>
      <c r="E310" s="4">
        <v>46091</v>
      </c>
      <c r="F310" s="4">
        <v>46099</v>
      </c>
      <c r="G310" s="5">
        <v>14400</v>
      </c>
      <c r="H310" s="5"/>
      <c r="I310" s="2" t="s">
        <v>42</v>
      </c>
      <c r="J310" s="2"/>
      <c r="K310" s="2" t="s">
        <v>56</v>
      </c>
    </row>
    <row r="311" spans="1:11" x14ac:dyDescent="0.25">
      <c r="A311" s="2" t="s">
        <v>603</v>
      </c>
      <c r="B311" s="2" t="s">
        <v>604</v>
      </c>
      <c r="C311" s="2" t="s">
        <v>46</v>
      </c>
      <c r="D311" s="2" t="s">
        <v>94</v>
      </c>
      <c r="E311" s="4">
        <v>46035</v>
      </c>
      <c r="F311" s="4">
        <v>46052</v>
      </c>
      <c r="G311" s="5">
        <v>1850</v>
      </c>
      <c r="H311" s="5">
        <v>1412.81</v>
      </c>
      <c r="I311" s="2" t="s">
        <v>37</v>
      </c>
      <c r="J311" s="2"/>
      <c r="K311" s="2" t="s">
        <v>56</v>
      </c>
    </row>
    <row r="312" spans="1:11" x14ac:dyDescent="0.25">
      <c r="A312" s="2" t="s">
        <v>605</v>
      </c>
      <c r="B312" s="2" t="s">
        <v>496</v>
      </c>
      <c r="C312" s="2" t="s">
        <v>29</v>
      </c>
      <c r="D312" s="2" t="s">
        <v>30</v>
      </c>
      <c r="E312" s="4">
        <v>46056</v>
      </c>
      <c r="F312" s="4">
        <v>46059</v>
      </c>
      <c r="G312" s="5">
        <v>7175</v>
      </c>
      <c r="H312" s="5">
        <v>6750.18</v>
      </c>
      <c r="I312" s="2" t="s">
        <v>37</v>
      </c>
      <c r="J312" s="2"/>
      <c r="K312" s="2" t="s">
        <v>43</v>
      </c>
    </row>
    <row r="313" spans="1:11" x14ac:dyDescent="0.25">
      <c r="A313" s="2" t="s">
        <v>606</v>
      </c>
      <c r="B313" s="2" t="s">
        <v>431</v>
      </c>
      <c r="C313" s="2" t="s">
        <v>29</v>
      </c>
      <c r="D313" s="2" t="s">
        <v>55</v>
      </c>
      <c r="E313" s="4">
        <v>46219</v>
      </c>
      <c r="F313" s="4">
        <v>46229</v>
      </c>
      <c r="G313" s="5">
        <v>10750</v>
      </c>
      <c r="H313" s="5">
        <v>6534.46</v>
      </c>
      <c r="I313" s="2" t="s">
        <v>37</v>
      </c>
      <c r="J313" s="2"/>
      <c r="K313" s="2" t="s">
        <v>38</v>
      </c>
    </row>
    <row r="314" spans="1:11" x14ac:dyDescent="0.25">
      <c r="A314" s="2" t="s">
        <v>607</v>
      </c>
      <c r="B314" s="2" t="s">
        <v>549</v>
      </c>
      <c r="C314" s="2" t="s">
        <v>29</v>
      </c>
      <c r="D314" s="2" t="s">
        <v>71</v>
      </c>
      <c r="E314" s="4">
        <v>46045</v>
      </c>
      <c r="F314" s="4">
        <v>46060</v>
      </c>
      <c r="G314" s="5">
        <v>12275</v>
      </c>
      <c r="H314" s="5">
        <v>8105.64</v>
      </c>
      <c r="I314" s="2" t="s">
        <v>37</v>
      </c>
      <c r="J314" s="2"/>
      <c r="K314" s="2" t="s">
        <v>52</v>
      </c>
    </row>
    <row r="315" spans="1:11" x14ac:dyDescent="0.25">
      <c r="A315" s="2" t="s">
        <v>608</v>
      </c>
      <c r="B315" s="2" t="s">
        <v>609</v>
      </c>
      <c r="C315" s="2" t="s">
        <v>29</v>
      </c>
      <c r="D315" s="2" t="s">
        <v>68</v>
      </c>
      <c r="E315" s="4">
        <v>46071</v>
      </c>
      <c r="F315" s="4">
        <v>46084</v>
      </c>
      <c r="G315" s="5">
        <v>8075</v>
      </c>
      <c r="H315" s="5">
        <v>0</v>
      </c>
      <c r="I315" s="2" t="s">
        <v>31</v>
      </c>
      <c r="J315" s="2" t="s">
        <v>271</v>
      </c>
      <c r="K315" s="2" t="s">
        <v>43</v>
      </c>
    </row>
    <row r="316" spans="1:11" x14ac:dyDescent="0.25">
      <c r="A316" s="2" t="s">
        <v>610</v>
      </c>
      <c r="B316" s="2" t="s">
        <v>611</v>
      </c>
      <c r="C316" s="2" t="s">
        <v>79</v>
      </c>
      <c r="D316" s="2" t="s">
        <v>55</v>
      </c>
      <c r="E316" s="4">
        <v>46150</v>
      </c>
      <c r="F316" s="4">
        <v>46154</v>
      </c>
      <c r="G316" s="5">
        <v>2650</v>
      </c>
      <c r="H316" s="5">
        <v>1893.71</v>
      </c>
      <c r="I316" s="2" t="s">
        <v>299</v>
      </c>
      <c r="J316" s="2"/>
      <c r="K316" s="2" t="s">
        <v>52</v>
      </c>
    </row>
    <row r="317" spans="1:11" x14ac:dyDescent="0.25">
      <c r="A317" s="2" t="s">
        <v>612</v>
      </c>
      <c r="B317" s="2" t="s">
        <v>613</v>
      </c>
      <c r="C317" s="2" t="s">
        <v>36</v>
      </c>
      <c r="D317" s="2" t="s">
        <v>55</v>
      </c>
      <c r="E317" s="4">
        <v>46128</v>
      </c>
      <c r="F317" s="4">
        <v>46131</v>
      </c>
      <c r="G317" s="5">
        <v>10825</v>
      </c>
      <c r="H317" s="5"/>
      <c r="I317" s="2" t="s">
        <v>42</v>
      </c>
      <c r="J317" s="2"/>
      <c r="K317" s="2" t="s">
        <v>65</v>
      </c>
    </row>
    <row r="318" spans="1:11" x14ac:dyDescent="0.25">
      <c r="A318" s="2" t="s">
        <v>614</v>
      </c>
      <c r="B318" s="2" t="s">
        <v>615</v>
      </c>
      <c r="C318" s="2" t="s">
        <v>29</v>
      </c>
      <c r="D318" s="2" t="s">
        <v>94</v>
      </c>
      <c r="E318" s="4">
        <v>46240</v>
      </c>
      <c r="F318" s="4">
        <v>46255</v>
      </c>
      <c r="G318" s="5">
        <v>13200</v>
      </c>
      <c r="H318" s="5"/>
      <c r="I318" s="2" t="s">
        <v>42</v>
      </c>
      <c r="J318" s="2"/>
      <c r="K318" s="2" t="s">
        <v>48</v>
      </c>
    </row>
    <row r="319" spans="1:11" x14ac:dyDescent="0.25">
      <c r="A319" s="2" t="s">
        <v>616</v>
      </c>
      <c r="B319" s="2" t="s">
        <v>617</v>
      </c>
      <c r="C319" s="2" t="s">
        <v>29</v>
      </c>
      <c r="D319" s="2" t="s">
        <v>55</v>
      </c>
      <c r="E319" s="4">
        <v>46127</v>
      </c>
      <c r="F319" s="4">
        <v>46139</v>
      </c>
      <c r="G319" s="5">
        <v>6150</v>
      </c>
      <c r="H319" s="5">
        <v>0</v>
      </c>
      <c r="I319" s="2" t="s">
        <v>31</v>
      </c>
      <c r="J319" s="2" t="s">
        <v>271</v>
      </c>
      <c r="K319" s="2" t="s">
        <v>62</v>
      </c>
    </row>
    <row r="320" spans="1:11" x14ac:dyDescent="0.25">
      <c r="A320" s="2" t="s">
        <v>618</v>
      </c>
      <c r="B320" s="2" t="s">
        <v>619</v>
      </c>
      <c r="C320" s="2" t="s">
        <v>36</v>
      </c>
      <c r="D320" s="2" t="s">
        <v>80</v>
      </c>
      <c r="E320" s="4">
        <v>46133</v>
      </c>
      <c r="F320" s="4">
        <v>46138</v>
      </c>
      <c r="G320" s="5">
        <v>14100</v>
      </c>
      <c r="H320" s="5">
        <v>11328.98</v>
      </c>
      <c r="I320" s="2" t="s">
        <v>37</v>
      </c>
      <c r="J320" s="2"/>
      <c r="K320" s="2" t="s">
        <v>52</v>
      </c>
    </row>
    <row r="321" spans="1:11" x14ac:dyDescent="0.25">
      <c r="A321" s="2" t="s">
        <v>620</v>
      </c>
      <c r="B321" s="2" t="s">
        <v>212</v>
      </c>
      <c r="C321" s="2" t="s">
        <v>29</v>
      </c>
      <c r="D321" s="2" t="s">
        <v>61</v>
      </c>
      <c r="E321" s="4">
        <v>46230</v>
      </c>
      <c r="F321" s="4">
        <v>46241</v>
      </c>
      <c r="G321" s="5">
        <v>2600</v>
      </c>
      <c r="H321" s="5"/>
      <c r="I321" s="2" t="s">
        <v>42</v>
      </c>
      <c r="J321" s="2"/>
      <c r="K321" s="2" t="s">
        <v>43</v>
      </c>
    </row>
    <row r="322" spans="1:11" x14ac:dyDescent="0.25">
      <c r="A322" s="2" t="s">
        <v>621</v>
      </c>
      <c r="B322" s="2" t="s">
        <v>278</v>
      </c>
      <c r="C322" s="2" t="s">
        <v>79</v>
      </c>
      <c r="D322" s="2" t="s">
        <v>80</v>
      </c>
      <c r="E322" s="4">
        <v>46241</v>
      </c>
      <c r="F322" s="4">
        <v>46245</v>
      </c>
      <c r="G322" s="5">
        <v>13050</v>
      </c>
      <c r="H322" s="5"/>
      <c r="I322" s="2" t="s">
        <v>42</v>
      </c>
      <c r="J322" s="2"/>
      <c r="K322" s="2" t="s">
        <v>38</v>
      </c>
    </row>
    <row r="323" spans="1:11" x14ac:dyDescent="0.25">
      <c r="A323" s="2" t="s">
        <v>622</v>
      </c>
      <c r="B323" s="2" t="s">
        <v>142</v>
      </c>
      <c r="C323" s="2" t="s">
        <v>29</v>
      </c>
      <c r="D323" s="2" t="s">
        <v>30</v>
      </c>
      <c r="E323" s="4">
        <v>46044</v>
      </c>
      <c r="F323" s="4">
        <v>46057</v>
      </c>
      <c r="G323" s="5">
        <v>9625</v>
      </c>
      <c r="H323" s="5">
        <v>8348.2199999999993</v>
      </c>
      <c r="I323" s="2" t="s">
        <v>37</v>
      </c>
      <c r="J323" s="2"/>
      <c r="K323" s="2" t="s">
        <v>56</v>
      </c>
    </row>
    <row r="324" spans="1:11" x14ac:dyDescent="0.25">
      <c r="A324" s="2" t="s">
        <v>623</v>
      </c>
      <c r="B324" s="2" t="s">
        <v>318</v>
      </c>
      <c r="C324" s="2" t="s">
        <v>46</v>
      </c>
      <c r="D324" s="2" t="s">
        <v>30</v>
      </c>
      <c r="E324" s="4">
        <v>46079</v>
      </c>
      <c r="F324" s="4">
        <v>46092</v>
      </c>
      <c r="G324" s="5">
        <v>13325</v>
      </c>
      <c r="H324" s="5"/>
      <c r="I324" s="2" t="s">
        <v>42</v>
      </c>
      <c r="J324" s="2"/>
      <c r="K324" s="2" t="s">
        <v>65</v>
      </c>
    </row>
    <row r="325" spans="1:11" x14ac:dyDescent="0.25">
      <c r="A325" s="2" t="s">
        <v>624</v>
      </c>
      <c r="B325" s="2" t="s">
        <v>136</v>
      </c>
      <c r="C325" s="2" t="s">
        <v>79</v>
      </c>
      <c r="D325" s="2" t="s">
        <v>41</v>
      </c>
      <c r="E325" s="4">
        <v>46182</v>
      </c>
      <c r="F325" s="4">
        <v>46190</v>
      </c>
      <c r="G325" s="5">
        <v>12950</v>
      </c>
      <c r="H325" s="5">
        <v>11819.63</v>
      </c>
      <c r="I325" s="2" t="s">
        <v>37</v>
      </c>
      <c r="J325" s="2"/>
      <c r="K325" s="2" t="s">
        <v>56</v>
      </c>
    </row>
    <row r="326" spans="1:11" x14ac:dyDescent="0.25">
      <c r="A326" s="2" t="s">
        <v>625</v>
      </c>
      <c r="B326" s="2" t="s">
        <v>104</v>
      </c>
      <c r="C326" s="2" t="s">
        <v>36</v>
      </c>
      <c r="D326" s="2" t="s">
        <v>94</v>
      </c>
      <c r="E326" s="4">
        <v>46241</v>
      </c>
      <c r="F326" s="4">
        <v>46258</v>
      </c>
      <c r="G326" s="5">
        <v>13850</v>
      </c>
      <c r="H326" s="5"/>
      <c r="I326" s="2" t="s">
        <v>42</v>
      </c>
      <c r="J326" s="2"/>
      <c r="K326" s="2" t="s">
        <v>52</v>
      </c>
    </row>
    <row r="327" spans="1:11" x14ac:dyDescent="0.25">
      <c r="A327" s="2" t="s">
        <v>626</v>
      </c>
      <c r="B327" s="2" t="s">
        <v>206</v>
      </c>
      <c r="C327" s="2" t="s">
        <v>79</v>
      </c>
      <c r="D327" s="2" t="s">
        <v>55</v>
      </c>
      <c r="E327" s="4">
        <v>46240</v>
      </c>
      <c r="F327" s="4">
        <v>46244</v>
      </c>
      <c r="G327" s="5">
        <v>2225</v>
      </c>
      <c r="H327" s="5">
        <v>1392.15</v>
      </c>
      <c r="I327" s="2" t="s">
        <v>37</v>
      </c>
      <c r="J327" s="2"/>
      <c r="K327" s="2" t="s">
        <v>62</v>
      </c>
    </row>
    <row r="328" spans="1:11" x14ac:dyDescent="0.25">
      <c r="A328" s="2" t="s">
        <v>627</v>
      </c>
      <c r="B328" s="2" t="s">
        <v>183</v>
      </c>
      <c r="C328" s="2" t="s">
        <v>79</v>
      </c>
      <c r="D328" s="2" t="s">
        <v>80</v>
      </c>
      <c r="E328" s="4">
        <v>46083</v>
      </c>
      <c r="F328" s="4">
        <v>46097</v>
      </c>
      <c r="G328" s="5">
        <v>14050</v>
      </c>
      <c r="H328" s="5">
        <v>10242.68</v>
      </c>
      <c r="I328" s="2" t="s">
        <v>37</v>
      </c>
      <c r="J328" s="2"/>
      <c r="K328" s="2" t="s">
        <v>109</v>
      </c>
    </row>
    <row r="329" spans="1:11" x14ac:dyDescent="0.25">
      <c r="A329" s="2" t="s">
        <v>628</v>
      </c>
      <c r="B329" s="2" t="s">
        <v>629</v>
      </c>
      <c r="C329" s="2" t="s">
        <v>79</v>
      </c>
      <c r="D329" s="2" t="s">
        <v>61</v>
      </c>
      <c r="E329" s="4">
        <v>46141</v>
      </c>
      <c r="F329" s="4">
        <v>46150</v>
      </c>
      <c r="G329" s="5">
        <v>4850</v>
      </c>
      <c r="H329" s="5">
        <v>0</v>
      </c>
      <c r="I329" s="2" t="s">
        <v>31</v>
      </c>
      <c r="J329" s="2" t="s">
        <v>47</v>
      </c>
      <c r="K329" s="2" t="s">
        <v>65</v>
      </c>
    </row>
    <row r="330" spans="1:11" x14ac:dyDescent="0.25">
      <c r="A330" s="2" t="s">
        <v>630</v>
      </c>
      <c r="B330" s="2" t="s">
        <v>631</v>
      </c>
      <c r="C330" s="2" t="s">
        <v>46</v>
      </c>
      <c r="D330" s="2" t="s">
        <v>68</v>
      </c>
      <c r="E330" s="4">
        <v>46049</v>
      </c>
      <c r="F330" s="4">
        <v>46052</v>
      </c>
      <c r="G330" s="5">
        <v>7750</v>
      </c>
      <c r="H330" s="5"/>
      <c r="I330" s="2" t="s">
        <v>42</v>
      </c>
      <c r="J330" s="2"/>
      <c r="K330" s="2" t="s">
        <v>52</v>
      </c>
    </row>
    <row r="331" spans="1:11" x14ac:dyDescent="0.25">
      <c r="A331" s="2" t="s">
        <v>632</v>
      </c>
      <c r="B331" s="2" t="s">
        <v>560</v>
      </c>
      <c r="C331" s="2" t="s">
        <v>46</v>
      </c>
      <c r="D331" s="2" t="s">
        <v>61</v>
      </c>
      <c r="E331" s="4">
        <v>46116</v>
      </c>
      <c r="F331" s="4">
        <v>46134</v>
      </c>
      <c r="G331" s="5">
        <v>8325</v>
      </c>
      <c r="H331" s="5">
        <v>0</v>
      </c>
      <c r="I331" s="2" t="s">
        <v>31</v>
      </c>
      <c r="J331" s="2" t="s">
        <v>271</v>
      </c>
      <c r="K331" s="2" t="s">
        <v>43</v>
      </c>
    </row>
    <row r="332" spans="1:11" x14ac:dyDescent="0.25">
      <c r="A332" s="2" t="s">
        <v>633</v>
      </c>
      <c r="B332" s="2" t="s">
        <v>634</v>
      </c>
      <c r="C332" s="2" t="s">
        <v>79</v>
      </c>
      <c r="D332" s="2" t="s">
        <v>55</v>
      </c>
      <c r="E332" s="4">
        <v>46179</v>
      </c>
      <c r="F332" s="4">
        <v>46186</v>
      </c>
      <c r="G332" s="5">
        <v>9025</v>
      </c>
      <c r="H332" s="5">
        <v>0</v>
      </c>
      <c r="I332" s="2" t="s">
        <v>31</v>
      </c>
      <c r="J332" s="2" t="s">
        <v>347</v>
      </c>
      <c r="K332" s="2" t="s">
        <v>109</v>
      </c>
    </row>
    <row r="333" spans="1:11" x14ac:dyDescent="0.25">
      <c r="A333" s="2" t="s">
        <v>635</v>
      </c>
      <c r="B333" s="2" t="s">
        <v>636</v>
      </c>
      <c r="C333" s="2" t="s">
        <v>29</v>
      </c>
      <c r="D333" s="2" t="s">
        <v>55</v>
      </c>
      <c r="E333" s="4">
        <v>46192</v>
      </c>
      <c r="F333" s="4">
        <v>46201</v>
      </c>
      <c r="G333" s="5">
        <v>8450</v>
      </c>
      <c r="H333" s="5"/>
      <c r="I333" s="2" t="s">
        <v>42</v>
      </c>
      <c r="J333" s="2"/>
      <c r="K333" s="2" t="s">
        <v>43</v>
      </c>
    </row>
    <row r="334" spans="1:11" x14ac:dyDescent="0.25">
      <c r="A334" s="2" t="s">
        <v>637</v>
      </c>
      <c r="B334" s="2" t="s">
        <v>638</v>
      </c>
      <c r="C334" s="2" t="s">
        <v>36</v>
      </c>
      <c r="D334" s="2" t="s">
        <v>41</v>
      </c>
      <c r="E334" s="4">
        <v>46271</v>
      </c>
      <c r="F334" s="4">
        <v>46275</v>
      </c>
      <c r="G334" s="5">
        <v>1900</v>
      </c>
      <c r="H334" s="5"/>
      <c r="I334" s="2" t="s">
        <v>42</v>
      </c>
      <c r="J334" s="2"/>
      <c r="K334" s="2" t="s">
        <v>56</v>
      </c>
    </row>
    <row r="335" spans="1:11" x14ac:dyDescent="0.25">
      <c r="A335" s="2" t="s">
        <v>639</v>
      </c>
      <c r="B335" s="2" t="s">
        <v>40</v>
      </c>
      <c r="C335" s="2" t="s">
        <v>36</v>
      </c>
      <c r="D335" s="2" t="s">
        <v>55</v>
      </c>
      <c r="E335" s="4">
        <v>46185</v>
      </c>
      <c r="F335" s="4">
        <v>46203</v>
      </c>
      <c r="G335" s="5">
        <v>13950</v>
      </c>
      <c r="H335" s="5"/>
      <c r="I335" s="2" t="s">
        <v>42</v>
      </c>
      <c r="J335" s="2"/>
      <c r="K335" s="2" t="s">
        <v>109</v>
      </c>
    </row>
    <row r="336" spans="1:11" x14ac:dyDescent="0.25">
      <c r="A336" s="2" t="s">
        <v>640</v>
      </c>
      <c r="B336" s="2" t="s">
        <v>295</v>
      </c>
      <c r="C336" s="2" t="s">
        <v>29</v>
      </c>
      <c r="D336" s="2" t="s">
        <v>641</v>
      </c>
      <c r="E336" s="4">
        <v>46093</v>
      </c>
      <c r="F336" s="4">
        <v>46113</v>
      </c>
      <c r="G336" s="5">
        <v>7275</v>
      </c>
      <c r="H336" s="5">
        <v>6222.99</v>
      </c>
      <c r="I336" s="2" t="s">
        <v>37</v>
      </c>
      <c r="J336" s="2"/>
      <c r="K336" s="2" t="s">
        <v>43</v>
      </c>
    </row>
    <row r="337" spans="1:11" x14ac:dyDescent="0.25">
      <c r="A337" s="2" t="s">
        <v>642</v>
      </c>
      <c r="B337" s="2" t="s">
        <v>643</v>
      </c>
      <c r="C337" s="2" t="s">
        <v>36</v>
      </c>
      <c r="D337" s="2" t="s">
        <v>41</v>
      </c>
      <c r="E337" s="4">
        <v>46019</v>
      </c>
      <c r="F337" s="4">
        <v>46033</v>
      </c>
      <c r="G337" s="5">
        <v>6675</v>
      </c>
      <c r="H337" s="5">
        <v>4548.84</v>
      </c>
      <c r="I337" s="2" t="s">
        <v>37</v>
      </c>
      <c r="J337" s="2"/>
      <c r="K337" s="2" t="s">
        <v>62</v>
      </c>
    </row>
    <row r="338" spans="1:11" x14ac:dyDescent="0.25">
      <c r="A338" s="2" t="s">
        <v>644</v>
      </c>
      <c r="B338" s="2" t="s">
        <v>645</v>
      </c>
      <c r="C338" s="2" t="s">
        <v>79</v>
      </c>
      <c r="D338" s="2" t="s">
        <v>61</v>
      </c>
      <c r="E338" s="4">
        <v>46228</v>
      </c>
      <c r="F338" s="4">
        <v>46236</v>
      </c>
      <c r="G338" s="5">
        <v>7175</v>
      </c>
      <c r="H338" s="5">
        <v>4256.97</v>
      </c>
      <c r="I338" s="2" t="s">
        <v>37</v>
      </c>
      <c r="J338" s="2"/>
      <c r="K338" s="2" t="s">
        <v>109</v>
      </c>
    </row>
    <row r="339" spans="1:11" x14ac:dyDescent="0.25">
      <c r="A339" s="2" t="s">
        <v>646</v>
      </c>
      <c r="B339" s="2" t="s">
        <v>647</v>
      </c>
      <c r="C339" s="2" t="s">
        <v>29</v>
      </c>
      <c r="D339" s="2" t="s">
        <v>30</v>
      </c>
      <c r="E339" s="4">
        <v>46231</v>
      </c>
      <c r="F339" s="4">
        <v>46250</v>
      </c>
      <c r="G339" s="5">
        <v>6550</v>
      </c>
      <c r="H339" s="5">
        <v>5088.4399999999996</v>
      </c>
      <c r="I339" s="2" t="s">
        <v>37</v>
      </c>
      <c r="J339" s="2"/>
      <c r="K339" s="2" t="s">
        <v>83</v>
      </c>
    </row>
    <row r="340" spans="1:11" x14ac:dyDescent="0.25">
      <c r="A340" s="2" t="s">
        <v>648</v>
      </c>
      <c r="B340" s="2" t="s">
        <v>649</v>
      </c>
      <c r="C340" s="2" t="s">
        <v>29</v>
      </c>
      <c r="D340" s="2" t="s">
        <v>61</v>
      </c>
      <c r="E340" s="4">
        <v>46125</v>
      </c>
      <c r="F340" s="4">
        <v>46137</v>
      </c>
      <c r="G340" s="5">
        <v>850</v>
      </c>
      <c r="H340" s="5">
        <v>715.33</v>
      </c>
      <c r="I340" s="2" t="s">
        <v>37</v>
      </c>
      <c r="J340" s="2"/>
      <c r="K340" s="2" t="s">
        <v>43</v>
      </c>
    </row>
    <row r="341" spans="1:11" x14ac:dyDescent="0.25">
      <c r="A341" s="2" t="s">
        <v>650</v>
      </c>
      <c r="B341" s="2" t="s">
        <v>651</v>
      </c>
      <c r="C341" s="2" t="s">
        <v>79</v>
      </c>
      <c r="D341" s="2" t="s">
        <v>94</v>
      </c>
      <c r="E341" s="4">
        <v>46191</v>
      </c>
      <c r="F341" s="4">
        <v>46211</v>
      </c>
      <c r="G341" s="5">
        <v>12125</v>
      </c>
      <c r="H341" s="5">
        <v>9149.31</v>
      </c>
      <c r="I341" s="2" t="s">
        <v>37</v>
      </c>
      <c r="J341" s="2"/>
      <c r="K341" s="2" t="s">
        <v>43</v>
      </c>
    </row>
    <row r="342" spans="1:11" x14ac:dyDescent="0.25">
      <c r="A342" s="2" t="s">
        <v>652</v>
      </c>
      <c r="B342" s="2" t="s">
        <v>270</v>
      </c>
      <c r="C342" s="2" t="s">
        <v>46</v>
      </c>
      <c r="D342" s="2" t="s">
        <v>41</v>
      </c>
      <c r="E342" s="4">
        <v>46055</v>
      </c>
      <c r="F342" s="4">
        <v>46061</v>
      </c>
      <c r="G342" s="5">
        <v>6600</v>
      </c>
      <c r="H342" s="5">
        <v>4897.03</v>
      </c>
      <c r="I342" s="2" t="s">
        <v>37</v>
      </c>
      <c r="J342" s="2"/>
      <c r="K342" s="2" t="s">
        <v>62</v>
      </c>
    </row>
    <row r="343" spans="1:11" x14ac:dyDescent="0.25">
      <c r="A343" s="2" t="s">
        <v>653</v>
      </c>
      <c r="B343" s="2" t="s">
        <v>654</v>
      </c>
      <c r="C343" s="2" t="s">
        <v>36</v>
      </c>
      <c r="D343" s="2" t="s">
        <v>80</v>
      </c>
      <c r="E343" s="4">
        <v>46273</v>
      </c>
      <c r="F343" s="4">
        <v>46287</v>
      </c>
      <c r="G343" s="5">
        <v>2225</v>
      </c>
      <c r="H343" s="5"/>
      <c r="I343" s="2" t="s">
        <v>42</v>
      </c>
      <c r="J343" s="2"/>
      <c r="K343" s="2" t="s">
        <v>38</v>
      </c>
    </row>
    <row r="344" spans="1:11" x14ac:dyDescent="0.25">
      <c r="A344" s="2" t="s">
        <v>655</v>
      </c>
      <c r="B344" s="2" t="s">
        <v>471</v>
      </c>
      <c r="C344" s="2" t="s">
        <v>29</v>
      </c>
      <c r="D344" s="2" t="s">
        <v>30</v>
      </c>
      <c r="E344" s="4">
        <v>46062</v>
      </c>
      <c r="F344" s="4">
        <v>46079</v>
      </c>
      <c r="G344" s="5">
        <v>14675</v>
      </c>
      <c r="H344" s="5"/>
      <c r="I344" s="2" t="s">
        <v>42</v>
      </c>
      <c r="J344" s="2"/>
      <c r="K344" s="2" t="s">
        <v>83</v>
      </c>
    </row>
    <row r="345" spans="1:11" x14ac:dyDescent="0.25">
      <c r="A345" s="2" t="s">
        <v>656</v>
      </c>
      <c r="B345" s="2" t="s">
        <v>345</v>
      </c>
      <c r="C345" s="2" t="s">
        <v>29</v>
      </c>
      <c r="D345" s="2" t="s">
        <v>68</v>
      </c>
      <c r="E345" s="4">
        <v>46043</v>
      </c>
      <c r="F345" s="4">
        <v>46051</v>
      </c>
      <c r="G345" s="5">
        <v>2050</v>
      </c>
      <c r="H345" s="5">
        <v>0</v>
      </c>
      <c r="I345" s="2" t="s">
        <v>31</v>
      </c>
      <c r="J345" s="2" t="s">
        <v>271</v>
      </c>
      <c r="K345" s="2" t="s">
        <v>52</v>
      </c>
    </row>
    <row r="346" spans="1:11" x14ac:dyDescent="0.25">
      <c r="A346" s="2" t="s">
        <v>657</v>
      </c>
      <c r="B346" s="2" t="s">
        <v>303</v>
      </c>
      <c r="C346" s="2" t="s">
        <v>46</v>
      </c>
      <c r="D346" s="2" t="s">
        <v>61</v>
      </c>
      <c r="E346" s="4">
        <v>46029</v>
      </c>
      <c r="F346" s="4">
        <v>46032</v>
      </c>
      <c r="G346" s="5">
        <v>5925</v>
      </c>
      <c r="H346" s="5">
        <v>0</v>
      </c>
      <c r="I346" s="2" t="s">
        <v>31</v>
      </c>
      <c r="J346" s="2" t="s">
        <v>47</v>
      </c>
      <c r="K346" s="2" t="s">
        <v>83</v>
      </c>
    </row>
    <row r="347" spans="1:11" x14ac:dyDescent="0.25">
      <c r="A347" s="2" t="s">
        <v>658</v>
      </c>
      <c r="B347" s="2" t="s">
        <v>659</v>
      </c>
      <c r="C347" s="2" t="s">
        <v>79</v>
      </c>
      <c r="D347" s="2" t="s">
        <v>80</v>
      </c>
      <c r="E347" s="4">
        <v>46284</v>
      </c>
      <c r="F347" s="4">
        <v>46290</v>
      </c>
      <c r="G347" s="5">
        <v>5000</v>
      </c>
      <c r="H347" s="5"/>
      <c r="I347" s="2" t="s">
        <v>42</v>
      </c>
      <c r="J347" s="2"/>
      <c r="K347" s="2" t="s">
        <v>56</v>
      </c>
    </row>
    <row r="348" spans="1:11" x14ac:dyDescent="0.25">
      <c r="A348" s="2" t="s">
        <v>660</v>
      </c>
      <c r="B348" s="2" t="s">
        <v>661</v>
      </c>
      <c r="C348" s="2" t="s">
        <v>29</v>
      </c>
      <c r="D348" s="2" t="s">
        <v>68</v>
      </c>
      <c r="E348" s="4">
        <v>46195</v>
      </c>
      <c r="F348" s="4">
        <v>46199</v>
      </c>
      <c r="G348" s="5">
        <v>3875</v>
      </c>
      <c r="H348" s="5">
        <v>3422</v>
      </c>
      <c r="I348" s="2" t="s">
        <v>37</v>
      </c>
      <c r="J348" s="2"/>
      <c r="K348" s="2" t="s">
        <v>52</v>
      </c>
    </row>
    <row r="349" spans="1:11" x14ac:dyDescent="0.25">
      <c r="A349" s="2" t="s">
        <v>662</v>
      </c>
      <c r="B349" s="2" t="s">
        <v>663</v>
      </c>
      <c r="C349" s="2" t="s">
        <v>46</v>
      </c>
      <c r="D349" s="2" t="s">
        <v>55</v>
      </c>
      <c r="E349" s="4">
        <v>46147</v>
      </c>
      <c r="F349" s="4">
        <v>46155</v>
      </c>
      <c r="G349" s="5">
        <v>8475</v>
      </c>
      <c r="H349" s="5">
        <v>8228.35</v>
      </c>
      <c r="I349" s="2" t="s">
        <v>37</v>
      </c>
      <c r="J349" s="2"/>
      <c r="K349" s="2" t="s">
        <v>62</v>
      </c>
    </row>
    <row r="350" spans="1:11" x14ac:dyDescent="0.25">
      <c r="A350" s="2" t="s">
        <v>664</v>
      </c>
      <c r="B350" s="2" t="s">
        <v>120</v>
      </c>
      <c r="C350" s="2" t="s">
        <v>46</v>
      </c>
      <c r="D350" s="2" t="s">
        <v>94</v>
      </c>
      <c r="E350" s="4">
        <v>46213</v>
      </c>
      <c r="F350" s="4">
        <v>46221</v>
      </c>
      <c r="G350" s="5">
        <v>10925</v>
      </c>
      <c r="H350" s="5">
        <v>0</v>
      </c>
      <c r="I350" s="2" t="s">
        <v>31</v>
      </c>
      <c r="J350" s="2" t="s">
        <v>32</v>
      </c>
      <c r="K350" s="2" t="s">
        <v>48</v>
      </c>
    </row>
    <row r="351" spans="1:11" x14ac:dyDescent="0.25">
      <c r="A351" s="2" t="s">
        <v>665</v>
      </c>
      <c r="B351" s="2" t="s">
        <v>666</v>
      </c>
      <c r="C351" s="2" t="s">
        <v>36</v>
      </c>
      <c r="D351" s="2" t="s">
        <v>71</v>
      </c>
      <c r="E351" s="4">
        <v>46045</v>
      </c>
      <c r="F351" s="4">
        <v>46056</v>
      </c>
      <c r="G351" s="5">
        <v>5050</v>
      </c>
      <c r="H351" s="5">
        <v>4904.1000000000004</v>
      </c>
      <c r="I351" s="2" t="s">
        <v>37</v>
      </c>
      <c r="J351" s="2"/>
      <c r="K351" s="2" t="s">
        <v>38</v>
      </c>
    </row>
    <row r="352" spans="1:11" x14ac:dyDescent="0.25">
      <c r="A352" s="2" t="s">
        <v>667</v>
      </c>
      <c r="B352" s="2" t="s">
        <v>162</v>
      </c>
      <c r="C352" s="2" t="s">
        <v>46</v>
      </c>
      <c r="D352" s="2" t="s">
        <v>202</v>
      </c>
      <c r="E352" s="4">
        <v>46168</v>
      </c>
      <c r="F352" s="4">
        <v>46186</v>
      </c>
      <c r="G352" s="5">
        <v>475</v>
      </c>
      <c r="H352" s="5">
        <v>343.34</v>
      </c>
      <c r="I352" s="2" t="s">
        <v>37</v>
      </c>
      <c r="J352" s="2"/>
      <c r="K352" s="2" t="s">
        <v>56</v>
      </c>
    </row>
    <row r="353" spans="1:11" x14ac:dyDescent="0.25">
      <c r="A353" s="2" t="s">
        <v>668</v>
      </c>
      <c r="B353" s="2" t="s">
        <v>210</v>
      </c>
      <c r="C353" s="2" t="s">
        <v>79</v>
      </c>
      <c r="D353" s="2" t="s">
        <v>41</v>
      </c>
      <c r="E353" s="4">
        <v>46193</v>
      </c>
      <c r="F353" s="4">
        <v>46207</v>
      </c>
      <c r="G353" s="5">
        <v>14550</v>
      </c>
      <c r="H353" s="5">
        <v>11881.87</v>
      </c>
      <c r="I353" s="2" t="s">
        <v>37</v>
      </c>
      <c r="J353" s="2"/>
      <c r="K353" s="2" t="s">
        <v>56</v>
      </c>
    </row>
    <row r="354" spans="1:11" x14ac:dyDescent="0.25">
      <c r="A354" s="2" t="s">
        <v>669</v>
      </c>
      <c r="B354" s="2" t="s">
        <v>670</v>
      </c>
      <c r="C354" s="2" t="s">
        <v>36</v>
      </c>
      <c r="D354" s="2" t="s">
        <v>41</v>
      </c>
      <c r="E354" s="4">
        <v>46268</v>
      </c>
      <c r="F354" s="4">
        <v>46278</v>
      </c>
      <c r="G354" s="5">
        <v>11775</v>
      </c>
      <c r="H354" s="5">
        <v>6890.19</v>
      </c>
      <c r="I354" s="2" t="s">
        <v>37</v>
      </c>
      <c r="J354" s="2"/>
      <c r="K354" s="2" t="s">
        <v>38</v>
      </c>
    </row>
    <row r="355" spans="1:11" x14ac:dyDescent="0.25">
      <c r="A355" s="2" t="s">
        <v>671</v>
      </c>
      <c r="B355" s="2" t="s">
        <v>672</v>
      </c>
      <c r="C355" s="2" t="s">
        <v>79</v>
      </c>
      <c r="D355" s="2" t="s">
        <v>80</v>
      </c>
      <c r="E355" s="4">
        <v>46252</v>
      </c>
      <c r="F355" s="4">
        <v>46262</v>
      </c>
      <c r="G355" s="5">
        <v>11450</v>
      </c>
      <c r="H355" s="5"/>
      <c r="I355" s="2" t="s">
        <v>42</v>
      </c>
      <c r="J355" s="2"/>
      <c r="K355" s="2" t="s">
        <v>56</v>
      </c>
    </row>
    <row r="356" spans="1:11" x14ac:dyDescent="0.25">
      <c r="A356" s="2" t="s">
        <v>673</v>
      </c>
      <c r="B356" s="2" t="s">
        <v>674</v>
      </c>
      <c r="C356" s="2" t="s">
        <v>29</v>
      </c>
      <c r="D356" s="2" t="s">
        <v>41</v>
      </c>
      <c r="E356" s="4">
        <v>46197</v>
      </c>
      <c r="F356" s="4">
        <v>46202</v>
      </c>
      <c r="G356" s="5">
        <v>4075</v>
      </c>
      <c r="H356" s="5">
        <v>3884.73</v>
      </c>
      <c r="I356" s="2" t="s">
        <v>37</v>
      </c>
      <c r="J356" s="2"/>
      <c r="K356" s="2" t="s">
        <v>56</v>
      </c>
    </row>
    <row r="357" spans="1:11" x14ac:dyDescent="0.25">
      <c r="A357" s="2" t="s">
        <v>675</v>
      </c>
      <c r="B357" s="2" t="s">
        <v>254</v>
      </c>
      <c r="C357" s="2" t="s">
        <v>36</v>
      </c>
      <c r="D357" s="2" t="s">
        <v>55</v>
      </c>
      <c r="E357" s="4">
        <v>46081</v>
      </c>
      <c r="F357" s="4">
        <v>46094</v>
      </c>
      <c r="G357" s="5">
        <v>1250</v>
      </c>
      <c r="H357" s="5">
        <v>788.72</v>
      </c>
      <c r="I357" s="2" t="s">
        <v>37</v>
      </c>
      <c r="J357" s="2"/>
      <c r="K357" s="2" t="s">
        <v>48</v>
      </c>
    </row>
    <row r="358" spans="1:11" x14ac:dyDescent="0.25">
      <c r="A358" s="2" t="s">
        <v>676</v>
      </c>
      <c r="B358" s="2" t="s">
        <v>677</v>
      </c>
      <c r="C358" s="2" t="s">
        <v>29</v>
      </c>
      <c r="D358" s="2" t="s">
        <v>30</v>
      </c>
      <c r="E358" s="4">
        <v>46282</v>
      </c>
      <c r="F358" s="4">
        <v>46290</v>
      </c>
      <c r="G358" s="5">
        <v>2100</v>
      </c>
      <c r="H358" s="5">
        <v>1509.85</v>
      </c>
      <c r="I358" s="2" t="s">
        <v>37</v>
      </c>
      <c r="J358" s="2"/>
      <c r="K358" s="2" t="s">
        <v>83</v>
      </c>
    </row>
    <row r="359" spans="1:11" x14ac:dyDescent="0.25">
      <c r="A359" s="2" t="s">
        <v>678</v>
      </c>
      <c r="B359" s="2" t="s">
        <v>679</v>
      </c>
      <c r="C359" s="2" t="s">
        <v>46</v>
      </c>
      <c r="D359" s="2" t="s">
        <v>94</v>
      </c>
      <c r="E359" s="4">
        <v>46057</v>
      </c>
      <c r="F359" s="4">
        <v>46072</v>
      </c>
      <c r="G359" s="5">
        <v>425</v>
      </c>
      <c r="H359" s="5">
        <v>351.38</v>
      </c>
      <c r="I359" s="2" t="s">
        <v>37</v>
      </c>
      <c r="J359" s="2"/>
      <c r="K359" s="2" t="s">
        <v>38</v>
      </c>
    </row>
    <row r="360" spans="1:11" x14ac:dyDescent="0.25">
      <c r="A360" s="2" t="s">
        <v>680</v>
      </c>
      <c r="B360" s="2" t="s">
        <v>681</v>
      </c>
      <c r="C360" s="2" t="s">
        <v>46</v>
      </c>
      <c r="D360" s="2" t="s">
        <v>94</v>
      </c>
      <c r="E360" s="4">
        <v>46211</v>
      </c>
      <c r="F360" s="4">
        <v>46223</v>
      </c>
      <c r="G360" s="5">
        <v>14150</v>
      </c>
      <c r="H360" s="5">
        <v>8804.1299999999992</v>
      </c>
      <c r="I360" s="2" t="s">
        <v>37</v>
      </c>
      <c r="J360" s="2"/>
      <c r="K360" s="2" t="s">
        <v>48</v>
      </c>
    </row>
    <row r="361" spans="1:11" x14ac:dyDescent="0.25">
      <c r="A361" s="2" t="s">
        <v>682</v>
      </c>
      <c r="B361" s="2" t="s">
        <v>683</v>
      </c>
      <c r="C361" s="2" t="s">
        <v>79</v>
      </c>
      <c r="D361" s="2" t="s">
        <v>148</v>
      </c>
      <c r="E361" s="4">
        <v>46032</v>
      </c>
      <c r="F361" s="4">
        <v>46043</v>
      </c>
      <c r="G361" s="5">
        <v>7575</v>
      </c>
      <c r="H361" s="5">
        <v>7564.41</v>
      </c>
      <c r="I361" s="2" t="s">
        <v>37</v>
      </c>
      <c r="J361" s="2"/>
      <c r="K361" s="2" t="s">
        <v>52</v>
      </c>
    </row>
    <row r="362" spans="1:11" x14ac:dyDescent="0.25">
      <c r="A362" s="2" t="s">
        <v>684</v>
      </c>
      <c r="B362" s="2" t="s">
        <v>549</v>
      </c>
      <c r="C362" s="2" t="s">
        <v>29</v>
      </c>
      <c r="D362" s="2" t="s">
        <v>80</v>
      </c>
      <c r="E362" s="4">
        <v>46145</v>
      </c>
      <c r="F362" s="4">
        <v>46151</v>
      </c>
      <c r="G362" s="5">
        <v>14550</v>
      </c>
      <c r="H362" s="5"/>
      <c r="I362" s="2" t="s">
        <v>42</v>
      </c>
      <c r="J362" s="2"/>
      <c r="K362" s="2" t="s">
        <v>52</v>
      </c>
    </row>
    <row r="363" spans="1:11" x14ac:dyDescent="0.25">
      <c r="A363" s="2" t="s">
        <v>685</v>
      </c>
      <c r="B363" s="2" t="s">
        <v>292</v>
      </c>
      <c r="C363" s="2" t="s">
        <v>29</v>
      </c>
      <c r="D363" s="2" t="s">
        <v>30</v>
      </c>
      <c r="E363" s="4">
        <v>46155</v>
      </c>
      <c r="F363" s="4">
        <v>46165</v>
      </c>
      <c r="G363" s="5">
        <v>12650</v>
      </c>
      <c r="H363" s="5">
        <v>0</v>
      </c>
      <c r="I363" s="2" t="s">
        <v>31</v>
      </c>
      <c r="J363" s="2" t="s">
        <v>347</v>
      </c>
      <c r="K363" s="2" t="s">
        <v>33</v>
      </c>
    </row>
    <row r="364" spans="1:11" x14ac:dyDescent="0.25">
      <c r="A364" s="2" t="s">
        <v>686</v>
      </c>
      <c r="B364" s="2" t="s">
        <v>358</v>
      </c>
      <c r="C364" s="2" t="s">
        <v>29</v>
      </c>
      <c r="D364" s="2" t="s">
        <v>68</v>
      </c>
      <c r="E364" s="4">
        <v>46038</v>
      </c>
      <c r="F364" s="4">
        <v>46054</v>
      </c>
      <c r="G364" s="5">
        <v>7450</v>
      </c>
      <c r="H364" s="5">
        <v>0</v>
      </c>
      <c r="I364" s="2" t="s">
        <v>31</v>
      </c>
      <c r="J364" s="2" t="s">
        <v>312</v>
      </c>
      <c r="K364" s="2" t="s">
        <v>56</v>
      </c>
    </row>
    <row r="365" spans="1:11" x14ac:dyDescent="0.25">
      <c r="A365" s="2" t="s">
        <v>687</v>
      </c>
      <c r="B365" s="2" t="s">
        <v>688</v>
      </c>
      <c r="C365" s="2" t="s">
        <v>79</v>
      </c>
      <c r="D365" s="2" t="s">
        <v>55</v>
      </c>
      <c r="E365" s="4">
        <v>46149</v>
      </c>
      <c r="F365" s="4">
        <v>46157</v>
      </c>
      <c r="G365" s="5">
        <v>9650</v>
      </c>
      <c r="H365" s="5">
        <v>7662.31</v>
      </c>
      <c r="I365" s="2" t="s">
        <v>37</v>
      </c>
      <c r="J365" s="2"/>
      <c r="K365" s="2" t="s">
        <v>109</v>
      </c>
    </row>
    <row r="366" spans="1:11" x14ac:dyDescent="0.25">
      <c r="A366" s="2" t="s">
        <v>689</v>
      </c>
      <c r="B366" s="2" t="s">
        <v>318</v>
      </c>
      <c r="C366" s="2" t="s">
        <v>29</v>
      </c>
      <c r="D366" s="2" t="s">
        <v>71</v>
      </c>
      <c r="E366" s="4">
        <v>46193</v>
      </c>
      <c r="F366" s="4">
        <v>46196</v>
      </c>
      <c r="G366" s="5">
        <v>3225</v>
      </c>
      <c r="H366" s="5">
        <v>2250.08</v>
      </c>
      <c r="I366" s="2" t="s">
        <v>37</v>
      </c>
      <c r="J366" s="2"/>
      <c r="K366" s="2" t="s">
        <v>56</v>
      </c>
    </row>
    <row r="367" spans="1:11" x14ac:dyDescent="0.25">
      <c r="A367" s="2" t="s">
        <v>690</v>
      </c>
      <c r="B367" s="2" t="s">
        <v>274</v>
      </c>
      <c r="C367" s="2" t="s">
        <v>29</v>
      </c>
      <c r="D367" s="2" t="s">
        <v>80</v>
      </c>
      <c r="E367" s="4">
        <v>46040</v>
      </c>
      <c r="F367" s="4">
        <v>46056</v>
      </c>
      <c r="G367" s="5">
        <v>6250</v>
      </c>
      <c r="H367" s="5"/>
      <c r="I367" s="2" t="s">
        <v>42</v>
      </c>
      <c r="J367" s="2"/>
      <c r="K367" s="2" t="s">
        <v>38</v>
      </c>
    </row>
    <row r="368" spans="1:11" x14ac:dyDescent="0.25">
      <c r="A368" s="2" t="s">
        <v>691</v>
      </c>
      <c r="B368" s="2" t="s">
        <v>692</v>
      </c>
      <c r="C368" s="2" t="s">
        <v>79</v>
      </c>
      <c r="D368" s="2" t="s">
        <v>94</v>
      </c>
      <c r="E368" s="4">
        <v>46147</v>
      </c>
      <c r="F368" s="4">
        <v>46160</v>
      </c>
      <c r="G368" s="5">
        <v>14675</v>
      </c>
      <c r="H368" s="5">
        <v>12968.95</v>
      </c>
      <c r="I368" s="2" t="s">
        <v>37</v>
      </c>
      <c r="J368" s="2"/>
      <c r="K368" s="2" t="s">
        <v>43</v>
      </c>
    </row>
    <row r="369" spans="1:11" x14ac:dyDescent="0.25">
      <c r="A369" s="2" t="s">
        <v>693</v>
      </c>
      <c r="B369" s="2" t="s">
        <v>679</v>
      </c>
      <c r="C369" s="2" t="s">
        <v>46</v>
      </c>
      <c r="D369" s="2" t="s">
        <v>71</v>
      </c>
      <c r="E369" s="4">
        <v>46079</v>
      </c>
      <c r="F369" s="4">
        <v>46087</v>
      </c>
      <c r="G369" s="5">
        <v>1200</v>
      </c>
      <c r="H369" s="5">
        <v>0</v>
      </c>
      <c r="I369" s="2" t="s">
        <v>31</v>
      </c>
      <c r="J369" s="2" t="s">
        <v>47</v>
      </c>
      <c r="K369" s="2" t="s">
        <v>56</v>
      </c>
    </row>
    <row r="370" spans="1:11" x14ac:dyDescent="0.25">
      <c r="A370" s="2" t="s">
        <v>694</v>
      </c>
      <c r="B370" s="2" t="s">
        <v>695</v>
      </c>
      <c r="C370" s="2" t="s">
        <v>29</v>
      </c>
      <c r="D370" s="2" t="s">
        <v>80</v>
      </c>
      <c r="E370" s="4">
        <v>46206</v>
      </c>
      <c r="F370" s="4">
        <v>46212</v>
      </c>
      <c r="G370" s="5">
        <v>1200</v>
      </c>
      <c r="H370" s="5">
        <v>798.33</v>
      </c>
      <c r="I370" s="2" t="s">
        <v>37</v>
      </c>
      <c r="J370" s="2"/>
      <c r="K370" s="2" t="s">
        <v>52</v>
      </c>
    </row>
    <row r="371" spans="1:11" x14ac:dyDescent="0.25">
      <c r="A371" s="2" t="s">
        <v>696</v>
      </c>
      <c r="B371" s="2" t="s">
        <v>697</v>
      </c>
      <c r="C371" s="2" t="s">
        <v>36</v>
      </c>
      <c r="D371" s="2" t="s">
        <v>41</v>
      </c>
      <c r="E371" s="4">
        <v>46076</v>
      </c>
      <c r="F371" s="4">
        <v>46080</v>
      </c>
      <c r="G371" s="5">
        <v>950</v>
      </c>
      <c r="H371" s="5">
        <v>773.13</v>
      </c>
      <c r="I371" s="2" t="s">
        <v>37</v>
      </c>
      <c r="J371" s="2"/>
      <c r="K371" s="2" t="s">
        <v>52</v>
      </c>
    </row>
    <row r="372" spans="1:11" x14ac:dyDescent="0.25">
      <c r="A372" s="2" t="s">
        <v>698</v>
      </c>
      <c r="B372" s="2" t="s">
        <v>699</v>
      </c>
      <c r="C372" s="2" t="s">
        <v>46</v>
      </c>
      <c r="D372" s="2" t="s">
        <v>94</v>
      </c>
      <c r="E372" s="4">
        <v>46083</v>
      </c>
      <c r="F372" s="4">
        <v>46088</v>
      </c>
      <c r="G372" s="5">
        <v>9100</v>
      </c>
      <c r="H372" s="5"/>
      <c r="I372" s="2" t="s">
        <v>42</v>
      </c>
      <c r="J372" s="2"/>
      <c r="K372" s="2" t="s">
        <v>83</v>
      </c>
    </row>
    <row r="373" spans="1:11" x14ac:dyDescent="0.25">
      <c r="A373" s="2" t="s">
        <v>700</v>
      </c>
      <c r="B373" s="2" t="s">
        <v>454</v>
      </c>
      <c r="C373" s="2" t="s">
        <v>29</v>
      </c>
      <c r="D373" s="2" t="s">
        <v>80</v>
      </c>
      <c r="E373" s="4">
        <v>46142</v>
      </c>
      <c r="F373" s="4">
        <v>46146</v>
      </c>
      <c r="G373" s="5">
        <v>14100</v>
      </c>
      <c r="H373" s="5"/>
      <c r="I373" s="2" t="s">
        <v>42</v>
      </c>
      <c r="J373" s="2"/>
      <c r="K373" s="2" t="s">
        <v>38</v>
      </c>
    </row>
    <row r="374" spans="1:11" x14ac:dyDescent="0.25">
      <c r="A374" s="2" t="s">
        <v>701</v>
      </c>
      <c r="B374" s="2" t="s">
        <v>129</v>
      </c>
      <c r="C374" s="2" t="s">
        <v>79</v>
      </c>
      <c r="D374" s="2" t="s">
        <v>30</v>
      </c>
      <c r="E374" s="4">
        <v>46253</v>
      </c>
      <c r="F374" s="4">
        <v>46262</v>
      </c>
      <c r="G374" s="5">
        <v>575</v>
      </c>
      <c r="H374" s="5">
        <v>0</v>
      </c>
      <c r="I374" s="2" t="s">
        <v>31</v>
      </c>
      <c r="J374" s="2" t="s">
        <v>47</v>
      </c>
      <c r="K374" s="2" t="s">
        <v>56</v>
      </c>
    </row>
    <row r="375" spans="1:11" x14ac:dyDescent="0.25">
      <c r="A375" s="2" t="s">
        <v>702</v>
      </c>
      <c r="B375" s="2" t="s">
        <v>703</v>
      </c>
      <c r="C375" s="2" t="s">
        <v>36</v>
      </c>
      <c r="D375" s="2" t="s">
        <v>71</v>
      </c>
      <c r="E375" s="4">
        <v>46291</v>
      </c>
      <c r="F375" s="4">
        <v>46298</v>
      </c>
      <c r="G375" s="5">
        <v>9500</v>
      </c>
      <c r="H375" s="5"/>
      <c r="I375" s="2" t="s">
        <v>42</v>
      </c>
      <c r="J375" s="2"/>
      <c r="K375" s="2" t="s">
        <v>62</v>
      </c>
    </row>
    <row r="376" spans="1:11" x14ac:dyDescent="0.25">
      <c r="A376" s="2" t="s">
        <v>704</v>
      </c>
      <c r="B376" s="2" t="s">
        <v>705</v>
      </c>
      <c r="C376" s="2" t="s">
        <v>29</v>
      </c>
      <c r="D376" s="2" t="s">
        <v>94</v>
      </c>
      <c r="E376" s="4">
        <v>46043</v>
      </c>
      <c r="F376" s="4">
        <v>46060</v>
      </c>
      <c r="G376" s="5">
        <v>13225</v>
      </c>
      <c r="H376" s="5">
        <v>12991.87</v>
      </c>
      <c r="I376" s="2" t="s">
        <v>37</v>
      </c>
      <c r="J376" s="2"/>
      <c r="K376" s="2" t="s">
        <v>65</v>
      </c>
    </row>
    <row r="377" spans="1:11" x14ac:dyDescent="0.25">
      <c r="A377" s="2" t="s">
        <v>706</v>
      </c>
      <c r="B377" s="2" t="s">
        <v>707</v>
      </c>
      <c r="C377" s="2" t="s">
        <v>79</v>
      </c>
      <c r="D377" s="2" t="s">
        <v>55</v>
      </c>
      <c r="E377" s="4">
        <v>46200</v>
      </c>
      <c r="F377" s="4">
        <v>46205</v>
      </c>
      <c r="G377" s="5">
        <v>3300</v>
      </c>
      <c r="H377" s="5">
        <v>1932.96</v>
      </c>
      <c r="I377" s="2" t="s">
        <v>37</v>
      </c>
      <c r="J377" s="2"/>
      <c r="K377" s="2" t="s">
        <v>109</v>
      </c>
    </row>
    <row r="378" spans="1:11" x14ac:dyDescent="0.25">
      <c r="A378" s="2" t="s">
        <v>708</v>
      </c>
      <c r="B378" s="2" t="s">
        <v>266</v>
      </c>
      <c r="C378" s="2" t="s">
        <v>46</v>
      </c>
      <c r="D378" s="2" t="s">
        <v>61</v>
      </c>
      <c r="E378" s="4">
        <v>46233</v>
      </c>
      <c r="F378" s="4">
        <v>46239</v>
      </c>
      <c r="G378" s="5">
        <v>6175</v>
      </c>
      <c r="H378" s="5"/>
      <c r="I378" s="2" t="s">
        <v>42</v>
      </c>
      <c r="J378" s="2"/>
      <c r="K378" s="2" t="s">
        <v>38</v>
      </c>
    </row>
    <row r="379" spans="1:11" x14ac:dyDescent="0.25">
      <c r="A379" s="2" t="s">
        <v>709</v>
      </c>
      <c r="B379" s="2" t="s">
        <v>78</v>
      </c>
      <c r="C379" s="2" t="s">
        <v>79</v>
      </c>
      <c r="D379" s="2" t="s">
        <v>41</v>
      </c>
      <c r="E379" s="4">
        <v>46129</v>
      </c>
      <c r="F379" s="4">
        <v>46132</v>
      </c>
      <c r="G379" s="5">
        <v>375</v>
      </c>
      <c r="H379" s="5"/>
      <c r="I379" s="2" t="s">
        <v>42</v>
      </c>
      <c r="J379" s="2"/>
      <c r="K379" s="2" t="s">
        <v>33</v>
      </c>
    </row>
    <row r="380" spans="1:11" x14ac:dyDescent="0.25">
      <c r="A380" s="2" t="s">
        <v>710</v>
      </c>
      <c r="B380" s="2" t="s">
        <v>222</v>
      </c>
      <c r="C380" s="2" t="s">
        <v>36</v>
      </c>
      <c r="D380" s="2" t="s">
        <v>61</v>
      </c>
      <c r="E380" s="4">
        <v>46076</v>
      </c>
      <c r="F380" s="4">
        <v>46081</v>
      </c>
      <c r="G380" s="5">
        <v>14800</v>
      </c>
      <c r="H380" s="5">
        <v>11109.69</v>
      </c>
      <c r="I380" s="2" t="s">
        <v>37</v>
      </c>
      <c r="J380" s="2"/>
      <c r="K380" s="2" t="s">
        <v>56</v>
      </c>
    </row>
    <row r="381" spans="1:11" x14ac:dyDescent="0.25">
      <c r="A381" s="2" t="s">
        <v>711</v>
      </c>
      <c r="B381" s="2" t="s">
        <v>712</v>
      </c>
      <c r="C381" s="2" t="s">
        <v>46</v>
      </c>
      <c r="D381" s="2" t="s">
        <v>55</v>
      </c>
      <c r="E381" s="4">
        <v>46187</v>
      </c>
      <c r="F381" s="4">
        <v>46194</v>
      </c>
      <c r="G381" s="5">
        <v>11150</v>
      </c>
      <c r="H381" s="5">
        <v>6319.04</v>
      </c>
      <c r="I381" s="2" t="s">
        <v>37</v>
      </c>
      <c r="J381" s="2"/>
      <c r="K381" s="2" t="s">
        <v>43</v>
      </c>
    </row>
    <row r="382" spans="1:11" x14ac:dyDescent="0.25">
      <c r="A382" s="2" t="s">
        <v>713</v>
      </c>
      <c r="B382" s="2" t="s">
        <v>714</v>
      </c>
      <c r="C382" s="2" t="s">
        <v>36</v>
      </c>
      <c r="D382" s="2" t="s">
        <v>55</v>
      </c>
      <c r="E382" s="4">
        <v>46038</v>
      </c>
      <c r="F382" s="4">
        <v>46046</v>
      </c>
      <c r="G382" s="5">
        <v>12325</v>
      </c>
      <c r="H382" s="5">
        <v>9096.5400000000009</v>
      </c>
      <c r="I382" s="2" t="s">
        <v>37</v>
      </c>
      <c r="J382" s="2"/>
      <c r="K382" s="2" t="s">
        <v>33</v>
      </c>
    </row>
    <row r="383" spans="1:11" x14ac:dyDescent="0.25">
      <c r="A383" s="2" t="s">
        <v>715</v>
      </c>
      <c r="B383" s="2" t="s">
        <v>91</v>
      </c>
      <c r="C383" s="2" t="s">
        <v>36</v>
      </c>
      <c r="D383" s="2" t="s">
        <v>80</v>
      </c>
      <c r="E383" s="4">
        <v>46249</v>
      </c>
      <c r="F383" s="4">
        <v>46257</v>
      </c>
      <c r="G383" s="5">
        <v>8500</v>
      </c>
      <c r="H383" s="5">
        <v>8234.17</v>
      </c>
      <c r="I383" s="2" t="s">
        <v>37</v>
      </c>
      <c r="J383" s="2"/>
      <c r="K383" s="2" t="s">
        <v>43</v>
      </c>
    </row>
    <row r="384" spans="1:11" x14ac:dyDescent="0.25">
      <c r="A384" s="2" t="s">
        <v>716</v>
      </c>
      <c r="B384" s="2" t="s">
        <v>670</v>
      </c>
      <c r="C384" s="2" t="s">
        <v>46</v>
      </c>
      <c r="D384" s="2" t="s">
        <v>61</v>
      </c>
      <c r="E384" s="4">
        <v>46074</v>
      </c>
      <c r="F384" s="4">
        <v>46094</v>
      </c>
      <c r="G384" s="5">
        <v>13475</v>
      </c>
      <c r="H384" s="5"/>
      <c r="I384" s="2" t="s">
        <v>42</v>
      </c>
      <c r="J384" s="2"/>
      <c r="K384" s="2" t="s">
        <v>83</v>
      </c>
    </row>
    <row r="385" spans="1:11" x14ac:dyDescent="0.25">
      <c r="A385" s="2" t="s">
        <v>717</v>
      </c>
      <c r="B385" s="2" t="s">
        <v>688</v>
      </c>
      <c r="C385" s="2" t="s">
        <v>79</v>
      </c>
      <c r="D385" s="2" t="s">
        <v>61</v>
      </c>
      <c r="E385" s="4">
        <v>46274</v>
      </c>
      <c r="F385" s="4">
        <v>46287</v>
      </c>
      <c r="G385" s="5">
        <v>4600</v>
      </c>
      <c r="H385" s="5"/>
      <c r="I385" s="2" t="s">
        <v>42</v>
      </c>
      <c r="J385" s="2"/>
      <c r="K385" s="2" t="s">
        <v>38</v>
      </c>
    </row>
    <row r="386" spans="1:11" x14ac:dyDescent="0.25">
      <c r="A386" s="2" t="s">
        <v>718</v>
      </c>
      <c r="B386" s="2" t="s">
        <v>411</v>
      </c>
      <c r="C386" s="2" t="s">
        <v>29</v>
      </c>
      <c r="D386" s="2" t="s">
        <v>30</v>
      </c>
      <c r="E386" s="4">
        <v>46120</v>
      </c>
      <c r="F386" s="4">
        <v>46137</v>
      </c>
      <c r="G386" s="5">
        <v>1900</v>
      </c>
      <c r="H386" s="5">
        <v>1189.97</v>
      </c>
      <c r="I386" s="2" t="s">
        <v>37</v>
      </c>
      <c r="J386" s="2"/>
      <c r="K386" s="2" t="s">
        <v>65</v>
      </c>
    </row>
    <row r="387" spans="1:11" x14ac:dyDescent="0.25">
      <c r="A387" s="2" t="s">
        <v>719</v>
      </c>
      <c r="B387" s="2" t="s">
        <v>720</v>
      </c>
      <c r="C387" s="2" t="s">
        <v>79</v>
      </c>
      <c r="D387" s="2" t="s">
        <v>41</v>
      </c>
      <c r="E387" s="4">
        <v>46200</v>
      </c>
      <c r="F387" s="4">
        <v>46209</v>
      </c>
      <c r="G387" s="5">
        <v>9725</v>
      </c>
      <c r="H387" s="5">
        <v>8003.21</v>
      </c>
      <c r="I387" s="2" t="s">
        <v>37</v>
      </c>
      <c r="J387" s="2"/>
      <c r="K387" s="2" t="s">
        <v>83</v>
      </c>
    </row>
    <row r="388" spans="1:11" x14ac:dyDescent="0.25">
      <c r="A388" s="2" t="s">
        <v>721</v>
      </c>
      <c r="B388" s="2" t="s">
        <v>722</v>
      </c>
      <c r="C388" s="2" t="s">
        <v>46</v>
      </c>
      <c r="D388" s="2" t="s">
        <v>41</v>
      </c>
      <c r="E388" s="4">
        <v>46272</v>
      </c>
      <c r="F388" s="4">
        <v>46288</v>
      </c>
      <c r="G388" s="5">
        <v>10700</v>
      </c>
      <c r="H388" s="5">
        <v>0</v>
      </c>
      <c r="I388" s="2" t="s">
        <v>31</v>
      </c>
      <c r="J388" s="2" t="s">
        <v>116</v>
      </c>
      <c r="K388" s="2" t="s">
        <v>62</v>
      </c>
    </row>
    <row r="389" spans="1:11" x14ac:dyDescent="0.25">
      <c r="A389" s="2" t="s">
        <v>723</v>
      </c>
      <c r="B389" s="2" t="s">
        <v>724</v>
      </c>
      <c r="C389" s="2" t="s">
        <v>46</v>
      </c>
      <c r="D389" s="2" t="s">
        <v>55</v>
      </c>
      <c r="E389" s="4">
        <v>46186</v>
      </c>
      <c r="F389" s="4">
        <v>46203</v>
      </c>
      <c r="G389" s="5">
        <v>9300</v>
      </c>
      <c r="H389" s="5">
        <v>7995.8</v>
      </c>
      <c r="I389" s="2" t="s">
        <v>37</v>
      </c>
      <c r="J389" s="2"/>
      <c r="K389" s="2" t="s">
        <v>56</v>
      </c>
    </row>
    <row r="390" spans="1:11" x14ac:dyDescent="0.25">
      <c r="A390" s="2" t="s">
        <v>725</v>
      </c>
      <c r="B390" s="2" t="s">
        <v>726</v>
      </c>
      <c r="C390" s="2" t="s">
        <v>46</v>
      </c>
      <c r="D390" s="2" t="s">
        <v>30</v>
      </c>
      <c r="E390" s="4">
        <v>46136</v>
      </c>
      <c r="F390" s="4">
        <v>46151</v>
      </c>
      <c r="G390" s="5">
        <v>8350</v>
      </c>
      <c r="H390" s="5">
        <v>0</v>
      </c>
      <c r="I390" s="2" t="s">
        <v>31</v>
      </c>
      <c r="J390" s="2" t="s">
        <v>347</v>
      </c>
      <c r="K390" s="2" t="s">
        <v>48</v>
      </c>
    </row>
    <row r="391" spans="1:11" x14ac:dyDescent="0.25">
      <c r="A391" s="2" t="s">
        <v>727</v>
      </c>
      <c r="B391" s="2" t="s">
        <v>728</v>
      </c>
      <c r="C391" s="2" t="s">
        <v>36</v>
      </c>
      <c r="D391" s="2"/>
      <c r="E391" s="4">
        <v>46076</v>
      </c>
      <c r="F391" s="4">
        <v>46095</v>
      </c>
      <c r="G391" s="5">
        <v>2425</v>
      </c>
      <c r="H391" s="5">
        <v>1868.06</v>
      </c>
      <c r="I391" s="2" t="s">
        <v>37</v>
      </c>
      <c r="J391" s="2"/>
      <c r="K391" s="2" t="s">
        <v>65</v>
      </c>
    </row>
    <row r="392" spans="1:11" x14ac:dyDescent="0.25">
      <c r="A392" s="2" t="s">
        <v>729</v>
      </c>
      <c r="B392" s="2" t="s">
        <v>226</v>
      </c>
      <c r="C392" s="2" t="s">
        <v>29</v>
      </c>
      <c r="D392" s="2" t="s">
        <v>41</v>
      </c>
      <c r="E392" s="4">
        <v>46114</v>
      </c>
      <c r="F392" s="4">
        <v>46126</v>
      </c>
      <c r="G392" s="5">
        <v>11150</v>
      </c>
      <c r="H392" s="5"/>
      <c r="I392" s="2" t="s">
        <v>42</v>
      </c>
      <c r="J392" s="2"/>
      <c r="K392" s="2" t="s">
        <v>109</v>
      </c>
    </row>
    <row r="393" spans="1:11" x14ac:dyDescent="0.25">
      <c r="A393" s="2" t="s">
        <v>730</v>
      </c>
      <c r="B393" s="2" t="s">
        <v>491</v>
      </c>
      <c r="C393" s="2" t="s">
        <v>36</v>
      </c>
      <c r="D393" s="2" t="s">
        <v>61</v>
      </c>
      <c r="E393" s="4">
        <v>46171</v>
      </c>
      <c r="F393" s="4">
        <v>46189</v>
      </c>
      <c r="G393" s="5">
        <v>5200</v>
      </c>
      <c r="H393" s="5">
        <v>3053.63</v>
      </c>
      <c r="I393" s="2" t="s">
        <v>37</v>
      </c>
      <c r="J393" s="2"/>
      <c r="K393" s="2" t="s">
        <v>65</v>
      </c>
    </row>
    <row r="394" spans="1:11" x14ac:dyDescent="0.25">
      <c r="A394" s="2" t="s">
        <v>731</v>
      </c>
      <c r="B394" s="2" t="s">
        <v>349</v>
      </c>
      <c r="C394" s="2" t="s">
        <v>79</v>
      </c>
      <c r="D394" s="2" t="s">
        <v>61</v>
      </c>
      <c r="E394" s="4">
        <v>46259</v>
      </c>
      <c r="F394" s="4">
        <v>46272</v>
      </c>
      <c r="G394" s="5">
        <v>8450</v>
      </c>
      <c r="H394" s="5">
        <v>5992.01</v>
      </c>
      <c r="I394" s="2" t="s">
        <v>37</v>
      </c>
      <c r="J394" s="2"/>
      <c r="K394" s="2" t="s">
        <v>109</v>
      </c>
    </row>
    <row r="395" spans="1:11" x14ac:dyDescent="0.25">
      <c r="A395" s="2" t="s">
        <v>732</v>
      </c>
      <c r="B395" s="2" t="s">
        <v>733</v>
      </c>
      <c r="C395" s="2" t="s">
        <v>79</v>
      </c>
      <c r="D395" s="2" t="s">
        <v>30</v>
      </c>
      <c r="E395" s="4">
        <v>46079</v>
      </c>
      <c r="F395" s="4">
        <v>46086</v>
      </c>
      <c r="G395" s="5">
        <v>9025</v>
      </c>
      <c r="H395" s="5"/>
      <c r="I395" s="2" t="s">
        <v>42</v>
      </c>
      <c r="J395" s="2"/>
      <c r="K395" s="2" t="s">
        <v>48</v>
      </c>
    </row>
    <row r="396" spans="1:11" x14ac:dyDescent="0.25">
      <c r="A396" s="2" t="s">
        <v>734</v>
      </c>
      <c r="B396" s="2" t="s">
        <v>172</v>
      </c>
      <c r="C396" s="2" t="s">
        <v>46</v>
      </c>
      <c r="D396" s="2" t="s">
        <v>71</v>
      </c>
      <c r="E396" s="4">
        <v>46275</v>
      </c>
      <c r="F396" s="4">
        <v>46280</v>
      </c>
      <c r="G396" s="5">
        <v>4875</v>
      </c>
      <c r="H396" s="5"/>
      <c r="I396" s="2" t="s">
        <v>42</v>
      </c>
      <c r="J396" s="2"/>
      <c r="K396" s="2" t="s">
        <v>109</v>
      </c>
    </row>
    <row r="397" spans="1:11" x14ac:dyDescent="0.25">
      <c r="A397" s="2" t="s">
        <v>735</v>
      </c>
      <c r="B397" s="2" t="s">
        <v>60</v>
      </c>
      <c r="C397" s="2" t="s">
        <v>46</v>
      </c>
      <c r="D397" s="2"/>
      <c r="E397" s="4">
        <v>46162</v>
      </c>
      <c r="F397" s="4">
        <v>46174</v>
      </c>
      <c r="G397" s="5">
        <v>2300</v>
      </c>
      <c r="H397" s="5">
        <v>1754.54</v>
      </c>
      <c r="I397" s="2" t="s">
        <v>37</v>
      </c>
      <c r="J397" s="2"/>
      <c r="K397" s="2" t="s">
        <v>33</v>
      </c>
    </row>
    <row r="398" spans="1:11" x14ac:dyDescent="0.25">
      <c r="A398" s="2" t="s">
        <v>736</v>
      </c>
      <c r="B398" s="2" t="s">
        <v>672</v>
      </c>
      <c r="C398" s="2" t="s">
        <v>29</v>
      </c>
      <c r="D398" s="2" t="s">
        <v>41</v>
      </c>
      <c r="E398" s="4">
        <v>46269</v>
      </c>
      <c r="F398" s="4">
        <v>46288</v>
      </c>
      <c r="G398" s="5">
        <v>10875</v>
      </c>
      <c r="H398" s="5"/>
      <c r="I398" s="2" t="s">
        <v>42</v>
      </c>
      <c r="J398" s="2"/>
      <c r="K398" s="2" t="s">
        <v>33</v>
      </c>
    </row>
    <row r="399" spans="1:11" x14ac:dyDescent="0.25">
      <c r="A399" s="2" t="s">
        <v>737</v>
      </c>
      <c r="B399" s="2" t="s">
        <v>337</v>
      </c>
      <c r="C399" s="2" t="s">
        <v>46</v>
      </c>
      <c r="D399" s="2" t="s">
        <v>30</v>
      </c>
      <c r="E399" s="4">
        <v>46039</v>
      </c>
      <c r="F399" s="4">
        <v>46047</v>
      </c>
      <c r="G399" s="5">
        <v>8200</v>
      </c>
      <c r="H399" s="5">
        <v>5133.3500000000004</v>
      </c>
      <c r="I399" s="2" t="s">
        <v>37</v>
      </c>
      <c r="J399" s="2"/>
      <c r="K399" s="2" t="s">
        <v>109</v>
      </c>
    </row>
    <row r="400" spans="1:11" x14ac:dyDescent="0.25">
      <c r="A400" s="2" t="s">
        <v>738</v>
      </c>
      <c r="B400" s="2" t="s">
        <v>739</v>
      </c>
      <c r="C400" s="2" t="s">
        <v>29</v>
      </c>
      <c r="D400" s="2" t="s">
        <v>30</v>
      </c>
      <c r="E400" s="4">
        <v>46186</v>
      </c>
      <c r="F400" s="4">
        <v>46192</v>
      </c>
      <c r="G400" s="5">
        <v>8850</v>
      </c>
      <c r="H400" s="5"/>
      <c r="I400" s="2" t="s">
        <v>42</v>
      </c>
      <c r="J400" s="2"/>
      <c r="K400" s="2" t="s">
        <v>48</v>
      </c>
    </row>
    <row r="401" spans="1:11" x14ac:dyDescent="0.25">
      <c r="A401" s="2" t="s">
        <v>740</v>
      </c>
      <c r="B401" s="2" t="s">
        <v>264</v>
      </c>
      <c r="C401" s="2" t="s">
        <v>79</v>
      </c>
      <c r="D401" s="2" t="s">
        <v>55</v>
      </c>
      <c r="E401" s="4">
        <v>46126</v>
      </c>
      <c r="F401" s="4">
        <v>46131</v>
      </c>
      <c r="G401" s="5">
        <v>9200</v>
      </c>
      <c r="H401" s="5">
        <v>7506.16</v>
      </c>
      <c r="I401" s="2" t="s">
        <v>37</v>
      </c>
      <c r="J401" s="2"/>
      <c r="K401" s="2" t="s">
        <v>83</v>
      </c>
    </row>
    <row r="402" spans="1:11" x14ac:dyDescent="0.25">
      <c r="A402" s="2" t="s">
        <v>741</v>
      </c>
      <c r="B402" s="2" t="s">
        <v>489</v>
      </c>
      <c r="C402" s="2" t="s">
        <v>79</v>
      </c>
      <c r="D402" s="2" t="s">
        <v>30</v>
      </c>
      <c r="E402" s="4">
        <v>46111</v>
      </c>
      <c r="F402" s="4">
        <v>46127</v>
      </c>
      <c r="G402" s="5">
        <v>12125</v>
      </c>
      <c r="H402" s="5">
        <v>9210.34</v>
      </c>
      <c r="I402" s="2" t="s">
        <v>37</v>
      </c>
      <c r="J402" s="2"/>
      <c r="K402" s="2" t="s">
        <v>109</v>
      </c>
    </row>
    <row r="403" spans="1:11" x14ac:dyDescent="0.25">
      <c r="A403" s="2" t="s">
        <v>742</v>
      </c>
      <c r="B403" s="2" t="s">
        <v>743</v>
      </c>
      <c r="C403" s="2" t="s">
        <v>79</v>
      </c>
      <c r="D403" s="2" t="s">
        <v>55</v>
      </c>
      <c r="E403" s="4">
        <v>46275</v>
      </c>
      <c r="F403" s="4">
        <v>46295</v>
      </c>
      <c r="G403" s="5">
        <v>12825</v>
      </c>
      <c r="H403" s="5">
        <v>0</v>
      </c>
      <c r="I403" s="2" t="s">
        <v>31</v>
      </c>
      <c r="J403" s="2" t="s">
        <v>116</v>
      </c>
      <c r="K403" s="2" t="s">
        <v>65</v>
      </c>
    </row>
    <row r="404" spans="1:11" x14ac:dyDescent="0.25">
      <c r="A404" s="2" t="s">
        <v>744</v>
      </c>
      <c r="B404" s="2" t="s">
        <v>726</v>
      </c>
      <c r="C404" s="2" t="s">
        <v>36</v>
      </c>
      <c r="D404" s="2" t="s">
        <v>94</v>
      </c>
      <c r="E404" s="4">
        <v>46096</v>
      </c>
      <c r="F404" s="4">
        <v>46114</v>
      </c>
      <c r="G404" s="5">
        <v>5625</v>
      </c>
      <c r="H404" s="5">
        <v>4176</v>
      </c>
      <c r="I404" s="2" t="s">
        <v>37</v>
      </c>
      <c r="J404" s="2"/>
      <c r="K404" s="2" t="s">
        <v>65</v>
      </c>
    </row>
    <row r="405" spans="1:11" x14ac:dyDescent="0.25">
      <c r="A405" s="2" t="s">
        <v>745</v>
      </c>
      <c r="B405" s="2" t="s">
        <v>474</v>
      </c>
      <c r="C405" s="2" t="s">
        <v>46</v>
      </c>
      <c r="D405" s="2" t="s">
        <v>55</v>
      </c>
      <c r="E405" s="4">
        <v>46074</v>
      </c>
      <c r="F405" s="4">
        <v>46088</v>
      </c>
      <c r="G405" s="5">
        <v>2600</v>
      </c>
      <c r="H405" s="5">
        <v>2272.4</v>
      </c>
      <c r="I405" s="2" t="s">
        <v>37</v>
      </c>
      <c r="J405" s="2"/>
      <c r="K405" s="2" t="s">
        <v>65</v>
      </c>
    </row>
    <row r="406" spans="1:11" x14ac:dyDescent="0.25">
      <c r="A406" s="2" t="s">
        <v>746</v>
      </c>
      <c r="B406" s="2" t="s">
        <v>747</v>
      </c>
      <c r="C406" s="2" t="s">
        <v>46</v>
      </c>
      <c r="D406" s="2" t="s">
        <v>441</v>
      </c>
      <c r="E406" s="4">
        <v>46019</v>
      </c>
      <c r="F406" s="4">
        <v>46036</v>
      </c>
      <c r="G406" s="5">
        <v>9775</v>
      </c>
      <c r="H406" s="5">
        <v>9560.84</v>
      </c>
      <c r="I406" s="2" t="s">
        <v>37</v>
      </c>
      <c r="J406" s="2"/>
      <c r="K406" s="2" t="s">
        <v>33</v>
      </c>
    </row>
    <row r="407" spans="1:11" x14ac:dyDescent="0.25">
      <c r="A407" s="2" t="s">
        <v>748</v>
      </c>
      <c r="B407" s="2" t="s">
        <v>749</v>
      </c>
      <c r="C407" s="2" t="s">
        <v>29</v>
      </c>
      <c r="D407" s="2" t="s">
        <v>68</v>
      </c>
      <c r="E407" s="4">
        <v>46097</v>
      </c>
      <c r="F407" s="4">
        <v>46101</v>
      </c>
      <c r="G407" s="5">
        <v>13750</v>
      </c>
      <c r="H407" s="5">
        <v>7763.62</v>
      </c>
      <c r="I407" s="2" t="s">
        <v>37</v>
      </c>
      <c r="J407" s="2"/>
      <c r="K407" s="2" t="s">
        <v>43</v>
      </c>
    </row>
    <row r="408" spans="1:11" x14ac:dyDescent="0.25">
      <c r="A408" s="2" t="s">
        <v>750</v>
      </c>
      <c r="B408" s="2" t="s">
        <v>751</v>
      </c>
      <c r="C408" s="2" t="s">
        <v>36</v>
      </c>
      <c r="D408" s="2" t="s">
        <v>30</v>
      </c>
      <c r="E408" s="4">
        <v>46199</v>
      </c>
      <c r="F408" s="4">
        <v>46202</v>
      </c>
      <c r="G408" s="5">
        <v>2375</v>
      </c>
      <c r="H408" s="5">
        <v>1638.77</v>
      </c>
      <c r="I408" s="2" t="s">
        <v>37</v>
      </c>
      <c r="J408" s="2"/>
      <c r="K408" s="2" t="s">
        <v>109</v>
      </c>
    </row>
    <row r="409" spans="1:11" x14ac:dyDescent="0.25">
      <c r="A409" s="2" t="s">
        <v>752</v>
      </c>
      <c r="B409" s="2" t="s">
        <v>753</v>
      </c>
      <c r="C409" s="2" t="s">
        <v>79</v>
      </c>
      <c r="D409" s="2" t="s">
        <v>309</v>
      </c>
      <c r="E409" s="4">
        <v>46205</v>
      </c>
      <c r="F409" s="4">
        <v>46218</v>
      </c>
      <c r="G409" s="5">
        <v>4800</v>
      </c>
      <c r="H409" s="5">
        <v>3599.2</v>
      </c>
      <c r="I409" s="2" t="s">
        <v>37</v>
      </c>
      <c r="J409" s="2"/>
      <c r="K409" s="2" t="s">
        <v>48</v>
      </c>
    </row>
    <row r="410" spans="1:11" x14ac:dyDescent="0.25">
      <c r="A410" s="2" t="s">
        <v>754</v>
      </c>
      <c r="B410" s="2" t="s">
        <v>755</v>
      </c>
      <c r="C410" s="2" t="s">
        <v>36</v>
      </c>
      <c r="D410" s="2" t="s">
        <v>55</v>
      </c>
      <c r="E410" s="4">
        <v>46116</v>
      </c>
      <c r="F410" s="4">
        <v>46125</v>
      </c>
      <c r="G410" s="5">
        <v>9975</v>
      </c>
      <c r="H410" s="5">
        <v>8793.73</v>
      </c>
      <c r="I410" s="2" t="s">
        <v>37</v>
      </c>
      <c r="J410" s="2"/>
      <c r="K410" s="2" t="s">
        <v>52</v>
      </c>
    </row>
    <row r="411" spans="1:11" x14ac:dyDescent="0.25">
      <c r="A411" s="2" t="s">
        <v>756</v>
      </c>
      <c r="B411" s="2" t="s">
        <v>757</v>
      </c>
      <c r="C411" s="2" t="s">
        <v>46</v>
      </c>
      <c r="D411" s="2" t="s">
        <v>30</v>
      </c>
      <c r="E411" s="4">
        <v>46050</v>
      </c>
      <c r="F411" s="4">
        <v>46068</v>
      </c>
      <c r="G411" s="5">
        <v>2850</v>
      </c>
      <c r="H411" s="5">
        <v>2606.9499999999998</v>
      </c>
      <c r="I411" s="2" t="s">
        <v>37</v>
      </c>
      <c r="J411" s="2"/>
      <c r="K411" s="2" t="s">
        <v>83</v>
      </c>
    </row>
    <row r="412" spans="1:11" x14ac:dyDescent="0.25">
      <c r="A412" s="2" t="s">
        <v>758</v>
      </c>
      <c r="B412" s="2" t="s">
        <v>759</v>
      </c>
      <c r="C412" s="2" t="s">
        <v>29</v>
      </c>
      <c r="D412" s="2" t="s">
        <v>41</v>
      </c>
      <c r="E412" s="4">
        <v>46063</v>
      </c>
      <c r="F412" s="4">
        <v>46071</v>
      </c>
      <c r="G412" s="5">
        <v>8700</v>
      </c>
      <c r="H412" s="5">
        <v>5259.61</v>
      </c>
      <c r="I412" s="2" t="s">
        <v>37</v>
      </c>
      <c r="J412" s="2"/>
      <c r="K412" s="2" t="s">
        <v>109</v>
      </c>
    </row>
    <row r="413" spans="1:11" x14ac:dyDescent="0.25">
      <c r="A413" s="2" t="s">
        <v>760</v>
      </c>
      <c r="B413" s="2" t="s">
        <v>761</v>
      </c>
      <c r="C413" s="2" t="s">
        <v>36</v>
      </c>
      <c r="D413" s="2" t="s">
        <v>41</v>
      </c>
      <c r="E413" s="4">
        <v>46177</v>
      </c>
      <c r="F413" s="4">
        <v>46186</v>
      </c>
      <c r="G413" s="5">
        <v>2525</v>
      </c>
      <c r="H413" s="5"/>
      <c r="I413" s="2" t="s">
        <v>42</v>
      </c>
      <c r="J413" s="2"/>
      <c r="K413" s="2" t="s">
        <v>62</v>
      </c>
    </row>
    <row r="414" spans="1:11" x14ac:dyDescent="0.25">
      <c r="A414" s="2" t="s">
        <v>762</v>
      </c>
      <c r="B414" s="2" t="s">
        <v>763</v>
      </c>
      <c r="C414" s="2" t="s">
        <v>29</v>
      </c>
      <c r="D414" s="2"/>
      <c r="E414" s="4">
        <v>46156</v>
      </c>
      <c r="F414" s="4">
        <v>46172</v>
      </c>
      <c r="G414" s="5">
        <v>10500</v>
      </c>
      <c r="H414" s="5"/>
      <c r="I414" s="2" t="s">
        <v>42</v>
      </c>
      <c r="J414" s="2"/>
      <c r="K414" s="2" t="s">
        <v>43</v>
      </c>
    </row>
    <row r="415" spans="1:11" x14ac:dyDescent="0.25">
      <c r="A415" s="2" t="s">
        <v>764</v>
      </c>
      <c r="B415" s="2" t="s">
        <v>152</v>
      </c>
      <c r="C415" s="2" t="s">
        <v>46</v>
      </c>
      <c r="D415" s="2" t="s">
        <v>30</v>
      </c>
      <c r="E415" s="4">
        <v>46216</v>
      </c>
      <c r="F415" s="4">
        <v>46229</v>
      </c>
      <c r="G415" s="5">
        <v>11500</v>
      </c>
      <c r="H415" s="5">
        <v>6588.19</v>
      </c>
      <c r="I415" s="2" t="s">
        <v>37</v>
      </c>
      <c r="J415" s="2"/>
      <c r="K415" s="2" t="s">
        <v>38</v>
      </c>
    </row>
    <row r="416" spans="1:11" x14ac:dyDescent="0.25">
      <c r="A416" s="2" t="s">
        <v>765</v>
      </c>
      <c r="B416" s="2" t="s">
        <v>766</v>
      </c>
      <c r="C416" s="2" t="s">
        <v>29</v>
      </c>
      <c r="D416" s="2" t="s">
        <v>41</v>
      </c>
      <c r="E416" s="4">
        <v>46286</v>
      </c>
      <c r="F416" s="4">
        <v>46298</v>
      </c>
      <c r="G416" s="5">
        <v>9725</v>
      </c>
      <c r="H416" s="5">
        <v>6817.89</v>
      </c>
      <c r="I416" s="2" t="s">
        <v>37</v>
      </c>
      <c r="J416" s="2"/>
      <c r="K416" s="2" t="s">
        <v>109</v>
      </c>
    </row>
    <row r="417" spans="1:11" x14ac:dyDescent="0.25">
      <c r="A417" s="2" t="s">
        <v>767</v>
      </c>
      <c r="B417" s="2" t="s">
        <v>28</v>
      </c>
      <c r="C417" s="2" t="s">
        <v>29</v>
      </c>
      <c r="D417" s="2" t="s">
        <v>30</v>
      </c>
      <c r="E417" s="4">
        <v>46046</v>
      </c>
      <c r="F417" s="4">
        <v>46049</v>
      </c>
      <c r="G417" s="5">
        <v>7875</v>
      </c>
      <c r="H417" s="5">
        <v>5173.34</v>
      </c>
      <c r="I417" s="2" t="s">
        <v>37</v>
      </c>
      <c r="J417" s="2"/>
      <c r="K417" s="2" t="s">
        <v>56</v>
      </c>
    </row>
    <row r="418" spans="1:11" x14ac:dyDescent="0.25">
      <c r="A418" s="2" t="s">
        <v>768</v>
      </c>
      <c r="B418" s="2" t="s">
        <v>573</v>
      </c>
      <c r="C418" s="2" t="s">
        <v>29</v>
      </c>
      <c r="D418" s="2" t="s">
        <v>41</v>
      </c>
      <c r="E418" s="4">
        <v>46204</v>
      </c>
      <c r="F418" s="4">
        <v>46207</v>
      </c>
      <c r="G418" s="5">
        <v>11650</v>
      </c>
      <c r="H418" s="5">
        <v>8604.9599999999991</v>
      </c>
      <c r="I418" s="2" t="s">
        <v>37</v>
      </c>
      <c r="J418" s="2"/>
      <c r="K418" s="2" t="s">
        <v>38</v>
      </c>
    </row>
    <row r="419" spans="1:11" x14ac:dyDescent="0.25">
      <c r="A419" s="2" t="s">
        <v>769</v>
      </c>
      <c r="B419" s="2" t="s">
        <v>413</v>
      </c>
      <c r="C419" s="2" t="s">
        <v>79</v>
      </c>
      <c r="D419" s="2" t="s">
        <v>68</v>
      </c>
      <c r="E419" s="4">
        <v>46142</v>
      </c>
      <c r="F419" s="4">
        <v>46161</v>
      </c>
      <c r="G419" s="5">
        <v>10275</v>
      </c>
      <c r="H419" s="5">
        <v>0</v>
      </c>
      <c r="I419" s="2" t="s">
        <v>31</v>
      </c>
      <c r="J419" s="2" t="s">
        <v>116</v>
      </c>
      <c r="K419" s="2" t="s">
        <v>65</v>
      </c>
    </row>
    <row r="420" spans="1:11" x14ac:dyDescent="0.25">
      <c r="A420" s="2" t="s">
        <v>770</v>
      </c>
      <c r="B420" s="2" t="s">
        <v>771</v>
      </c>
      <c r="C420" s="2" t="s">
        <v>36</v>
      </c>
      <c r="D420" s="2" t="s">
        <v>80</v>
      </c>
      <c r="E420" s="4">
        <v>46277</v>
      </c>
      <c r="F420" s="4">
        <v>46296</v>
      </c>
      <c r="G420" s="5">
        <v>13500</v>
      </c>
      <c r="H420" s="5"/>
      <c r="I420" s="2" t="s">
        <v>42</v>
      </c>
      <c r="J420" s="2"/>
      <c r="K420" s="2" t="s">
        <v>109</v>
      </c>
    </row>
    <row r="421" spans="1:11" x14ac:dyDescent="0.25">
      <c r="A421" s="2" t="s">
        <v>772</v>
      </c>
      <c r="B421" s="2" t="s">
        <v>67</v>
      </c>
      <c r="C421" s="2" t="s">
        <v>29</v>
      </c>
      <c r="D421" s="2" t="s">
        <v>41</v>
      </c>
      <c r="E421" s="4">
        <v>46277</v>
      </c>
      <c r="F421" s="4">
        <v>46297</v>
      </c>
      <c r="G421" s="5">
        <v>1550</v>
      </c>
      <c r="H421" s="5"/>
      <c r="I421" s="2" t="s">
        <v>42</v>
      </c>
      <c r="J421" s="2"/>
      <c r="K421" s="2" t="s">
        <v>109</v>
      </c>
    </row>
    <row r="422" spans="1:11" x14ac:dyDescent="0.25">
      <c r="A422" s="2" t="s">
        <v>772</v>
      </c>
      <c r="B422" s="2" t="s">
        <v>67</v>
      </c>
      <c r="C422" s="2" t="s">
        <v>29</v>
      </c>
      <c r="D422" s="2" t="s">
        <v>41</v>
      </c>
      <c r="E422" s="4">
        <v>46277</v>
      </c>
      <c r="F422" s="4">
        <v>46297</v>
      </c>
      <c r="G422" s="5">
        <v>1550</v>
      </c>
      <c r="H422" s="5"/>
      <c r="I422" s="2" t="s">
        <v>42</v>
      </c>
      <c r="J422" s="2"/>
      <c r="K422" s="2" t="s">
        <v>109</v>
      </c>
    </row>
    <row r="423" spans="1:11" x14ac:dyDescent="0.25">
      <c r="A423" s="2" t="s">
        <v>773</v>
      </c>
      <c r="B423" s="2" t="s">
        <v>774</v>
      </c>
      <c r="C423" s="2" t="s">
        <v>29</v>
      </c>
      <c r="D423" s="2" t="s">
        <v>41</v>
      </c>
      <c r="E423" s="4">
        <v>46096</v>
      </c>
      <c r="F423" s="4">
        <v>46107</v>
      </c>
      <c r="G423" s="5">
        <v>3975</v>
      </c>
      <c r="H423" s="5"/>
      <c r="I423" s="2" t="s">
        <v>42</v>
      </c>
      <c r="J423" s="2"/>
      <c r="K423" s="2" t="s">
        <v>62</v>
      </c>
    </row>
    <row r="424" spans="1:11" x14ac:dyDescent="0.25">
      <c r="A424" s="2" t="s">
        <v>775</v>
      </c>
      <c r="B424" s="2" t="s">
        <v>474</v>
      </c>
      <c r="C424" s="2" t="s">
        <v>46</v>
      </c>
      <c r="D424" s="2" t="s">
        <v>71</v>
      </c>
      <c r="E424" s="4">
        <v>46240</v>
      </c>
      <c r="F424" s="4">
        <v>46243</v>
      </c>
      <c r="G424" s="5">
        <v>8700</v>
      </c>
      <c r="H424" s="5">
        <v>8225.83</v>
      </c>
      <c r="I424" s="2" t="s">
        <v>37</v>
      </c>
      <c r="J424" s="2"/>
      <c r="K424" s="2" t="s">
        <v>38</v>
      </c>
    </row>
    <row r="425" spans="1:11" x14ac:dyDescent="0.25">
      <c r="A425" s="2" t="s">
        <v>776</v>
      </c>
      <c r="B425" s="2" t="s">
        <v>569</v>
      </c>
      <c r="C425" s="2" t="s">
        <v>36</v>
      </c>
      <c r="D425" s="2" t="s">
        <v>30</v>
      </c>
      <c r="E425" s="4">
        <v>46255</v>
      </c>
      <c r="F425" s="4">
        <v>46259</v>
      </c>
      <c r="G425" s="5">
        <v>13800</v>
      </c>
      <c r="H425" s="5">
        <v>9134.32</v>
      </c>
      <c r="I425" s="2" t="s">
        <v>37</v>
      </c>
      <c r="J425" s="2"/>
      <c r="K425" s="2" t="s">
        <v>38</v>
      </c>
    </row>
    <row r="426" spans="1:11" x14ac:dyDescent="0.25">
      <c r="A426" s="2" t="s">
        <v>777</v>
      </c>
      <c r="B426" s="2" t="s">
        <v>634</v>
      </c>
      <c r="C426" s="2" t="s">
        <v>46</v>
      </c>
      <c r="D426" s="2" t="s">
        <v>55</v>
      </c>
      <c r="E426" s="4">
        <v>46253</v>
      </c>
      <c r="F426" s="4">
        <v>46259</v>
      </c>
      <c r="G426" s="5">
        <v>11700</v>
      </c>
      <c r="H426" s="5">
        <v>9074.2900000000009</v>
      </c>
      <c r="I426" s="2" t="s">
        <v>37</v>
      </c>
      <c r="J426" s="2"/>
      <c r="K426" s="2" t="s">
        <v>83</v>
      </c>
    </row>
    <row r="427" spans="1:11" x14ac:dyDescent="0.25">
      <c r="A427" s="2" t="s">
        <v>778</v>
      </c>
      <c r="B427" s="2" t="s">
        <v>779</v>
      </c>
      <c r="C427" s="2" t="s">
        <v>79</v>
      </c>
      <c r="D427" s="2" t="s">
        <v>68</v>
      </c>
      <c r="E427" s="4">
        <v>46246</v>
      </c>
      <c r="F427" s="4">
        <v>46265</v>
      </c>
      <c r="G427" s="5">
        <v>11425</v>
      </c>
      <c r="H427" s="5">
        <v>6381.49</v>
      </c>
      <c r="I427" s="2" t="s">
        <v>37</v>
      </c>
      <c r="J427" s="2"/>
      <c r="K427" s="2" t="s">
        <v>43</v>
      </c>
    </row>
    <row r="428" spans="1:11" x14ac:dyDescent="0.25">
      <c r="A428" s="2" t="s">
        <v>780</v>
      </c>
      <c r="B428" s="2" t="s">
        <v>521</v>
      </c>
      <c r="C428" s="2" t="s">
        <v>46</v>
      </c>
      <c r="D428" s="2" t="s">
        <v>68</v>
      </c>
      <c r="E428" s="4">
        <v>46240</v>
      </c>
      <c r="F428" s="4">
        <v>46258</v>
      </c>
      <c r="G428" s="5">
        <v>9225</v>
      </c>
      <c r="H428" s="5"/>
      <c r="I428" s="2" t="s">
        <v>42</v>
      </c>
      <c r="J428" s="2"/>
      <c r="K428" s="2" t="s">
        <v>33</v>
      </c>
    </row>
    <row r="429" spans="1:11" x14ac:dyDescent="0.25">
      <c r="A429" s="2" t="s">
        <v>781</v>
      </c>
      <c r="B429" s="2" t="s">
        <v>782</v>
      </c>
      <c r="C429" s="2" t="s">
        <v>46</v>
      </c>
      <c r="D429" s="2" t="s">
        <v>30</v>
      </c>
      <c r="E429" s="4">
        <v>46060</v>
      </c>
      <c r="F429" s="4">
        <v>46069</v>
      </c>
      <c r="G429" s="5">
        <v>1350</v>
      </c>
      <c r="H429" s="5">
        <v>814.4</v>
      </c>
      <c r="I429" s="2" t="s">
        <v>37</v>
      </c>
      <c r="J429" s="2"/>
      <c r="K429" s="2" t="s">
        <v>65</v>
      </c>
    </row>
    <row r="430" spans="1:11" x14ac:dyDescent="0.25">
      <c r="A430" s="2" t="s">
        <v>783</v>
      </c>
      <c r="B430" s="2" t="s">
        <v>405</v>
      </c>
      <c r="C430" s="2" t="s">
        <v>46</v>
      </c>
      <c r="D430" s="2" t="s">
        <v>80</v>
      </c>
      <c r="E430" s="4">
        <v>46147</v>
      </c>
      <c r="F430" s="4">
        <v>46165</v>
      </c>
      <c r="G430" s="5">
        <v>3575</v>
      </c>
      <c r="H430" s="5">
        <v>2785.65</v>
      </c>
      <c r="I430" s="2" t="s">
        <v>37</v>
      </c>
      <c r="J430" s="2"/>
      <c r="K430" s="2" t="s">
        <v>33</v>
      </c>
    </row>
    <row r="431" spans="1:11" x14ac:dyDescent="0.25">
      <c r="A431" s="2" t="s">
        <v>784</v>
      </c>
      <c r="B431" s="2" t="s">
        <v>85</v>
      </c>
      <c r="C431" s="2" t="s">
        <v>29</v>
      </c>
      <c r="D431" s="2" t="s">
        <v>80</v>
      </c>
      <c r="E431" s="4">
        <v>46087</v>
      </c>
      <c r="F431" s="4">
        <v>46098</v>
      </c>
      <c r="G431" s="5">
        <v>5700</v>
      </c>
      <c r="H431" s="5">
        <v>3431.85</v>
      </c>
      <c r="I431" s="2" t="s">
        <v>37</v>
      </c>
      <c r="J431" s="2"/>
      <c r="K431" s="2" t="s">
        <v>52</v>
      </c>
    </row>
    <row r="432" spans="1:11" x14ac:dyDescent="0.25">
      <c r="A432" s="2" t="s">
        <v>785</v>
      </c>
      <c r="B432" s="2" t="s">
        <v>421</v>
      </c>
      <c r="C432" s="2" t="s">
        <v>29</v>
      </c>
      <c r="D432" s="2" t="s">
        <v>80</v>
      </c>
      <c r="E432" s="4">
        <v>46057</v>
      </c>
      <c r="F432" s="4">
        <v>46061</v>
      </c>
      <c r="G432" s="5">
        <v>1400</v>
      </c>
      <c r="H432" s="5">
        <v>1243.4100000000001</v>
      </c>
      <c r="I432" s="2" t="s">
        <v>37</v>
      </c>
      <c r="J432" s="2"/>
      <c r="K432" s="2" t="s">
        <v>786</v>
      </c>
    </row>
    <row r="433" spans="1:11" x14ac:dyDescent="0.25">
      <c r="A433" s="2" t="s">
        <v>787</v>
      </c>
      <c r="B433" s="2" t="s">
        <v>513</v>
      </c>
      <c r="C433" s="2" t="s">
        <v>29</v>
      </c>
      <c r="D433" s="2" t="s">
        <v>55</v>
      </c>
      <c r="E433" s="4">
        <v>46169</v>
      </c>
      <c r="F433" s="4">
        <v>46185</v>
      </c>
      <c r="G433" s="5">
        <v>9700</v>
      </c>
      <c r="H433" s="5">
        <v>0</v>
      </c>
      <c r="I433" s="2" t="s">
        <v>31</v>
      </c>
      <c r="J433" s="2" t="s">
        <v>271</v>
      </c>
      <c r="K433" s="2" t="s">
        <v>43</v>
      </c>
    </row>
    <row r="434" spans="1:11" x14ac:dyDescent="0.25">
      <c r="A434" s="2" t="s">
        <v>788</v>
      </c>
      <c r="B434" s="2" t="s">
        <v>789</v>
      </c>
      <c r="C434" s="2" t="s">
        <v>29</v>
      </c>
      <c r="D434" s="2" t="s">
        <v>94</v>
      </c>
      <c r="E434" s="4">
        <v>46082</v>
      </c>
      <c r="F434" s="4">
        <v>46099</v>
      </c>
      <c r="G434" s="5">
        <v>11600</v>
      </c>
      <c r="H434" s="5">
        <v>6947.16</v>
      </c>
      <c r="I434" s="2" t="s">
        <v>37</v>
      </c>
      <c r="J434" s="2"/>
      <c r="K434" s="2" t="s">
        <v>43</v>
      </c>
    </row>
    <row r="435" spans="1:11" x14ac:dyDescent="0.25">
      <c r="A435" s="2" t="s">
        <v>790</v>
      </c>
      <c r="B435" s="2" t="s">
        <v>230</v>
      </c>
      <c r="C435" s="2" t="s">
        <v>79</v>
      </c>
      <c r="D435" s="2" t="s">
        <v>68</v>
      </c>
      <c r="E435" s="4">
        <v>46083</v>
      </c>
      <c r="F435" s="4">
        <v>46093</v>
      </c>
      <c r="G435" s="5">
        <v>10925</v>
      </c>
      <c r="H435" s="5"/>
      <c r="I435" s="2" t="s">
        <v>42</v>
      </c>
      <c r="J435" s="2"/>
      <c r="K435" s="2" t="s">
        <v>56</v>
      </c>
    </row>
    <row r="436" spans="1:11" x14ac:dyDescent="0.25">
      <c r="A436" s="2" t="s">
        <v>791</v>
      </c>
      <c r="B436" s="2" t="s">
        <v>792</v>
      </c>
      <c r="C436" s="2" t="s">
        <v>36</v>
      </c>
      <c r="D436" s="2" t="s">
        <v>80</v>
      </c>
      <c r="E436" s="4">
        <v>46099</v>
      </c>
      <c r="F436" s="4">
        <v>46111</v>
      </c>
      <c r="G436" s="5">
        <v>4775</v>
      </c>
      <c r="H436" s="5">
        <v>2779.59</v>
      </c>
      <c r="I436" s="2" t="s">
        <v>37</v>
      </c>
      <c r="J436" s="2"/>
      <c r="K436" s="2" t="s">
        <v>83</v>
      </c>
    </row>
    <row r="437" spans="1:11" x14ac:dyDescent="0.25">
      <c r="A437" s="2" t="s">
        <v>793</v>
      </c>
      <c r="B437" s="2" t="s">
        <v>794</v>
      </c>
      <c r="C437" s="2" t="s">
        <v>29</v>
      </c>
      <c r="D437" s="2" t="s">
        <v>55</v>
      </c>
      <c r="E437" s="4">
        <v>46032</v>
      </c>
      <c r="F437" s="4">
        <v>46049</v>
      </c>
      <c r="G437" s="5">
        <v>12700</v>
      </c>
      <c r="H437" s="5"/>
      <c r="I437" s="2" t="s">
        <v>42</v>
      </c>
      <c r="J437" s="2"/>
      <c r="K437" s="2" t="s">
        <v>56</v>
      </c>
    </row>
    <row r="438" spans="1:11" x14ac:dyDescent="0.25">
      <c r="A438" s="2" t="s">
        <v>795</v>
      </c>
      <c r="B438" s="2" t="s">
        <v>766</v>
      </c>
      <c r="C438" s="2" t="s">
        <v>29</v>
      </c>
      <c r="D438" s="2" t="s">
        <v>30</v>
      </c>
      <c r="E438" s="4">
        <v>46096</v>
      </c>
      <c r="F438" s="4">
        <v>46110</v>
      </c>
      <c r="G438" s="5">
        <v>9600</v>
      </c>
      <c r="H438" s="5">
        <v>6678.37</v>
      </c>
      <c r="I438" s="2" t="s">
        <v>37</v>
      </c>
      <c r="J438" s="2"/>
      <c r="K438" s="2" t="s">
        <v>56</v>
      </c>
    </row>
    <row r="439" spans="1:11" x14ac:dyDescent="0.25">
      <c r="A439" s="2" t="s">
        <v>796</v>
      </c>
      <c r="B439" s="2" t="s">
        <v>797</v>
      </c>
      <c r="C439" s="2" t="s">
        <v>29</v>
      </c>
      <c r="D439" s="2" t="s">
        <v>61</v>
      </c>
      <c r="E439" s="4">
        <v>46113</v>
      </c>
      <c r="F439" s="4">
        <v>46130</v>
      </c>
      <c r="G439" s="5">
        <v>10450</v>
      </c>
      <c r="H439" s="5">
        <v>10061.969999999999</v>
      </c>
      <c r="I439" s="2" t="s">
        <v>37</v>
      </c>
      <c r="J439" s="2"/>
      <c r="K439" s="2" t="s">
        <v>48</v>
      </c>
    </row>
    <row r="440" spans="1:11" x14ac:dyDescent="0.25">
      <c r="A440" s="2" t="s">
        <v>798</v>
      </c>
      <c r="B440" s="2" t="s">
        <v>493</v>
      </c>
      <c r="C440" s="2" t="s">
        <v>36</v>
      </c>
      <c r="D440" s="2" t="s">
        <v>61</v>
      </c>
      <c r="E440" s="4">
        <v>46060</v>
      </c>
      <c r="F440" s="4">
        <v>46072</v>
      </c>
      <c r="G440" s="5">
        <v>10400</v>
      </c>
      <c r="H440" s="5">
        <v>8105.9</v>
      </c>
      <c r="I440" s="2" t="s">
        <v>37</v>
      </c>
      <c r="J440" s="2"/>
      <c r="K440" s="2" t="s">
        <v>43</v>
      </c>
    </row>
    <row r="441" spans="1:11" x14ac:dyDescent="0.25">
      <c r="A441" s="2" t="s">
        <v>799</v>
      </c>
      <c r="B441" s="2" t="s">
        <v>480</v>
      </c>
      <c r="C441" s="2" t="s">
        <v>46</v>
      </c>
      <c r="D441" s="2" t="s">
        <v>55</v>
      </c>
      <c r="E441" s="4">
        <v>46282</v>
      </c>
      <c r="F441" s="4">
        <v>46294</v>
      </c>
      <c r="G441" s="5">
        <v>6075</v>
      </c>
      <c r="H441" s="5"/>
      <c r="I441" s="2" t="s">
        <v>42</v>
      </c>
      <c r="J441" s="2"/>
      <c r="K441" s="2" t="s">
        <v>62</v>
      </c>
    </row>
    <row r="442" spans="1:11" x14ac:dyDescent="0.25">
      <c r="A442" s="2" t="s">
        <v>800</v>
      </c>
      <c r="B442" s="2" t="s">
        <v>276</v>
      </c>
      <c r="C442" s="2" t="s">
        <v>46</v>
      </c>
      <c r="D442" s="2" t="s">
        <v>94</v>
      </c>
      <c r="E442" s="4">
        <v>46178</v>
      </c>
      <c r="F442" s="4">
        <v>46196</v>
      </c>
      <c r="G442" s="5">
        <v>13700</v>
      </c>
      <c r="H442" s="5">
        <v>9740.89</v>
      </c>
      <c r="I442" s="2" t="s">
        <v>37</v>
      </c>
      <c r="J442" s="2"/>
      <c r="K442" s="2" t="s">
        <v>109</v>
      </c>
    </row>
    <row r="443" spans="1:11" x14ac:dyDescent="0.25">
      <c r="A443" s="2" t="s">
        <v>801</v>
      </c>
      <c r="B443" s="2" t="s">
        <v>425</v>
      </c>
      <c r="C443" s="2" t="s">
        <v>79</v>
      </c>
      <c r="D443" s="2" t="s">
        <v>80</v>
      </c>
      <c r="E443" s="4">
        <v>46079</v>
      </c>
      <c r="F443" s="4">
        <v>46091</v>
      </c>
      <c r="G443" s="5">
        <v>9950</v>
      </c>
      <c r="H443" s="5">
        <v>8821.17</v>
      </c>
      <c r="I443" s="2" t="s">
        <v>37</v>
      </c>
      <c r="J443" s="2"/>
      <c r="K443" s="2" t="s">
        <v>48</v>
      </c>
    </row>
    <row r="444" spans="1:11" x14ac:dyDescent="0.25">
      <c r="A444" s="2" t="s">
        <v>802</v>
      </c>
      <c r="B444" s="2" t="s">
        <v>803</v>
      </c>
      <c r="C444" s="2" t="s">
        <v>29</v>
      </c>
      <c r="D444" s="2" t="s">
        <v>55</v>
      </c>
      <c r="E444" s="4">
        <v>46230</v>
      </c>
      <c r="F444" s="4">
        <v>46247</v>
      </c>
      <c r="G444" s="5">
        <v>3725</v>
      </c>
      <c r="H444" s="5">
        <v>3665.46</v>
      </c>
      <c r="I444" s="2" t="s">
        <v>37</v>
      </c>
      <c r="J444" s="2"/>
      <c r="K444" s="2" t="s">
        <v>48</v>
      </c>
    </row>
    <row r="445" spans="1:11" x14ac:dyDescent="0.25">
      <c r="A445" s="2" t="s">
        <v>804</v>
      </c>
      <c r="B445" s="2" t="s">
        <v>552</v>
      </c>
      <c r="C445" s="2" t="s">
        <v>79</v>
      </c>
      <c r="D445" s="2" t="s">
        <v>94</v>
      </c>
      <c r="E445" s="4">
        <v>46023</v>
      </c>
      <c r="F445" s="4">
        <v>46034</v>
      </c>
      <c r="G445" s="5">
        <v>2725</v>
      </c>
      <c r="H445" s="5">
        <v>2243.23</v>
      </c>
      <c r="I445" s="2" t="s">
        <v>37</v>
      </c>
      <c r="J445" s="2"/>
      <c r="K445" s="2" t="s">
        <v>62</v>
      </c>
    </row>
    <row r="446" spans="1:11" x14ac:dyDescent="0.25">
      <c r="A446" s="2" t="s">
        <v>805</v>
      </c>
      <c r="B446" s="2" t="s">
        <v>806</v>
      </c>
      <c r="C446" s="2" t="s">
        <v>36</v>
      </c>
      <c r="D446" s="2" t="s">
        <v>80</v>
      </c>
      <c r="E446" s="4">
        <v>46201</v>
      </c>
      <c r="F446" s="4">
        <v>46206</v>
      </c>
      <c r="G446" s="5">
        <v>2225</v>
      </c>
      <c r="H446" s="5">
        <v>1913.11</v>
      </c>
      <c r="I446" s="2" t="s">
        <v>37</v>
      </c>
      <c r="J446" s="2"/>
      <c r="K446" s="2" t="s">
        <v>33</v>
      </c>
    </row>
    <row r="447" spans="1:11" x14ac:dyDescent="0.25">
      <c r="A447" s="2" t="s">
        <v>807</v>
      </c>
      <c r="B447" s="2" t="s">
        <v>343</v>
      </c>
      <c r="C447" s="2" t="s">
        <v>36</v>
      </c>
      <c r="D447" s="2" t="s">
        <v>94</v>
      </c>
      <c r="E447" s="4">
        <v>46036</v>
      </c>
      <c r="F447" s="4">
        <v>46054</v>
      </c>
      <c r="G447" s="5">
        <v>11725</v>
      </c>
      <c r="H447" s="5">
        <v>7866.86</v>
      </c>
      <c r="I447" s="2" t="s">
        <v>37</v>
      </c>
      <c r="J447" s="2"/>
      <c r="K447" s="2" t="s">
        <v>48</v>
      </c>
    </row>
    <row r="448" spans="1:11" x14ac:dyDescent="0.25">
      <c r="A448" s="2" t="s">
        <v>808</v>
      </c>
      <c r="B448" s="2" t="s">
        <v>152</v>
      </c>
      <c r="C448" s="2" t="s">
        <v>46</v>
      </c>
      <c r="D448" s="2" t="s">
        <v>80</v>
      </c>
      <c r="E448" s="4">
        <v>46183</v>
      </c>
      <c r="F448" s="4">
        <v>46191</v>
      </c>
      <c r="G448" s="5">
        <v>10900</v>
      </c>
      <c r="H448" s="5">
        <v>8833.85</v>
      </c>
      <c r="I448" s="2" t="s">
        <v>37</v>
      </c>
      <c r="J448" s="2"/>
      <c r="K448" s="2" t="s">
        <v>62</v>
      </c>
    </row>
    <row r="449" spans="1:11" x14ac:dyDescent="0.25">
      <c r="A449" s="2" t="s">
        <v>809</v>
      </c>
      <c r="B449" s="2" t="s">
        <v>262</v>
      </c>
      <c r="C449" s="2" t="s">
        <v>36</v>
      </c>
      <c r="D449" s="2" t="s">
        <v>80</v>
      </c>
      <c r="E449" s="4">
        <v>46196</v>
      </c>
      <c r="F449" s="4">
        <v>46201</v>
      </c>
      <c r="G449" s="5">
        <v>10425</v>
      </c>
      <c r="H449" s="5">
        <v>5740.32</v>
      </c>
      <c r="I449" s="2" t="s">
        <v>37</v>
      </c>
      <c r="J449" s="2"/>
      <c r="K449" s="2" t="s">
        <v>109</v>
      </c>
    </row>
    <row r="450" spans="1:11" x14ac:dyDescent="0.25">
      <c r="A450" s="2" t="s">
        <v>810</v>
      </c>
      <c r="B450" s="2" t="s">
        <v>613</v>
      </c>
      <c r="C450" s="2" t="s">
        <v>29</v>
      </c>
      <c r="D450" s="2" t="s">
        <v>94</v>
      </c>
      <c r="E450" s="4">
        <v>46268</v>
      </c>
      <c r="F450" s="4">
        <v>46272</v>
      </c>
      <c r="G450" s="5">
        <v>12375</v>
      </c>
      <c r="H450" s="5">
        <v>10215.870000000001</v>
      </c>
      <c r="I450" s="2" t="s">
        <v>37</v>
      </c>
      <c r="J450" s="2"/>
      <c r="K450" s="2" t="s">
        <v>62</v>
      </c>
    </row>
    <row r="451" spans="1:11" x14ac:dyDescent="0.25">
      <c r="A451" s="2" t="s">
        <v>811</v>
      </c>
      <c r="B451" s="2" t="s">
        <v>812</v>
      </c>
      <c r="C451" s="2" t="s">
        <v>29</v>
      </c>
      <c r="D451" s="2" t="s">
        <v>55</v>
      </c>
      <c r="E451" s="4">
        <v>46152</v>
      </c>
      <c r="F451" s="4">
        <v>46162</v>
      </c>
      <c r="G451" s="5">
        <v>2450</v>
      </c>
      <c r="H451" s="5">
        <v>1379</v>
      </c>
      <c r="I451" s="2" t="s">
        <v>37</v>
      </c>
      <c r="J451" s="2"/>
      <c r="K451" s="2" t="s">
        <v>83</v>
      </c>
    </row>
    <row r="452" spans="1:11" x14ac:dyDescent="0.25">
      <c r="A452" s="2" t="s">
        <v>813</v>
      </c>
      <c r="B452" s="2" t="s">
        <v>814</v>
      </c>
      <c r="C452" s="2" t="s">
        <v>36</v>
      </c>
      <c r="D452" s="2" t="s">
        <v>61</v>
      </c>
      <c r="E452" s="4">
        <v>46171</v>
      </c>
      <c r="F452" s="4">
        <v>46183</v>
      </c>
      <c r="G452" s="5">
        <v>5125</v>
      </c>
      <c r="H452" s="5">
        <v>2887.01</v>
      </c>
      <c r="I452" s="2" t="s">
        <v>37</v>
      </c>
      <c r="J452" s="2"/>
      <c r="K452" s="2" t="s">
        <v>33</v>
      </c>
    </row>
    <row r="453" spans="1:11" x14ac:dyDescent="0.25">
      <c r="A453" s="2" t="s">
        <v>815</v>
      </c>
      <c r="B453" s="2" t="s">
        <v>210</v>
      </c>
      <c r="C453" s="2" t="s">
        <v>36</v>
      </c>
      <c r="D453" s="2" t="s">
        <v>94</v>
      </c>
      <c r="E453" s="4">
        <v>46129</v>
      </c>
      <c r="F453" s="4">
        <v>46142</v>
      </c>
      <c r="G453" s="5">
        <v>5475</v>
      </c>
      <c r="H453" s="5">
        <v>5394.07</v>
      </c>
      <c r="I453" s="2" t="s">
        <v>37</v>
      </c>
      <c r="J453" s="2"/>
      <c r="K453" s="2" t="s">
        <v>83</v>
      </c>
    </row>
    <row r="454" spans="1:11" x14ac:dyDescent="0.25">
      <c r="A454" s="2" t="s">
        <v>816</v>
      </c>
      <c r="B454" s="2" t="s">
        <v>345</v>
      </c>
      <c r="C454" s="2" t="s">
        <v>36</v>
      </c>
      <c r="D454" s="2" t="s">
        <v>202</v>
      </c>
      <c r="E454" s="4">
        <v>46271</v>
      </c>
      <c r="F454" s="4">
        <v>46275</v>
      </c>
      <c r="G454" s="5">
        <v>9725</v>
      </c>
      <c r="H454" s="5"/>
      <c r="I454" s="2" t="s">
        <v>42</v>
      </c>
      <c r="J454" s="2"/>
      <c r="K454" s="2" t="s">
        <v>56</v>
      </c>
    </row>
    <row r="455" spans="1:11" x14ac:dyDescent="0.25">
      <c r="A455" s="2" t="s">
        <v>817</v>
      </c>
      <c r="B455" s="2" t="s">
        <v>436</v>
      </c>
      <c r="C455" s="2" t="s">
        <v>79</v>
      </c>
      <c r="D455" s="2" t="s">
        <v>94</v>
      </c>
      <c r="E455" s="4">
        <v>46010</v>
      </c>
      <c r="F455" s="4">
        <v>46024</v>
      </c>
      <c r="G455" s="5">
        <v>2400</v>
      </c>
      <c r="H455" s="5"/>
      <c r="I455" s="2" t="s">
        <v>42</v>
      </c>
      <c r="J455" s="2"/>
      <c r="K455" s="2" t="s">
        <v>43</v>
      </c>
    </row>
    <row r="456" spans="1:11" x14ac:dyDescent="0.25">
      <c r="A456" s="2" t="s">
        <v>818</v>
      </c>
      <c r="B456" s="2" t="s">
        <v>819</v>
      </c>
      <c r="C456" s="2" t="s">
        <v>46</v>
      </c>
      <c r="D456" s="2" t="s">
        <v>55</v>
      </c>
      <c r="E456" s="4">
        <v>46132</v>
      </c>
      <c r="F456" s="4">
        <v>46138</v>
      </c>
      <c r="G456" s="5">
        <v>9475</v>
      </c>
      <c r="H456" s="5">
        <v>7093.9</v>
      </c>
      <c r="I456" s="2" t="s">
        <v>37</v>
      </c>
      <c r="J456" s="2"/>
      <c r="K456" s="2" t="s">
        <v>48</v>
      </c>
    </row>
    <row r="457" spans="1:11" x14ac:dyDescent="0.25">
      <c r="A457" s="2" t="s">
        <v>820</v>
      </c>
      <c r="B457" s="2" t="s">
        <v>284</v>
      </c>
      <c r="C457" s="2" t="s">
        <v>29</v>
      </c>
      <c r="D457" s="2" t="s">
        <v>94</v>
      </c>
      <c r="E457" s="4">
        <v>46132</v>
      </c>
      <c r="F457" s="4">
        <v>46147</v>
      </c>
      <c r="G457" s="5">
        <v>7075</v>
      </c>
      <c r="H457" s="5">
        <v>5599.62</v>
      </c>
      <c r="I457" s="2" t="s">
        <v>37</v>
      </c>
      <c r="J457" s="2"/>
      <c r="K457" s="2" t="s">
        <v>65</v>
      </c>
    </row>
    <row r="458" spans="1:11" x14ac:dyDescent="0.25">
      <c r="A458" s="2" t="s">
        <v>821</v>
      </c>
      <c r="B458" s="2" t="s">
        <v>822</v>
      </c>
      <c r="C458" s="2" t="s">
        <v>46</v>
      </c>
      <c r="D458" s="2" t="s">
        <v>55</v>
      </c>
      <c r="E458" s="4">
        <v>46128</v>
      </c>
      <c r="F458" s="4">
        <v>46137</v>
      </c>
      <c r="G458" s="5">
        <v>3475</v>
      </c>
      <c r="H458" s="5">
        <v>2776.41</v>
      </c>
      <c r="I458" s="2" t="s">
        <v>37</v>
      </c>
      <c r="J458" s="2"/>
      <c r="K458" s="2" t="s">
        <v>823</v>
      </c>
    </row>
    <row r="459" spans="1:11" x14ac:dyDescent="0.25">
      <c r="A459" s="2" t="s">
        <v>824</v>
      </c>
      <c r="B459" s="2" t="s">
        <v>825</v>
      </c>
      <c r="C459" s="2" t="s">
        <v>29</v>
      </c>
      <c r="D459" s="2" t="s">
        <v>94</v>
      </c>
      <c r="E459" s="4">
        <v>46287</v>
      </c>
      <c r="F459" s="4">
        <v>46293</v>
      </c>
      <c r="G459" s="5">
        <v>1600</v>
      </c>
      <c r="H459" s="5"/>
      <c r="I459" s="2" t="s">
        <v>42</v>
      </c>
      <c r="J459" s="2"/>
      <c r="K459" s="2" t="s">
        <v>38</v>
      </c>
    </row>
    <row r="460" spans="1:11" x14ac:dyDescent="0.25">
      <c r="A460" s="2" t="s">
        <v>826</v>
      </c>
      <c r="B460" s="2" t="s">
        <v>827</v>
      </c>
      <c r="C460" s="2" t="s">
        <v>79</v>
      </c>
      <c r="D460" s="2" t="s">
        <v>41</v>
      </c>
      <c r="E460" s="4">
        <v>46135</v>
      </c>
      <c r="F460" s="4">
        <v>46143</v>
      </c>
      <c r="G460" s="5">
        <v>1900</v>
      </c>
      <c r="H460" s="5">
        <v>0</v>
      </c>
      <c r="I460" s="2" t="s">
        <v>31</v>
      </c>
      <c r="J460" s="2" t="s">
        <v>32</v>
      </c>
      <c r="K460" s="2" t="s">
        <v>48</v>
      </c>
    </row>
    <row r="461" spans="1:11" x14ac:dyDescent="0.25">
      <c r="A461" s="2" t="s">
        <v>828</v>
      </c>
      <c r="B461" s="2" t="s">
        <v>829</v>
      </c>
      <c r="C461" s="2" t="s">
        <v>36</v>
      </c>
      <c r="D461" s="2" t="s">
        <v>148</v>
      </c>
      <c r="E461" s="4">
        <v>46182</v>
      </c>
      <c r="F461" s="4">
        <v>46200</v>
      </c>
      <c r="G461" s="5">
        <v>10950</v>
      </c>
      <c r="H461" s="5">
        <v>6697.06</v>
      </c>
      <c r="I461" s="2" t="s">
        <v>37</v>
      </c>
      <c r="J461" s="2"/>
      <c r="K461" s="2" t="s">
        <v>109</v>
      </c>
    </row>
    <row r="462" spans="1:11" x14ac:dyDescent="0.25">
      <c r="A462" s="2" t="s">
        <v>830</v>
      </c>
      <c r="B462" s="2" t="s">
        <v>831</v>
      </c>
      <c r="C462" s="2" t="s">
        <v>79</v>
      </c>
      <c r="D462" s="2" t="s">
        <v>68</v>
      </c>
      <c r="E462" s="4">
        <v>46081</v>
      </c>
      <c r="F462" s="4">
        <v>46093</v>
      </c>
      <c r="G462" s="5">
        <v>11850</v>
      </c>
      <c r="H462" s="5">
        <v>6668.68</v>
      </c>
      <c r="I462" s="2" t="s">
        <v>37</v>
      </c>
      <c r="J462" s="2"/>
      <c r="K462" s="2" t="s">
        <v>65</v>
      </c>
    </row>
    <row r="463" spans="1:11" x14ac:dyDescent="0.25">
      <c r="A463" s="2" t="s">
        <v>832</v>
      </c>
      <c r="B463" s="2" t="s">
        <v>833</v>
      </c>
      <c r="C463" s="2" t="s">
        <v>29</v>
      </c>
      <c r="D463" s="2" t="s">
        <v>55</v>
      </c>
      <c r="E463" s="4">
        <v>46100</v>
      </c>
      <c r="F463" s="4">
        <v>46118</v>
      </c>
      <c r="G463" s="5">
        <v>5825</v>
      </c>
      <c r="H463" s="5">
        <v>4370.6499999999996</v>
      </c>
      <c r="I463" s="2" t="s">
        <v>37</v>
      </c>
      <c r="J463" s="2"/>
      <c r="K463" s="2" t="s">
        <v>33</v>
      </c>
    </row>
    <row r="464" spans="1:11" x14ac:dyDescent="0.25">
      <c r="A464" s="2" t="s">
        <v>834</v>
      </c>
      <c r="B464" s="2" t="s">
        <v>835</v>
      </c>
      <c r="C464" s="2" t="s">
        <v>46</v>
      </c>
      <c r="D464" s="2" t="s">
        <v>61</v>
      </c>
      <c r="E464" s="4">
        <v>46160</v>
      </c>
      <c r="F464" s="4">
        <v>46171</v>
      </c>
      <c r="G464" s="5">
        <v>11325</v>
      </c>
      <c r="H464" s="5">
        <v>0</v>
      </c>
      <c r="I464" s="2" t="s">
        <v>31</v>
      </c>
      <c r="J464" s="2" t="s">
        <v>312</v>
      </c>
      <c r="K464" s="2" t="s">
        <v>83</v>
      </c>
    </row>
    <row r="465" spans="1:11" x14ac:dyDescent="0.25">
      <c r="A465" s="2" t="s">
        <v>836</v>
      </c>
      <c r="B465" s="2" t="s">
        <v>782</v>
      </c>
      <c r="C465" s="2" t="s">
        <v>29</v>
      </c>
      <c r="D465" s="2" t="s">
        <v>55</v>
      </c>
      <c r="E465" s="4">
        <v>46036</v>
      </c>
      <c r="F465" s="4">
        <v>46055</v>
      </c>
      <c r="G465" s="5">
        <v>4025</v>
      </c>
      <c r="H465" s="5">
        <v>2877.4</v>
      </c>
      <c r="I465" s="2" t="s">
        <v>37</v>
      </c>
      <c r="J465" s="2"/>
      <c r="K465" s="2" t="s">
        <v>43</v>
      </c>
    </row>
    <row r="466" spans="1:11" x14ac:dyDescent="0.25">
      <c r="A466" s="2" t="s">
        <v>837</v>
      </c>
      <c r="B466" s="2" t="s">
        <v>838</v>
      </c>
      <c r="C466" s="2" t="s">
        <v>29</v>
      </c>
      <c r="D466" s="2" t="s">
        <v>80</v>
      </c>
      <c r="E466" s="4">
        <v>46051</v>
      </c>
      <c r="F466" s="4">
        <v>46066</v>
      </c>
      <c r="G466" s="5">
        <v>12000</v>
      </c>
      <c r="H466" s="5">
        <v>11713.83</v>
      </c>
      <c r="I466" s="2" t="s">
        <v>37</v>
      </c>
      <c r="J466" s="2"/>
      <c r="K466" s="2" t="s">
        <v>65</v>
      </c>
    </row>
    <row r="467" spans="1:11" x14ac:dyDescent="0.25">
      <c r="A467" s="2" t="s">
        <v>839</v>
      </c>
      <c r="B467" s="2" t="s">
        <v>840</v>
      </c>
      <c r="C467" s="2" t="s">
        <v>36</v>
      </c>
      <c r="D467" s="2" t="s">
        <v>30</v>
      </c>
      <c r="E467" s="4">
        <v>46048</v>
      </c>
      <c r="F467" s="4">
        <v>46055</v>
      </c>
      <c r="G467" s="5">
        <v>3350</v>
      </c>
      <c r="H467" s="5">
        <v>2006.04</v>
      </c>
      <c r="I467" s="2" t="s">
        <v>37</v>
      </c>
      <c r="J467" s="2"/>
      <c r="K467" s="2" t="s">
        <v>65</v>
      </c>
    </row>
    <row r="468" spans="1:11" x14ac:dyDescent="0.25">
      <c r="A468" s="2" t="s">
        <v>841</v>
      </c>
      <c r="B468" s="2" t="s">
        <v>446</v>
      </c>
      <c r="C468" s="2" t="s">
        <v>36</v>
      </c>
      <c r="D468" s="2" t="s">
        <v>80</v>
      </c>
      <c r="E468" s="4">
        <v>46093</v>
      </c>
      <c r="F468" s="4">
        <v>46104</v>
      </c>
      <c r="G468" s="5">
        <v>14900</v>
      </c>
      <c r="H468" s="5">
        <v>9534.39</v>
      </c>
      <c r="I468" s="2" t="s">
        <v>37</v>
      </c>
      <c r="J468" s="2"/>
      <c r="K468" s="2" t="s">
        <v>33</v>
      </c>
    </row>
    <row r="469" spans="1:11" x14ac:dyDescent="0.25">
      <c r="A469" s="2" t="s">
        <v>842</v>
      </c>
      <c r="B469" s="2" t="s">
        <v>540</v>
      </c>
      <c r="C469" s="2" t="s">
        <v>79</v>
      </c>
      <c r="D469" s="2"/>
      <c r="E469" s="4">
        <v>46046</v>
      </c>
      <c r="F469" s="4">
        <v>46057</v>
      </c>
      <c r="G469" s="5">
        <v>4350</v>
      </c>
      <c r="H469" s="5">
        <v>3193.33</v>
      </c>
      <c r="I469" s="2" t="s">
        <v>37</v>
      </c>
      <c r="J469" s="2"/>
      <c r="K469" s="2" t="s">
        <v>43</v>
      </c>
    </row>
    <row r="470" spans="1:11" x14ac:dyDescent="0.25">
      <c r="A470" s="2" t="s">
        <v>843</v>
      </c>
      <c r="B470" s="2" t="s">
        <v>844</v>
      </c>
      <c r="C470" s="2" t="s">
        <v>36</v>
      </c>
      <c r="D470" s="2" t="s">
        <v>61</v>
      </c>
      <c r="E470" s="4">
        <v>46015</v>
      </c>
      <c r="F470" s="4">
        <v>46031</v>
      </c>
      <c r="G470" s="5">
        <v>1025</v>
      </c>
      <c r="H470" s="5">
        <v>748.53</v>
      </c>
      <c r="I470" s="2" t="s">
        <v>37</v>
      </c>
      <c r="J470" s="2"/>
      <c r="K470" s="2" t="s">
        <v>52</v>
      </c>
    </row>
    <row r="471" spans="1:11" x14ac:dyDescent="0.25">
      <c r="A471" s="2" t="s">
        <v>845</v>
      </c>
      <c r="B471" s="2" t="s">
        <v>846</v>
      </c>
      <c r="C471" s="2" t="s">
        <v>46</v>
      </c>
      <c r="D471" s="2" t="s">
        <v>591</v>
      </c>
      <c r="E471" s="4">
        <v>46141</v>
      </c>
      <c r="F471" s="4">
        <v>46149</v>
      </c>
      <c r="G471" s="5">
        <v>5425</v>
      </c>
      <c r="H471" s="5"/>
      <c r="I471" s="2" t="s">
        <v>42</v>
      </c>
      <c r="J471" s="2"/>
      <c r="K471" s="2" t="s">
        <v>83</v>
      </c>
    </row>
    <row r="472" spans="1:11" x14ac:dyDescent="0.25">
      <c r="A472" s="2" t="s">
        <v>847</v>
      </c>
      <c r="B472" s="2" t="s">
        <v>848</v>
      </c>
      <c r="C472" s="2" t="s">
        <v>46</v>
      </c>
      <c r="D472" s="2" t="s">
        <v>41</v>
      </c>
      <c r="E472" s="4">
        <v>46160</v>
      </c>
      <c r="F472" s="4">
        <v>46171</v>
      </c>
      <c r="G472" s="5">
        <v>5350</v>
      </c>
      <c r="H472" s="5">
        <v>0</v>
      </c>
      <c r="I472" s="2" t="s">
        <v>31</v>
      </c>
      <c r="J472" s="2" t="s">
        <v>271</v>
      </c>
      <c r="K472" s="2" t="s">
        <v>83</v>
      </c>
    </row>
    <row r="473" spans="1:11" x14ac:dyDescent="0.25">
      <c r="A473" s="2" t="s">
        <v>849</v>
      </c>
      <c r="B473" s="2" t="s">
        <v>850</v>
      </c>
      <c r="C473" s="2" t="s">
        <v>79</v>
      </c>
      <c r="D473" s="2" t="s">
        <v>61</v>
      </c>
      <c r="E473" s="4">
        <v>46025</v>
      </c>
      <c r="F473" s="4">
        <v>46036</v>
      </c>
      <c r="G473" s="5">
        <v>1250</v>
      </c>
      <c r="H473" s="5">
        <v>709.82</v>
      </c>
      <c r="I473" s="2" t="s">
        <v>37</v>
      </c>
      <c r="J473" s="2"/>
      <c r="K473" s="2" t="s">
        <v>48</v>
      </c>
    </row>
    <row r="474" spans="1:11" x14ac:dyDescent="0.25">
      <c r="A474" s="2" t="s">
        <v>851</v>
      </c>
      <c r="B474" s="2" t="s">
        <v>396</v>
      </c>
      <c r="C474" s="2" t="s">
        <v>79</v>
      </c>
      <c r="D474" s="2" t="s">
        <v>30</v>
      </c>
      <c r="E474" s="4">
        <v>46113</v>
      </c>
      <c r="F474" s="4">
        <v>46120</v>
      </c>
      <c r="G474" s="5">
        <v>12250</v>
      </c>
      <c r="H474" s="5">
        <v>11878.11</v>
      </c>
      <c r="I474" s="2" t="s">
        <v>37</v>
      </c>
      <c r="J474" s="2"/>
      <c r="K474" s="2" t="s">
        <v>43</v>
      </c>
    </row>
    <row r="475" spans="1:11" x14ac:dyDescent="0.25">
      <c r="A475" s="2" t="s">
        <v>852</v>
      </c>
      <c r="B475" s="2" t="s">
        <v>853</v>
      </c>
      <c r="C475" s="2" t="s">
        <v>29</v>
      </c>
      <c r="D475" s="2" t="s">
        <v>80</v>
      </c>
      <c r="E475" s="4">
        <v>46128</v>
      </c>
      <c r="F475" s="4">
        <v>46141</v>
      </c>
      <c r="G475" s="5">
        <v>2850</v>
      </c>
      <c r="H475" s="5">
        <v>1884.4</v>
      </c>
      <c r="I475" s="2" t="s">
        <v>37</v>
      </c>
      <c r="J475" s="2"/>
      <c r="K475" s="2" t="s">
        <v>43</v>
      </c>
    </row>
    <row r="476" spans="1:11" x14ac:dyDescent="0.25">
      <c r="A476" s="2" t="s">
        <v>854</v>
      </c>
      <c r="B476" s="2" t="s">
        <v>598</v>
      </c>
      <c r="C476" s="2" t="s">
        <v>36</v>
      </c>
      <c r="D476" s="2" t="s">
        <v>68</v>
      </c>
      <c r="E476" s="4">
        <v>46027</v>
      </c>
      <c r="F476" s="4">
        <v>46037</v>
      </c>
      <c r="G476" s="5">
        <v>9675</v>
      </c>
      <c r="H476" s="5">
        <v>8827.3700000000008</v>
      </c>
      <c r="I476" s="2" t="s">
        <v>37</v>
      </c>
      <c r="J476" s="2"/>
      <c r="K476" s="2" t="s">
        <v>83</v>
      </c>
    </row>
    <row r="477" spans="1:11" x14ac:dyDescent="0.25">
      <c r="A477" s="2" t="s">
        <v>855</v>
      </c>
      <c r="B477" s="2" t="s">
        <v>856</v>
      </c>
      <c r="C477" s="2" t="s">
        <v>46</v>
      </c>
      <c r="D477" s="2" t="s">
        <v>41</v>
      </c>
      <c r="E477" s="4">
        <v>46131</v>
      </c>
      <c r="F477" s="4">
        <v>46143</v>
      </c>
      <c r="G477" s="5">
        <v>3450</v>
      </c>
      <c r="H477" s="5">
        <v>2062.71</v>
      </c>
      <c r="I477" s="2" t="s">
        <v>37</v>
      </c>
      <c r="J477" s="2"/>
      <c r="K477" s="2" t="s">
        <v>38</v>
      </c>
    </row>
    <row r="478" spans="1:11" x14ac:dyDescent="0.25">
      <c r="A478" s="2" t="s">
        <v>857</v>
      </c>
      <c r="B478" s="2" t="s">
        <v>858</v>
      </c>
      <c r="C478" s="2" t="s">
        <v>46</v>
      </c>
      <c r="D478" s="2" t="s">
        <v>80</v>
      </c>
      <c r="E478" s="4">
        <v>46271</v>
      </c>
      <c r="F478" s="4">
        <v>46288</v>
      </c>
      <c r="G478" s="5">
        <v>12350</v>
      </c>
      <c r="H478" s="5">
        <v>7266.61</v>
      </c>
      <c r="I478" s="2" t="s">
        <v>37</v>
      </c>
      <c r="J478" s="2"/>
      <c r="K478" s="2" t="s">
        <v>56</v>
      </c>
    </row>
    <row r="479" spans="1:11" x14ac:dyDescent="0.25">
      <c r="A479" s="2" t="s">
        <v>859</v>
      </c>
      <c r="B479" s="2" t="s">
        <v>860</v>
      </c>
      <c r="C479" s="2" t="s">
        <v>29</v>
      </c>
      <c r="D479" s="2" t="s">
        <v>55</v>
      </c>
      <c r="E479" s="4">
        <v>46117</v>
      </c>
      <c r="F479" s="4">
        <v>46122</v>
      </c>
      <c r="G479" s="5">
        <v>4875</v>
      </c>
      <c r="H479" s="5">
        <v>4090.92</v>
      </c>
      <c r="I479" s="2" t="s">
        <v>37</v>
      </c>
      <c r="J479" s="2"/>
      <c r="K479" s="2" t="s">
        <v>33</v>
      </c>
    </row>
    <row r="480" spans="1:11" x14ac:dyDescent="0.25">
      <c r="A480" s="2" t="s">
        <v>861</v>
      </c>
      <c r="B480" s="2" t="s">
        <v>64</v>
      </c>
      <c r="C480" s="2" t="s">
        <v>46</v>
      </c>
      <c r="D480" s="2" t="s">
        <v>30</v>
      </c>
      <c r="E480" s="4">
        <v>46155</v>
      </c>
      <c r="F480" s="4">
        <v>46174</v>
      </c>
      <c r="G480" s="5">
        <v>12175</v>
      </c>
      <c r="H480" s="5">
        <v>8209.4699999999993</v>
      </c>
      <c r="I480" s="2" t="s">
        <v>37</v>
      </c>
      <c r="J480" s="2"/>
      <c r="K480" s="2" t="s">
        <v>83</v>
      </c>
    </row>
    <row r="481" spans="1:11" x14ac:dyDescent="0.25">
      <c r="A481" s="2" t="s">
        <v>862</v>
      </c>
      <c r="B481" s="2" t="s">
        <v>863</v>
      </c>
      <c r="C481" s="2" t="s">
        <v>79</v>
      </c>
      <c r="D481" s="2" t="s">
        <v>61</v>
      </c>
      <c r="E481" s="4">
        <v>46117</v>
      </c>
      <c r="F481" s="4">
        <v>46129</v>
      </c>
      <c r="G481" s="5">
        <v>8175</v>
      </c>
      <c r="H481" s="5">
        <v>7198.5</v>
      </c>
      <c r="I481" s="2" t="s">
        <v>37</v>
      </c>
      <c r="J481" s="2"/>
      <c r="K481" s="2" t="s">
        <v>33</v>
      </c>
    </row>
    <row r="482" spans="1:11" x14ac:dyDescent="0.25">
      <c r="A482" s="2" t="s">
        <v>864</v>
      </c>
      <c r="B482" s="2" t="s">
        <v>613</v>
      </c>
      <c r="C482" s="2" t="s">
        <v>79</v>
      </c>
      <c r="D482" s="2" t="s">
        <v>55</v>
      </c>
      <c r="E482" s="4">
        <v>46263</v>
      </c>
      <c r="F482" s="4">
        <v>46281</v>
      </c>
      <c r="G482" s="5">
        <v>13575</v>
      </c>
      <c r="H482" s="5"/>
      <c r="I482" s="2" t="s">
        <v>42</v>
      </c>
      <c r="J482" s="2"/>
      <c r="K482" s="2" t="s">
        <v>48</v>
      </c>
    </row>
    <row r="483" spans="1:11" x14ac:dyDescent="0.25">
      <c r="A483" s="2" t="s">
        <v>865</v>
      </c>
      <c r="B483" s="2" t="s">
        <v>722</v>
      </c>
      <c r="C483" s="2" t="s">
        <v>29</v>
      </c>
      <c r="D483" s="2" t="s">
        <v>71</v>
      </c>
      <c r="E483" s="4">
        <v>46081</v>
      </c>
      <c r="F483" s="4">
        <v>46084</v>
      </c>
      <c r="G483" s="5">
        <v>8400</v>
      </c>
      <c r="H483" s="5">
        <v>6947.85</v>
      </c>
      <c r="I483" s="2" t="s">
        <v>37</v>
      </c>
      <c r="J483" s="2"/>
      <c r="K483" s="2" t="s">
        <v>65</v>
      </c>
    </row>
    <row r="484" spans="1:11" x14ac:dyDescent="0.25">
      <c r="A484" s="2" t="s">
        <v>866</v>
      </c>
      <c r="B484" s="2" t="s">
        <v>566</v>
      </c>
      <c r="C484" s="2" t="s">
        <v>29</v>
      </c>
      <c r="D484" s="2" t="s">
        <v>71</v>
      </c>
      <c r="E484" s="4">
        <v>46188</v>
      </c>
      <c r="F484" s="4">
        <v>46208</v>
      </c>
      <c r="G484" s="5">
        <v>7175</v>
      </c>
      <c r="H484" s="5">
        <v>6218.2</v>
      </c>
      <c r="I484" s="2" t="s">
        <v>37</v>
      </c>
      <c r="J484" s="2"/>
      <c r="K484" s="2" t="s">
        <v>65</v>
      </c>
    </row>
    <row r="485" spans="1:11" x14ac:dyDescent="0.25">
      <c r="A485" s="2" t="s">
        <v>867</v>
      </c>
      <c r="B485" s="2" t="s">
        <v>724</v>
      </c>
      <c r="C485" s="2" t="s">
        <v>79</v>
      </c>
      <c r="D485" s="2" t="s">
        <v>80</v>
      </c>
      <c r="E485" s="4">
        <v>46093</v>
      </c>
      <c r="F485" s="4">
        <v>46108</v>
      </c>
      <c r="G485" s="5">
        <v>13375</v>
      </c>
      <c r="H485" s="5">
        <v>7520.4</v>
      </c>
      <c r="I485" s="2" t="s">
        <v>37</v>
      </c>
      <c r="J485" s="2"/>
      <c r="K485" s="2" t="s">
        <v>33</v>
      </c>
    </row>
    <row r="486" spans="1:11" x14ac:dyDescent="0.25">
      <c r="A486" s="2" t="s">
        <v>868</v>
      </c>
      <c r="B486" s="2" t="s">
        <v>822</v>
      </c>
      <c r="C486" s="2" t="s">
        <v>29</v>
      </c>
      <c r="D486" s="2" t="s">
        <v>41</v>
      </c>
      <c r="E486" s="4">
        <v>46091</v>
      </c>
      <c r="F486" s="4">
        <v>46110</v>
      </c>
      <c r="G486" s="5">
        <v>5975</v>
      </c>
      <c r="H486" s="5"/>
      <c r="I486" s="2" t="s">
        <v>42</v>
      </c>
      <c r="J486" s="2"/>
      <c r="K486" s="2" t="s">
        <v>43</v>
      </c>
    </row>
    <row r="487" spans="1:11" x14ac:dyDescent="0.25">
      <c r="A487" s="2" t="s">
        <v>869</v>
      </c>
      <c r="B487" s="2" t="s">
        <v>870</v>
      </c>
      <c r="C487" s="2" t="s">
        <v>46</v>
      </c>
      <c r="D487" s="2" t="s">
        <v>55</v>
      </c>
      <c r="E487" s="4">
        <v>46247</v>
      </c>
      <c r="F487" s="4">
        <v>46252</v>
      </c>
      <c r="G487" s="5">
        <v>12050</v>
      </c>
      <c r="H487" s="5"/>
      <c r="I487" s="2" t="s">
        <v>42</v>
      </c>
      <c r="J487" s="2"/>
      <c r="K487" s="2" t="s">
        <v>62</v>
      </c>
    </row>
    <row r="488" spans="1:11" x14ac:dyDescent="0.25">
      <c r="A488" s="2" t="s">
        <v>871</v>
      </c>
      <c r="B488" s="2" t="s">
        <v>789</v>
      </c>
      <c r="C488" s="2" t="s">
        <v>29</v>
      </c>
      <c r="D488" s="2" t="s">
        <v>61</v>
      </c>
      <c r="E488" s="4">
        <v>46061</v>
      </c>
      <c r="F488" s="4">
        <v>46081</v>
      </c>
      <c r="G488" s="5">
        <v>12350</v>
      </c>
      <c r="H488" s="5"/>
      <c r="I488" s="2" t="s">
        <v>42</v>
      </c>
      <c r="J488" s="2"/>
      <c r="K488" s="2" t="s">
        <v>109</v>
      </c>
    </row>
    <row r="489" spans="1:11" x14ac:dyDescent="0.25">
      <c r="A489" s="2" t="s">
        <v>872</v>
      </c>
      <c r="B489" s="2" t="s">
        <v>341</v>
      </c>
      <c r="C489" s="2" t="s">
        <v>29</v>
      </c>
      <c r="D489" s="2" t="s">
        <v>61</v>
      </c>
      <c r="E489" s="4">
        <v>46148</v>
      </c>
      <c r="F489" s="4">
        <v>46161</v>
      </c>
      <c r="G489" s="5">
        <v>14300</v>
      </c>
      <c r="H489" s="5">
        <v>13781.35</v>
      </c>
      <c r="I489" s="2" t="s">
        <v>37</v>
      </c>
      <c r="J489" s="2"/>
      <c r="K489" s="2" t="s">
        <v>65</v>
      </c>
    </row>
    <row r="490" spans="1:11" x14ac:dyDescent="0.25">
      <c r="A490" s="2" t="s">
        <v>873</v>
      </c>
      <c r="B490" s="2" t="s">
        <v>377</v>
      </c>
      <c r="C490" s="2" t="s">
        <v>46</v>
      </c>
      <c r="D490" s="2" t="s">
        <v>55</v>
      </c>
      <c r="E490" s="4">
        <v>46087</v>
      </c>
      <c r="F490" s="4">
        <v>46104</v>
      </c>
      <c r="G490" s="5">
        <v>6225</v>
      </c>
      <c r="H490" s="5">
        <v>4404.38</v>
      </c>
      <c r="I490" s="2" t="s">
        <v>37</v>
      </c>
      <c r="J490" s="2"/>
      <c r="K490" s="2" t="s">
        <v>65</v>
      </c>
    </row>
    <row r="491" spans="1:11" x14ac:dyDescent="0.25">
      <c r="A491" s="2" t="s">
        <v>874</v>
      </c>
      <c r="B491" s="2" t="s">
        <v>611</v>
      </c>
      <c r="C491" s="2" t="s">
        <v>29</v>
      </c>
      <c r="D491" s="2" t="s">
        <v>68</v>
      </c>
      <c r="E491" s="4">
        <v>46103</v>
      </c>
      <c r="F491" s="4">
        <v>46113</v>
      </c>
      <c r="G491" s="5">
        <v>14275</v>
      </c>
      <c r="H491" s="5">
        <v>10641.9</v>
      </c>
      <c r="I491" s="2" t="s">
        <v>37</v>
      </c>
      <c r="J491" s="2"/>
      <c r="K491" s="2" t="s">
        <v>62</v>
      </c>
    </row>
    <row r="492" spans="1:11" x14ac:dyDescent="0.25">
      <c r="A492" s="2" t="s">
        <v>875</v>
      </c>
      <c r="B492" s="2" t="s">
        <v>210</v>
      </c>
      <c r="C492" s="2" t="s">
        <v>29</v>
      </c>
      <c r="D492" s="2" t="s">
        <v>148</v>
      </c>
      <c r="E492" s="4">
        <v>46143</v>
      </c>
      <c r="F492" s="4">
        <v>46158</v>
      </c>
      <c r="G492" s="5">
        <v>11500</v>
      </c>
      <c r="H492" s="5">
        <v>7071.41</v>
      </c>
      <c r="I492" s="2" t="s">
        <v>37</v>
      </c>
      <c r="J492" s="2"/>
      <c r="K492" s="2" t="s">
        <v>33</v>
      </c>
    </row>
    <row r="493" spans="1:11" x14ac:dyDescent="0.25">
      <c r="A493" s="2" t="s">
        <v>876</v>
      </c>
      <c r="B493" s="2" t="s">
        <v>538</v>
      </c>
      <c r="C493" s="2" t="s">
        <v>36</v>
      </c>
      <c r="D493" s="2" t="s">
        <v>80</v>
      </c>
      <c r="E493" s="4">
        <v>46117</v>
      </c>
      <c r="F493" s="4">
        <v>46122</v>
      </c>
      <c r="G493" s="5">
        <v>9400</v>
      </c>
      <c r="H493" s="5"/>
      <c r="I493" s="2" t="s">
        <v>42</v>
      </c>
      <c r="J493" s="2"/>
      <c r="K493" s="2" t="s">
        <v>62</v>
      </c>
    </row>
    <row r="494" spans="1:11" x14ac:dyDescent="0.25">
      <c r="A494" s="2" t="s">
        <v>877</v>
      </c>
      <c r="B494" s="2" t="s">
        <v>878</v>
      </c>
      <c r="C494" s="2" t="s">
        <v>36</v>
      </c>
      <c r="D494" s="2" t="s">
        <v>68</v>
      </c>
      <c r="E494" s="4">
        <v>46030</v>
      </c>
      <c r="F494" s="4">
        <v>46038</v>
      </c>
      <c r="G494" s="5">
        <v>12975</v>
      </c>
      <c r="H494" s="5">
        <v>12753.94</v>
      </c>
      <c r="I494" s="2" t="s">
        <v>37</v>
      </c>
      <c r="J494" s="2"/>
      <c r="K494" s="2" t="s">
        <v>38</v>
      </c>
    </row>
    <row r="495" spans="1:11" x14ac:dyDescent="0.25">
      <c r="A495" s="2" t="s">
        <v>879</v>
      </c>
      <c r="B495" s="2" t="s">
        <v>880</v>
      </c>
      <c r="C495" s="2" t="s">
        <v>79</v>
      </c>
      <c r="D495" s="2" t="s">
        <v>30</v>
      </c>
      <c r="E495" s="4">
        <v>46166</v>
      </c>
      <c r="F495" s="4">
        <v>46184</v>
      </c>
      <c r="G495" s="5">
        <v>12850</v>
      </c>
      <c r="H495" s="5"/>
      <c r="I495" s="2" t="s">
        <v>42</v>
      </c>
      <c r="J495" s="2"/>
      <c r="K495" s="2" t="s">
        <v>56</v>
      </c>
    </row>
    <row r="496" spans="1:11" x14ac:dyDescent="0.25">
      <c r="A496" s="2" t="s">
        <v>881</v>
      </c>
      <c r="B496" s="2" t="s">
        <v>174</v>
      </c>
      <c r="C496" s="2" t="s">
        <v>29</v>
      </c>
      <c r="D496" s="2" t="s">
        <v>61</v>
      </c>
      <c r="E496" s="4">
        <v>46127</v>
      </c>
      <c r="F496" s="4">
        <v>46145</v>
      </c>
      <c r="G496" s="5">
        <v>9825</v>
      </c>
      <c r="H496" s="5">
        <v>7236.48</v>
      </c>
      <c r="I496" s="2" t="s">
        <v>37</v>
      </c>
      <c r="J496" s="2"/>
      <c r="K496" s="2" t="s">
        <v>33</v>
      </c>
    </row>
    <row r="497" spans="1:11" x14ac:dyDescent="0.25">
      <c r="A497" s="2" t="s">
        <v>882</v>
      </c>
      <c r="B497" s="2" t="s">
        <v>431</v>
      </c>
      <c r="C497" s="2" t="s">
        <v>79</v>
      </c>
      <c r="D497" s="2" t="s">
        <v>61</v>
      </c>
      <c r="E497" s="4">
        <v>46256</v>
      </c>
      <c r="F497" s="4">
        <v>46274</v>
      </c>
      <c r="G497" s="5">
        <v>7275</v>
      </c>
      <c r="H497" s="5">
        <v>6010.03</v>
      </c>
      <c r="I497" s="2" t="s">
        <v>37</v>
      </c>
      <c r="J497" s="2"/>
      <c r="K497" s="2" t="s">
        <v>38</v>
      </c>
    </row>
    <row r="498" spans="1:11" x14ac:dyDescent="0.25">
      <c r="A498" s="2" t="s">
        <v>883</v>
      </c>
      <c r="B498" s="2" t="s">
        <v>535</v>
      </c>
      <c r="C498" s="2" t="s">
        <v>46</v>
      </c>
      <c r="D498" s="2" t="s">
        <v>61</v>
      </c>
      <c r="E498" s="4">
        <v>46065</v>
      </c>
      <c r="F498" s="4">
        <v>46075</v>
      </c>
      <c r="G498" s="5">
        <v>575</v>
      </c>
      <c r="H498" s="5">
        <v>510.53</v>
      </c>
      <c r="I498" s="2" t="s">
        <v>37</v>
      </c>
      <c r="J498" s="2"/>
      <c r="K498" s="2" t="s">
        <v>65</v>
      </c>
    </row>
    <row r="499" spans="1:11" x14ac:dyDescent="0.25">
      <c r="A499" s="2" t="s">
        <v>884</v>
      </c>
      <c r="B499" s="2" t="s">
        <v>885</v>
      </c>
      <c r="C499" s="2" t="s">
        <v>36</v>
      </c>
      <c r="D499" s="2" t="s">
        <v>80</v>
      </c>
      <c r="E499" s="4">
        <v>46247</v>
      </c>
      <c r="F499" s="4">
        <v>46256</v>
      </c>
      <c r="G499" s="5">
        <v>13325</v>
      </c>
      <c r="H499" s="5"/>
      <c r="I499" s="2" t="s">
        <v>42</v>
      </c>
      <c r="J499" s="2"/>
      <c r="K499" s="2" t="s">
        <v>48</v>
      </c>
    </row>
    <row r="500" spans="1:11" x14ac:dyDescent="0.25">
      <c r="A500" s="2" t="s">
        <v>886</v>
      </c>
      <c r="B500" s="2" t="s">
        <v>887</v>
      </c>
      <c r="C500" s="2" t="s">
        <v>29</v>
      </c>
      <c r="D500" s="2" t="s">
        <v>61</v>
      </c>
      <c r="E500" s="4">
        <v>46034</v>
      </c>
      <c r="F500" s="4">
        <v>46040</v>
      </c>
      <c r="G500" s="5">
        <v>2450</v>
      </c>
      <c r="H500" s="5">
        <v>2331.9299999999998</v>
      </c>
      <c r="I500" s="2" t="s">
        <v>37</v>
      </c>
      <c r="J500" s="2"/>
      <c r="K500" s="2" t="s">
        <v>65</v>
      </c>
    </row>
    <row r="501" spans="1:11" x14ac:dyDescent="0.25">
      <c r="A501" s="2" t="s">
        <v>888</v>
      </c>
      <c r="B501" s="2" t="s">
        <v>204</v>
      </c>
      <c r="C501" s="2" t="s">
        <v>79</v>
      </c>
      <c r="D501" s="2" t="s">
        <v>41</v>
      </c>
      <c r="E501" s="4">
        <v>46124</v>
      </c>
      <c r="F501" s="4">
        <v>46141</v>
      </c>
      <c r="G501" s="5">
        <v>14075</v>
      </c>
      <c r="H501" s="5">
        <v>10464.76</v>
      </c>
      <c r="I501" s="2" t="s">
        <v>37</v>
      </c>
      <c r="J501" s="2"/>
      <c r="K501" s="2" t="s">
        <v>48</v>
      </c>
    </row>
    <row r="502" spans="1:11" x14ac:dyDescent="0.25">
      <c r="A502" s="2" t="s">
        <v>889</v>
      </c>
      <c r="B502" s="2" t="s">
        <v>890</v>
      </c>
      <c r="C502" s="2" t="s">
        <v>46</v>
      </c>
      <c r="D502" s="2" t="s">
        <v>55</v>
      </c>
      <c r="E502" s="4">
        <v>46083</v>
      </c>
      <c r="F502" s="4">
        <v>46088</v>
      </c>
      <c r="G502" s="5">
        <v>13275</v>
      </c>
      <c r="H502" s="5">
        <v>8812.51</v>
      </c>
      <c r="I502" s="2" t="s">
        <v>37</v>
      </c>
      <c r="J502" s="2"/>
      <c r="K502" s="2" t="s">
        <v>65</v>
      </c>
    </row>
    <row r="503" spans="1:11" x14ac:dyDescent="0.25">
      <c r="A503" s="2" t="s">
        <v>891</v>
      </c>
      <c r="B503" s="2" t="s">
        <v>892</v>
      </c>
      <c r="C503" s="2" t="s">
        <v>36</v>
      </c>
      <c r="D503" s="2" t="s">
        <v>55</v>
      </c>
      <c r="E503" s="4">
        <v>46152</v>
      </c>
      <c r="F503" s="4">
        <v>46155</v>
      </c>
      <c r="G503" s="5">
        <v>12900</v>
      </c>
      <c r="H503" s="5"/>
      <c r="I503" s="2" t="s">
        <v>42</v>
      </c>
      <c r="J503" s="2"/>
      <c r="K503" s="2" t="s">
        <v>52</v>
      </c>
    </row>
    <row r="504" spans="1:11" x14ac:dyDescent="0.25">
      <c r="A504" s="2" t="s">
        <v>893</v>
      </c>
      <c r="B504" s="2" t="s">
        <v>894</v>
      </c>
      <c r="C504" s="2" t="s">
        <v>46</v>
      </c>
      <c r="D504" s="2" t="s">
        <v>41</v>
      </c>
      <c r="E504" s="4">
        <v>46218</v>
      </c>
      <c r="F504" s="4">
        <v>46231</v>
      </c>
      <c r="G504" s="5">
        <v>2050</v>
      </c>
      <c r="H504" s="5">
        <v>1488.47</v>
      </c>
      <c r="I504" s="2" t="s">
        <v>37</v>
      </c>
      <c r="J504" s="2"/>
      <c r="K504" s="2" t="s">
        <v>65</v>
      </c>
    </row>
    <row r="505" spans="1:11" x14ac:dyDescent="0.25">
      <c r="A505" s="2" t="s">
        <v>895</v>
      </c>
      <c r="B505" s="2" t="s">
        <v>896</v>
      </c>
      <c r="C505" s="2" t="s">
        <v>79</v>
      </c>
      <c r="D505" s="2" t="s">
        <v>61</v>
      </c>
      <c r="E505" s="4">
        <v>46157</v>
      </c>
      <c r="F505" s="4">
        <v>46176</v>
      </c>
      <c r="G505" s="5">
        <v>4050</v>
      </c>
      <c r="H505" s="5">
        <v>3833.47</v>
      </c>
      <c r="I505" s="2" t="s">
        <v>37</v>
      </c>
      <c r="J505" s="2"/>
      <c r="K505" s="2" t="s">
        <v>83</v>
      </c>
    </row>
    <row r="506" spans="1:11" x14ac:dyDescent="0.25">
      <c r="A506" s="2" t="s">
        <v>897</v>
      </c>
      <c r="B506" s="2" t="s">
        <v>766</v>
      </c>
      <c r="C506" s="2" t="s">
        <v>29</v>
      </c>
      <c r="D506" s="2" t="s">
        <v>30</v>
      </c>
      <c r="E506" s="4">
        <v>46223</v>
      </c>
      <c r="F506" s="4">
        <v>46243</v>
      </c>
      <c r="G506" s="5">
        <v>11175</v>
      </c>
      <c r="H506" s="5">
        <v>9737.7800000000007</v>
      </c>
      <c r="I506" s="2" t="s">
        <v>37</v>
      </c>
      <c r="J506" s="2"/>
      <c r="K506" s="2" t="s">
        <v>62</v>
      </c>
    </row>
    <row r="507" spans="1:11" x14ac:dyDescent="0.25">
      <c r="A507" s="2" t="s">
        <v>898</v>
      </c>
      <c r="B507" s="2" t="s">
        <v>899</v>
      </c>
      <c r="C507" s="2" t="s">
        <v>36</v>
      </c>
      <c r="D507" s="2" t="s">
        <v>55</v>
      </c>
      <c r="E507" s="4">
        <v>46224</v>
      </c>
      <c r="F507" s="4">
        <v>46242</v>
      </c>
      <c r="G507" s="5">
        <v>2300</v>
      </c>
      <c r="H507" s="5"/>
      <c r="I507" s="2" t="s">
        <v>42</v>
      </c>
      <c r="J507" s="2"/>
      <c r="K507" s="2" t="s">
        <v>33</v>
      </c>
    </row>
    <row r="508" spans="1:11" x14ac:dyDescent="0.25">
      <c r="A508" s="2" t="s">
        <v>900</v>
      </c>
      <c r="B508" s="2" t="s">
        <v>108</v>
      </c>
      <c r="C508" s="2" t="s">
        <v>36</v>
      </c>
      <c r="D508" s="2" t="s">
        <v>80</v>
      </c>
      <c r="E508" s="4">
        <v>46028</v>
      </c>
      <c r="F508" s="4">
        <v>46035</v>
      </c>
      <c r="G508" s="5">
        <v>14550</v>
      </c>
      <c r="H508" s="5"/>
      <c r="I508" s="2" t="s">
        <v>42</v>
      </c>
      <c r="J508" s="2"/>
      <c r="K508" s="2" t="s">
        <v>65</v>
      </c>
    </row>
    <row r="509" spans="1:11" x14ac:dyDescent="0.25">
      <c r="A509" s="2" t="s">
        <v>901</v>
      </c>
      <c r="B509" s="2" t="s">
        <v>60</v>
      </c>
      <c r="C509" s="2" t="s">
        <v>79</v>
      </c>
      <c r="D509" s="2" t="s">
        <v>55</v>
      </c>
      <c r="E509" s="4">
        <v>46106</v>
      </c>
      <c r="F509" s="4">
        <v>46110</v>
      </c>
      <c r="G509" s="5">
        <v>14325</v>
      </c>
      <c r="H509" s="5">
        <v>9381.25</v>
      </c>
      <c r="I509" s="2" t="s">
        <v>37</v>
      </c>
      <c r="J509" s="2"/>
      <c r="K509" s="2" t="s">
        <v>56</v>
      </c>
    </row>
    <row r="510" spans="1:11" x14ac:dyDescent="0.25">
      <c r="A510" s="2" t="s">
        <v>902</v>
      </c>
      <c r="B510" s="2" t="s">
        <v>480</v>
      </c>
      <c r="C510" s="2" t="s">
        <v>29</v>
      </c>
      <c r="D510" s="2" t="s">
        <v>55</v>
      </c>
      <c r="E510" s="4">
        <v>46098</v>
      </c>
      <c r="F510" s="4">
        <v>46117</v>
      </c>
      <c r="G510" s="5">
        <v>13650</v>
      </c>
      <c r="H510" s="5">
        <v>8661.75</v>
      </c>
      <c r="I510" s="2" t="s">
        <v>37</v>
      </c>
      <c r="J510" s="2"/>
      <c r="K510" s="2" t="s">
        <v>109</v>
      </c>
    </row>
    <row r="511" spans="1:11" x14ac:dyDescent="0.25">
      <c r="A511" s="2" t="s">
        <v>903</v>
      </c>
      <c r="B511" s="2" t="s">
        <v>904</v>
      </c>
      <c r="C511" s="2" t="s">
        <v>46</v>
      </c>
      <c r="D511" s="2" t="s">
        <v>94</v>
      </c>
      <c r="E511" s="4">
        <v>46252</v>
      </c>
      <c r="F511" s="4">
        <v>46268</v>
      </c>
      <c r="G511" s="5">
        <v>12100</v>
      </c>
      <c r="H511" s="5"/>
      <c r="I511" s="2" t="s">
        <v>42</v>
      </c>
      <c r="J511" s="2"/>
      <c r="K511" s="2" t="s">
        <v>48</v>
      </c>
    </row>
    <row r="512" spans="1:11" x14ac:dyDescent="0.25">
      <c r="A512" s="2" t="s">
        <v>905</v>
      </c>
      <c r="B512" s="2" t="s">
        <v>906</v>
      </c>
      <c r="C512" s="2" t="s">
        <v>29</v>
      </c>
      <c r="D512" s="2" t="s">
        <v>30</v>
      </c>
      <c r="E512" s="4">
        <v>46283</v>
      </c>
      <c r="F512" s="4">
        <v>46293</v>
      </c>
      <c r="G512" s="5">
        <v>2900</v>
      </c>
      <c r="H512" s="5">
        <v>2425.7399999999998</v>
      </c>
      <c r="I512" s="2" t="s">
        <v>37</v>
      </c>
      <c r="J512" s="2"/>
      <c r="K512" s="2" t="s">
        <v>38</v>
      </c>
    </row>
    <row r="513" spans="1:11" x14ac:dyDescent="0.25">
      <c r="A513" s="2" t="s">
        <v>907</v>
      </c>
      <c r="B513" s="2" t="s">
        <v>890</v>
      </c>
      <c r="C513" s="2" t="s">
        <v>79</v>
      </c>
      <c r="D513" s="2" t="s">
        <v>61</v>
      </c>
      <c r="E513" s="4">
        <v>46137</v>
      </c>
      <c r="F513" s="4">
        <v>46145</v>
      </c>
      <c r="G513" s="5">
        <v>8050</v>
      </c>
      <c r="H513" s="5"/>
      <c r="I513" s="2" t="s">
        <v>42</v>
      </c>
      <c r="J513" s="2"/>
      <c r="K513" s="2" t="s">
        <v>52</v>
      </c>
    </row>
    <row r="514" spans="1:11" x14ac:dyDescent="0.25">
      <c r="A514" s="2" t="s">
        <v>908</v>
      </c>
      <c r="B514" s="2" t="s">
        <v>909</v>
      </c>
      <c r="C514" s="2" t="s">
        <v>36</v>
      </c>
      <c r="D514" s="2" t="s">
        <v>80</v>
      </c>
      <c r="E514" s="4">
        <v>46265</v>
      </c>
      <c r="F514" s="4">
        <v>46282</v>
      </c>
      <c r="G514" s="5">
        <v>2000</v>
      </c>
      <c r="H514" s="5"/>
      <c r="I514" s="2" t="s">
        <v>42</v>
      </c>
      <c r="J514" s="2"/>
      <c r="K514" s="2" t="s">
        <v>109</v>
      </c>
    </row>
    <row r="515" spans="1:11" x14ac:dyDescent="0.25">
      <c r="A515" s="2" t="s">
        <v>910</v>
      </c>
      <c r="B515" s="2" t="s">
        <v>358</v>
      </c>
      <c r="C515" s="2" t="s">
        <v>29</v>
      </c>
      <c r="D515" s="2" t="s">
        <v>61</v>
      </c>
      <c r="E515" s="4">
        <v>46214</v>
      </c>
      <c r="F515" s="4">
        <v>46231</v>
      </c>
      <c r="G515" s="5">
        <v>11725</v>
      </c>
      <c r="H515" s="5">
        <v>7547.58</v>
      </c>
      <c r="I515" s="2" t="s">
        <v>37</v>
      </c>
      <c r="J515" s="2"/>
      <c r="K515" s="2" t="s">
        <v>83</v>
      </c>
    </row>
    <row r="516" spans="1:11" x14ac:dyDescent="0.25">
      <c r="A516" s="2" t="s">
        <v>911</v>
      </c>
      <c r="B516" s="2" t="s">
        <v>912</v>
      </c>
      <c r="C516" s="2" t="s">
        <v>79</v>
      </c>
      <c r="D516" s="2" t="s">
        <v>41</v>
      </c>
      <c r="E516" s="4">
        <v>46228</v>
      </c>
      <c r="F516" s="4">
        <v>46242</v>
      </c>
      <c r="G516" s="5">
        <v>7475</v>
      </c>
      <c r="H516" s="5">
        <v>5712.97</v>
      </c>
      <c r="I516" s="2" t="s">
        <v>37</v>
      </c>
      <c r="J516" s="2"/>
      <c r="K516" s="2" t="s">
        <v>48</v>
      </c>
    </row>
    <row r="517" spans="1:11" x14ac:dyDescent="0.25">
      <c r="A517" s="2" t="s">
        <v>913</v>
      </c>
      <c r="B517" s="2" t="s">
        <v>914</v>
      </c>
      <c r="C517" s="2" t="s">
        <v>79</v>
      </c>
      <c r="D517" s="2" t="s">
        <v>94</v>
      </c>
      <c r="E517" s="4">
        <v>46163</v>
      </c>
      <c r="F517" s="4">
        <v>46166</v>
      </c>
      <c r="G517" s="5">
        <v>4250</v>
      </c>
      <c r="H517" s="5">
        <v>4133.03</v>
      </c>
      <c r="I517" s="2" t="s">
        <v>37</v>
      </c>
      <c r="J517" s="2"/>
      <c r="K517" s="2" t="s">
        <v>48</v>
      </c>
    </row>
    <row r="518" spans="1:11" x14ac:dyDescent="0.25">
      <c r="A518" s="2" t="s">
        <v>915</v>
      </c>
      <c r="B518" s="2" t="s">
        <v>540</v>
      </c>
      <c r="C518" s="2" t="s">
        <v>79</v>
      </c>
      <c r="D518" s="2" t="s">
        <v>55</v>
      </c>
      <c r="E518" s="4">
        <v>46206</v>
      </c>
      <c r="F518" s="4">
        <v>46216</v>
      </c>
      <c r="G518" s="5">
        <v>12975</v>
      </c>
      <c r="H518" s="5">
        <v>11011.63</v>
      </c>
      <c r="I518" s="2" t="s">
        <v>37</v>
      </c>
      <c r="J518" s="2"/>
      <c r="K518" s="2" t="s">
        <v>56</v>
      </c>
    </row>
    <row r="519" spans="1:11" x14ac:dyDescent="0.25">
      <c r="A519" s="2" t="s">
        <v>916</v>
      </c>
      <c r="B519" s="2" t="s">
        <v>168</v>
      </c>
      <c r="C519" s="2" t="s">
        <v>79</v>
      </c>
      <c r="D519" s="2" t="s">
        <v>30</v>
      </c>
      <c r="E519" s="4">
        <v>46219</v>
      </c>
      <c r="F519" s="4">
        <v>46237</v>
      </c>
      <c r="G519" s="5">
        <v>10000</v>
      </c>
      <c r="H519" s="5"/>
      <c r="I519" s="2" t="s">
        <v>42</v>
      </c>
      <c r="J519" s="2"/>
      <c r="K519" s="2" t="s">
        <v>83</v>
      </c>
    </row>
    <row r="520" spans="1:11" x14ac:dyDescent="0.25">
      <c r="A520" s="2" t="s">
        <v>917</v>
      </c>
      <c r="B520" s="2" t="s">
        <v>918</v>
      </c>
      <c r="C520" s="2" t="s">
        <v>79</v>
      </c>
      <c r="D520" s="2" t="s">
        <v>80</v>
      </c>
      <c r="E520" s="4">
        <v>46041</v>
      </c>
      <c r="F520" s="4">
        <v>46055</v>
      </c>
      <c r="G520" s="5">
        <v>12950</v>
      </c>
      <c r="H520" s="5">
        <v>0</v>
      </c>
      <c r="I520" s="2" t="s">
        <v>919</v>
      </c>
      <c r="J520" s="2" t="s">
        <v>47</v>
      </c>
      <c r="K520" s="2" t="s">
        <v>83</v>
      </c>
    </row>
    <row r="521" spans="1:11" x14ac:dyDescent="0.25">
      <c r="A521" s="2" t="s">
        <v>920</v>
      </c>
      <c r="B521" s="2" t="s">
        <v>921</v>
      </c>
      <c r="C521" s="2" t="s">
        <v>79</v>
      </c>
      <c r="D521" s="2" t="s">
        <v>80</v>
      </c>
      <c r="E521" s="4">
        <v>46148</v>
      </c>
      <c r="F521" s="4">
        <v>46159</v>
      </c>
      <c r="G521" s="5">
        <v>12325</v>
      </c>
      <c r="H521" s="5">
        <v>9838.02</v>
      </c>
      <c r="I521" s="2" t="s">
        <v>37</v>
      </c>
      <c r="J521" s="2"/>
      <c r="K521" s="2" t="s">
        <v>43</v>
      </c>
    </row>
    <row r="522" spans="1:11" x14ac:dyDescent="0.25">
      <c r="A522" s="2" t="s">
        <v>922</v>
      </c>
      <c r="B522" s="2" t="s">
        <v>278</v>
      </c>
      <c r="C522" s="2" t="s">
        <v>79</v>
      </c>
      <c r="D522" s="2"/>
      <c r="E522" s="4">
        <v>46068</v>
      </c>
      <c r="F522" s="4">
        <v>46083</v>
      </c>
      <c r="G522" s="5">
        <v>975</v>
      </c>
      <c r="H522" s="5">
        <v>844.58</v>
      </c>
      <c r="I522" s="2" t="s">
        <v>37</v>
      </c>
      <c r="J522" s="2"/>
      <c r="K522" s="2" t="s">
        <v>52</v>
      </c>
    </row>
    <row r="523" spans="1:11" x14ac:dyDescent="0.25">
      <c r="A523" s="2" t="s">
        <v>923</v>
      </c>
      <c r="B523" s="2" t="s">
        <v>822</v>
      </c>
      <c r="C523" s="2" t="s">
        <v>36</v>
      </c>
      <c r="D523" s="2" t="s">
        <v>41</v>
      </c>
      <c r="E523" s="4">
        <v>46155</v>
      </c>
      <c r="F523" s="4">
        <v>46169</v>
      </c>
      <c r="G523" s="5">
        <v>6525</v>
      </c>
      <c r="H523" s="5">
        <v>4768.79</v>
      </c>
      <c r="I523" s="2" t="s">
        <v>37</v>
      </c>
      <c r="J523" s="2"/>
      <c r="K523" s="2" t="s">
        <v>38</v>
      </c>
    </row>
    <row r="524" spans="1:11" x14ac:dyDescent="0.25">
      <c r="A524" s="2" t="s">
        <v>924</v>
      </c>
      <c r="B524" s="2" t="s">
        <v>925</v>
      </c>
      <c r="C524" s="2" t="s">
        <v>36</v>
      </c>
      <c r="D524" s="2" t="s">
        <v>926</v>
      </c>
      <c r="E524" s="4">
        <v>46196</v>
      </c>
      <c r="F524" s="4">
        <v>46211</v>
      </c>
      <c r="G524" s="5">
        <v>6575</v>
      </c>
      <c r="H524" s="5">
        <v>4091.48</v>
      </c>
      <c r="I524" s="2" t="s">
        <v>37</v>
      </c>
      <c r="J524" s="2"/>
      <c r="K524" s="2" t="s">
        <v>52</v>
      </c>
    </row>
    <row r="525" spans="1:11" x14ac:dyDescent="0.25">
      <c r="A525" s="2" t="s">
        <v>927</v>
      </c>
      <c r="B525" s="2" t="s">
        <v>918</v>
      </c>
      <c r="C525" s="2" t="s">
        <v>36</v>
      </c>
      <c r="D525" s="2" t="s">
        <v>68</v>
      </c>
      <c r="E525" s="4">
        <v>46150</v>
      </c>
      <c r="F525" s="4">
        <v>46158</v>
      </c>
      <c r="G525" s="5">
        <v>11250</v>
      </c>
      <c r="H525" s="5"/>
      <c r="I525" s="2" t="s">
        <v>42</v>
      </c>
      <c r="J525" s="2"/>
      <c r="K525" s="2" t="s">
        <v>62</v>
      </c>
    </row>
    <row r="526" spans="1:11" x14ac:dyDescent="0.25">
      <c r="A526" s="2" t="s">
        <v>928</v>
      </c>
      <c r="B526" s="2" t="s">
        <v>929</v>
      </c>
      <c r="C526" s="2" t="s">
        <v>46</v>
      </c>
      <c r="D526" s="2" t="s">
        <v>55</v>
      </c>
      <c r="E526" s="4">
        <v>46202</v>
      </c>
      <c r="F526" s="4">
        <v>46219</v>
      </c>
      <c r="G526" s="5">
        <v>10875</v>
      </c>
      <c r="H526" s="5">
        <v>6117.15</v>
      </c>
      <c r="I526" s="2" t="s">
        <v>37</v>
      </c>
      <c r="J526" s="2"/>
      <c r="K526" s="2" t="s">
        <v>52</v>
      </c>
    </row>
    <row r="527" spans="1:11" x14ac:dyDescent="0.25">
      <c r="A527" s="2" t="s">
        <v>930</v>
      </c>
      <c r="B527" s="2" t="s">
        <v>58</v>
      </c>
      <c r="C527" s="2" t="s">
        <v>36</v>
      </c>
      <c r="D527" s="2" t="s">
        <v>41</v>
      </c>
      <c r="E527" s="4">
        <v>46008</v>
      </c>
      <c r="F527" s="4">
        <v>46026</v>
      </c>
      <c r="G527" s="5">
        <v>2200</v>
      </c>
      <c r="H527" s="5">
        <v>1927.56</v>
      </c>
      <c r="I527" s="2" t="s">
        <v>37</v>
      </c>
      <c r="J527" s="2"/>
      <c r="K527" s="2" t="s">
        <v>52</v>
      </c>
    </row>
    <row r="528" spans="1:11" x14ac:dyDescent="0.25">
      <c r="A528" s="2" t="s">
        <v>931</v>
      </c>
      <c r="B528" s="2" t="s">
        <v>204</v>
      </c>
      <c r="C528" s="2" t="s">
        <v>46</v>
      </c>
      <c r="D528" s="2" t="s">
        <v>80</v>
      </c>
      <c r="E528" s="4">
        <v>46136</v>
      </c>
      <c r="F528" s="4">
        <v>46143</v>
      </c>
      <c r="G528" s="5">
        <v>10875</v>
      </c>
      <c r="H528" s="5">
        <v>7169.08</v>
      </c>
      <c r="I528" s="2" t="s">
        <v>37</v>
      </c>
      <c r="J528" s="2"/>
      <c r="K528" s="2" t="s">
        <v>52</v>
      </c>
    </row>
    <row r="529" spans="1:11" x14ac:dyDescent="0.25">
      <c r="A529" s="2" t="s">
        <v>932</v>
      </c>
      <c r="B529" s="2" t="s">
        <v>726</v>
      </c>
      <c r="C529" s="2" t="s">
        <v>36</v>
      </c>
      <c r="D529" s="2" t="s">
        <v>80</v>
      </c>
      <c r="E529" s="4">
        <v>46188</v>
      </c>
      <c r="F529" s="4">
        <v>46201</v>
      </c>
      <c r="G529" s="5">
        <v>6500</v>
      </c>
      <c r="H529" s="5">
        <v>5498.28</v>
      </c>
      <c r="I529" s="2" t="s">
        <v>37</v>
      </c>
      <c r="J529" s="2"/>
      <c r="K529" s="2" t="s">
        <v>65</v>
      </c>
    </row>
    <row r="530" spans="1:11" x14ac:dyDescent="0.25">
      <c r="A530" s="2" t="s">
        <v>933</v>
      </c>
      <c r="B530" s="2" t="s">
        <v>934</v>
      </c>
      <c r="C530" s="2" t="s">
        <v>36</v>
      </c>
      <c r="D530" s="2" t="s">
        <v>55</v>
      </c>
      <c r="E530" s="4">
        <v>46066</v>
      </c>
      <c r="F530" s="4">
        <v>46070</v>
      </c>
      <c r="G530" s="5">
        <v>4825</v>
      </c>
      <c r="H530" s="5">
        <v>3564.06</v>
      </c>
      <c r="I530" s="2" t="s">
        <v>37</v>
      </c>
      <c r="J530" s="2"/>
      <c r="K530" s="2" t="s">
        <v>83</v>
      </c>
    </row>
    <row r="531" spans="1:11" x14ac:dyDescent="0.25">
      <c r="A531" s="2" t="s">
        <v>935</v>
      </c>
      <c r="B531" s="2" t="s">
        <v>936</v>
      </c>
      <c r="C531" s="2" t="s">
        <v>29</v>
      </c>
      <c r="D531" s="2" t="s">
        <v>80</v>
      </c>
      <c r="E531" s="4">
        <v>46098</v>
      </c>
      <c r="F531" s="4">
        <v>46104</v>
      </c>
      <c r="G531" s="5">
        <v>12700</v>
      </c>
      <c r="H531" s="5">
        <v>9788.7099999999991</v>
      </c>
      <c r="I531" s="2" t="s">
        <v>37</v>
      </c>
      <c r="J531" s="2"/>
      <c r="K531" s="2" t="s">
        <v>83</v>
      </c>
    </row>
    <row r="532" spans="1:11" x14ac:dyDescent="0.25">
      <c r="A532" s="2" t="s">
        <v>937</v>
      </c>
      <c r="B532" s="2" t="s">
        <v>140</v>
      </c>
      <c r="C532" s="2" t="s">
        <v>36</v>
      </c>
      <c r="D532" s="2" t="s">
        <v>55</v>
      </c>
      <c r="E532" s="4">
        <v>46278</v>
      </c>
      <c r="F532" s="4">
        <v>46290</v>
      </c>
      <c r="G532" s="5">
        <v>9875</v>
      </c>
      <c r="H532" s="5"/>
      <c r="I532" s="2" t="s">
        <v>42</v>
      </c>
      <c r="J532" s="2"/>
      <c r="K532" s="2" t="s">
        <v>48</v>
      </c>
    </row>
    <row r="533" spans="1:11" x14ac:dyDescent="0.25">
      <c r="A533" s="2" t="s">
        <v>938</v>
      </c>
      <c r="B533" s="2" t="s">
        <v>115</v>
      </c>
      <c r="C533" s="2" t="s">
        <v>36</v>
      </c>
      <c r="D533" s="2" t="s">
        <v>55</v>
      </c>
      <c r="E533" s="4">
        <v>46225</v>
      </c>
      <c r="F533" s="4">
        <v>46244</v>
      </c>
      <c r="G533" s="5">
        <v>14100</v>
      </c>
      <c r="H533" s="5"/>
      <c r="I533" s="2" t="s">
        <v>42</v>
      </c>
      <c r="J533" s="2"/>
      <c r="K533" s="2" t="s">
        <v>62</v>
      </c>
    </row>
    <row r="534" spans="1:11" x14ac:dyDescent="0.25">
      <c r="A534" s="2" t="s">
        <v>939</v>
      </c>
      <c r="B534" s="2" t="s">
        <v>860</v>
      </c>
      <c r="C534" s="2" t="s">
        <v>79</v>
      </c>
      <c r="D534" s="2" t="s">
        <v>55</v>
      </c>
      <c r="E534" s="4">
        <v>46226</v>
      </c>
      <c r="F534" s="4">
        <v>46246</v>
      </c>
      <c r="G534" s="5">
        <v>3750</v>
      </c>
      <c r="H534" s="5"/>
      <c r="I534" s="2" t="s">
        <v>42</v>
      </c>
      <c r="J534" s="2"/>
      <c r="K534" s="2" t="s">
        <v>33</v>
      </c>
    </row>
    <row r="535" spans="1:11" x14ac:dyDescent="0.25">
      <c r="A535" s="2" t="s">
        <v>940</v>
      </c>
      <c r="B535" s="2" t="s">
        <v>483</v>
      </c>
      <c r="C535" s="2" t="s">
        <v>29</v>
      </c>
      <c r="D535" s="2" t="s">
        <v>55</v>
      </c>
      <c r="E535" s="4">
        <v>46239</v>
      </c>
      <c r="F535" s="4">
        <v>46256</v>
      </c>
      <c r="G535" s="5">
        <v>13925</v>
      </c>
      <c r="H535" s="5">
        <v>8365.64</v>
      </c>
      <c r="I535" s="2" t="s">
        <v>37</v>
      </c>
      <c r="J535" s="2"/>
      <c r="K535" s="2" t="s">
        <v>195</v>
      </c>
    </row>
    <row r="536" spans="1:11" x14ac:dyDescent="0.25">
      <c r="A536" s="2" t="s">
        <v>941</v>
      </c>
      <c r="B536" s="2" t="s">
        <v>228</v>
      </c>
      <c r="C536" s="2" t="s">
        <v>36</v>
      </c>
      <c r="D536" s="2" t="s">
        <v>68</v>
      </c>
      <c r="E536" s="4">
        <v>46132</v>
      </c>
      <c r="F536" s="4">
        <v>46145</v>
      </c>
      <c r="G536" s="5">
        <v>13625</v>
      </c>
      <c r="H536" s="5">
        <v>10359.780000000001</v>
      </c>
      <c r="I536" s="2" t="s">
        <v>37</v>
      </c>
      <c r="J536" s="2"/>
      <c r="K536" s="2" t="s">
        <v>38</v>
      </c>
    </row>
    <row r="537" spans="1:11" x14ac:dyDescent="0.25">
      <c r="A537" s="2" t="s">
        <v>942</v>
      </c>
      <c r="B537" s="2" t="s">
        <v>611</v>
      </c>
      <c r="C537" s="2" t="s">
        <v>29</v>
      </c>
      <c r="D537" s="2" t="s">
        <v>41</v>
      </c>
      <c r="E537" s="4">
        <v>46158</v>
      </c>
      <c r="F537" s="4">
        <v>46178</v>
      </c>
      <c r="G537" s="5">
        <v>1550</v>
      </c>
      <c r="H537" s="5">
        <v>925.53</v>
      </c>
      <c r="I537" s="2" t="s">
        <v>37</v>
      </c>
      <c r="J537" s="2"/>
      <c r="K537" s="2" t="s">
        <v>52</v>
      </c>
    </row>
    <row r="538" spans="1:11" x14ac:dyDescent="0.25">
      <c r="A538" s="2" t="s">
        <v>943</v>
      </c>
      <c r="B538" s="2" t="s">
        <v>452</v>
      </c>
      <c r="C538" s="2" t="s">
        <v>79</v>
      </c>
      <c r="D538" s="2" t="s">
        <v>80</v>
      </c>
      <c r="E538" s="4">
        <v>46244</v>
      </c>
      <c r="F538" s="4">
        <v>46253</v>
      </c>
      <c r="G538" s="5">
        <v>12825</v>
      </c>
      <c r="H538" s="5">
        <v>11884.49</v>
      </c>
      <c r="I538" s="2" t="s">
        <v>37</v>
      </c>
      <c r="J538" s="2"/>
      <c r="K538" s="2" t="s">
        <v>109</v>
      </c>
    </row>
    <row r="539" spans="1:11" x14ac:dyDescent="0.25">
      <c r="A539" s="2" t="s">
        <v>944</v>
      </c>
      <c r="B539" s="2" t="s">
        <v>509</v>
      </c>
      <c r="C539" s="2" t="s">
        <v>29</v>
      </c>
      <c r="D539" s="2"/>
      <c r="E539" s="4">
        <v>46090</v>
      </c>
      <c r="F539" s="4">
        <v>46108</v>
      </c>
      <c r="G539" s="5">
        <v>8750</v>
      </c>
      <c r="H539" s="5">
        <v>8625.4</v>
      </c>
      <c r="I539" s="2" t="s">
        <v>37</v>
      </c>
      <c r="J539" s="2"/>
      <c r="K539" s="2" t="s">
        <v>65</v>
      </c>
    </row>
    <row r="540" spans="1:11" x14ac:dyDescent="0.25">
      <c r="A540" s="2" t="s">
        <v>945</v>
      </c>
      <c r="B540" s="2" t="s">
        <v>946</v>
      </c>
      <c r="C540" s="2" t="s">
        <v>36</v>
      </c>
      <c r="D540" s="2" t="s">
        <v>30</v>
      </c>
      <c r="E540" s="4">
        <v>46019</v>
      </c>
      <c r="F540" s="4">
        <v>46036</v>
      </c>
      <c r="G540" s="5">
        <v>4625</v>
      </c>
      <c r="H540" s="5">
        <v>4068.53</v>
      </c>
      <c r="I540" s="2" t="s">
        <v>37</v>
      </c>
      <c r="J540" s="2"/>
      <c r="K540" s="2" t="s">
        <v>65</v>
      </c>
    </row>
    <row r="541" spans="1:11" x14ac:dyDescent="0.25">
      <c r="A541" s="2" t="s">
        <v>947</v>
      </c>
      <c r="B541" s="2" t="s">
        <v>164</v>
      </c>
      <c r="C541" s="2" t="s">
        <v>79</v>
      </c>
      <c r="D541" s="2" t="s">
        <v>94</v>
      </c>
      <c r="E541" s="4">
        <v>46059</v>
      </c>
      <c r="F541" s="4">
        <v>46063</v>
      </c>
      <c r="G541" s="5">
        <v>12850</v>
      </c>
      <c r="H541" s="5">
        <v>12248.8</v>
      </c>
      <c r="I541" s="2" t="s">
        <v>37</v>
      </c>
      <c r="J541" s="2"/>
      <c r="K541" s="2" t="s">
        <v>65</v>
      </c>
    </row>
    <row r="542" spans="1:11" x14ac:dyDescent="0.25">
      <c r="A542" s="2" t="s">
        <v>948</v>
      </c>
      <c r="B542" s="2" t="s">
        <v>176</v>
      </c>
      <c r="C542" s="2" t="s">
        <v>29</v>
      </c>
      <c r="D542" s="2" t="s">
        <v>94</v>
      </c>
      <c r="E542" s="4">
        <v>46283</v>
      </c>
      <c r="F542" s="4">
        <v>46287</v>
      </c>
      <c r="G542" s="5">
        <v>10275</v>
      </c>
      <c r="H542" s="5"/>
      <c r="I542" s="2" t="s">
        <v>42</v>
      </c>
      <c r="J542" s="2"/>
      <c r="K542" s="2" t="s">
        <v>33</v>
      </c>
    </row>
    <row r="543" spans="1:11" x14ac:dyDescent="0.25">
      <c r="A543" s="2" t="s">
        <v>949</v>
      </c>
      <c r="B543" s="2" t="s">
        <v>100</v>
      </c>
      <c r="C543" s="2" t="s">
        <v>79</v>
      </c>
      <c r="D543" s="2" t="s">
        <v>61</v>
      </c>
      <c r="E543" s="4">
        <v>46275</v>
      </c>
      <c r="F543" s="4">
        <v>46283</v>
      </c>
      <c r="G543" s="5">
        <v>12075</v>
      </c>
      <c r="H543" s="5">
        <v>9324.4500000000007</v>
      </c>
      <c r="I543" s="2" t="s">
        <v>37</v>
      </c>
      <c r="J543" s="2"/>
      <c r="K543" s="2" t="s">
        <v>56</v>
      </c>
    </row>
    <row r="544" spans="1:11" x14ac:dyDescent="0.25">
      <c r="A544" s="2" t="s">
        <v>950</v>
      </c>
      <c r="B544" s="2" t="s">
        <v>467</v>
      </c>
      <c r="C544" s="2" t="s">
        <v>36</v>
      </c>
      <c r="D544" s="2" t="s">
        <v>68</v>
      </c>
      <c r="E544" s="4">
        <v>46120</v>
      </c>
      <c r="F544" s="4">
        <v>46131</v>
      </c>
      <c r="G544" s="5">
        <v>11125</v>
      </c>
      <c r="H544" s="5"/>
      <c r="I544" s="2" t="s">
        <v>42</v>
      </c>
      <c r="J544" s="2"/>
      <c r="K544" s="2" t="s">
        <v>65</v>
      </c>
    </row>
    <row r="545" spans="1:11" x14ac:dyDescent="0.25">
      <c r="A545" s="2" t="s">
        <v>951</v>
      </c>
      <c r="B545" s="2" t="s">
        <v>180</v>
      </c>
      <c r="C545" s="2" t="s">
        <v>79</v>
      </c>
      <c r="D545" s="2" t="s">
        <v>80</v>
      </c>
      <c r="E545" s="4">
        <v>46175</v>
      </c>
      <c r="F545" s="4">
        <v>46180</v>
      </c>
      <c r="G545" s="5">
        <v>7550</v>
      </c>
      <c r="H545" s="5">
        <v>6192.41</v>
      </c>
      <c r="I545" s="2" t="s">
        <v>37</v>
      </c>
      <c r="J545" s="2"/>
      <c r="K545" s="2" t="s">
        <v>33</v>
      </c>
    </row>
    <row r="546" spans="1:11" x14ac:dyDescent="0.25">
      <c r="A546" s="2" t="s">
        <v>952</v>
      </c>
      <c r="B546" s="2" t="s">
        <v>953</v>
      </c>
      <c r="C546" s="2" t="s">
        <v>36</v>
      </c>
      <c r="D546" s="2" t="s">
        <v>30</v>
      </c>
      <c r="E546" s="4">
        <v>46032</v>
      </c>
      <c r="F546" s="4">
        <v>46040</v>
      </c>
      <c r="G546" s="5">
        <v>2200</v>
      </c>
      <c r="H546" s="5"/>
      <c r="I546" s="2" t="s">
        <v>42</v>
      </c>
      <c r="J546" s="2"/>
      <c r="K546" s="2" t="s">
        <v>38</v>
      </c>
    </row>
    <row r="547" spans="1:11" x14ac:dyDescent="0.25">
      <c r="A547" s="2" t="s">
        <v>954</v>
      </c>
      <c r="B547" s="2" t="s">
        <v>76</v>
      </c>
      <c r="C547" s="2" t="s">
        <v>79</v>
      </c>
      <c r="D547" s="2" t="s">
        <v>55</v>
      </c>
      <c r="E547" s="4">
        <v>46228</v>
      </c>
      <c r="F547" s="4">
        <v>46234</v>
      </c>
      <c r="G547" s="5">
        <v>6175</v>
      </c>
      <c r="H547" s="5">
        <v>5796.22</v>
      </c>
      <c r="I547" s="2" t="s">
        <v>37</v>
      </c>
      <c r="J547" s="2"/>
      <c r="K547" s="2" t="s">
        <v>65</v>
      </c>
    </row>
    <row r="548" spans="1:11" x14ac:dyDescent="0.25">
      <c r="A548" s="2" t="s">
        <v>955</v>
      </c>
      <c r="B548" s="2" t="s">
        <v>425</v>
      </c>
      <c r="C548" s="2" t="s">
        <v>36</v>
      </c>
      <c r="D548" s="2" t="s">
        <v>68</v>
      </c>
      <c r="E548" s="4">
        <v>46020</v>
      </c>
      <c r="F548" s="4">
        <v>46028</v>
      </c>
      <c r="G548" s="5">
        <v>8475</v>
      </c>
      <c r="H548" s="5"/>
      <c r="I548" s="2" t="s">
        <v>42</v>
      </c>
      <c r="J548" s="2"/>
      <c r="K548" s="2" t="s">
        <v>38</v>
      </c>
    </row>
    <row r="549" spans="1:11" x14ac:dyDescent="0.25">
      <c r="A549" s="2" t="s">
        <v>956</v>
      </c>
      <c r="B549" s="2" t="s">
        <v>957</v>
      </c>
      <c r="C549" s="2" t="s">
        <v>36</v>
      </c>
      <c r="D549" s="2" t="s">
        <v>30</v>
      </c>
      <c r="E549" s="4">
        <v>46120</v>
      </c>
      <c r="F549" s="4">
        <v>46137</v>
      </c>
      <c r="G549" s="5">
        <v>7150</v>
      </c>
      <c r="H549" s="5">
        <v>4187.8500000000004</v>
      </c>
      <c r="I549" s="2" t="s">
        <v>37</v>
      </c>
      <c r="J549" s="2"/>
      <c r="K549" s="2" t="s">
        <v>48</v>
      </c>
    </row>
    <row r="550" spans="1:11" x14ac:dyDescent="0.25">
      <c r="A550" s="2" t="s">
        <v>958</v>
      </c>
      <c r="B550" s="2" t="s">
        <v>959</v>
      </c>
      <c r="C550" s="2" t="s">
        <v>29</v>
      </c>
      <c r="D550" s="2" t="s">
        <v>55</v>
      </c>
      <c r="E550" s="4">
        <v>46232</v>
      </c>
      <c r="F550" s="4">
        <v>46251</v>
      </c>
      <c r="G550" s="5">
        <v>12275</v>
      </c>
      <c r="H550" s="5"/>
      <c r="I550" s="2" t="s">
        <v>42</v>
      </c>
      <c r="J550" s="2"/>
      <c r="K550" s="2" t="s">
        <v>52</v>
      </c>
    </row>
    <row r="551" spans="1:11" x14ac:dyDescent="0.25">
      <c r="A551" s="2" t="s">
        <v>960</v>
      </c>
      <c r="B551" s="2" t="s">
        <v>894</v>
      </c>
      <c r="C551" s="2" t="s">
        <v>36</v>
      </c>
      <c r="D551" s="2" t="s">
        <v>61</v>
      </c>
      <c r="E551" s="4">
        <v>46240</v>
      </c>
      <c r="F551" s="4">
        <v>46247</v>
      </c>
      <c r="G551" s="5">
        <v>7250</v>
      </c>
      <c r="H551" s="5">
        <v>6828.76</v>
      </c>
      <c r="I551" s="2" t="s">
        <v>37</v>
      </c>
      <c r="J551" s="2"/>
      <c r="K551" s="2" t="s">
        <v>65</v>
      </c>
    </row>
    <row r="552" spans="1:11" x14ac:dyDescent="0.25">
      <c r="A552" s="2" t="s">
        <v>961</v>
      </c>
      <c r="B552" s="2" t="s">
        <v>320</v>
      </c>
      <c r="C552" s="2" t="s">
        <v>29</v>
      </c>
      <c r="D552" s="2" t="s">
        <v>94</v>
      </c>
      <c r="E552" s="4">
        <v>46282</v>
      </c>
      <c r="F552" s="4">
        <v>46292</v>
      </c>
      <c r="G552" s="5">
        <v>4600</v>
      </c>
      <c r="H552" s="5"/>
      <c r="I552" s="2" t="s">
        <v>145</v>
      </c>
      <c r="J552" s="2"/>
      <c r="K552" s="2" t="s">
        <v>62</v>
      </c>
    </row>
    <row r="553" spans="1:11" x14ac:dyDescent="0.25">
      <c r="A553" s="2" t="s">
        <v>962</v>
      </c>
      <c r="B553" s="2" t="s">
        <v>264</v>
      </c>
      <c r="C553" s="2" t="s">
        <v>79</v>
      </c>
      <c r="D553" s="2" t="s">
        <v>80</v>
      </c>
      <c r="E553" s="4">
        <v>46196</v>
      </c>
      <c r="F553" s="4">
        <v>46208</v>
      </c>
      <c r="G553" s="5">
        <v>14425</v>
      </c>
      <c r="H553" s="5">
        <v>0</v>
      </c>
      <c r="I553" s="2" t="s">
        <v>31</v>
      </c>
      <c r="J553" s="2" t="s">
        <v>72</v>
      </c>
      <c r="K553" s="2" t="s">
        <v>48</v>
      </c>
    </row>
    <row r="554" spans="1:11" x14ac:dyDescent="0.25">
      <c r="A554" s="2" t="s">
        <v>963</v>
      </c>
      <c r="B554" s="2" t="s">
        <v>538</v>
      </c>
      <c r="C554" s="2" t="s">
        <v>46</v>
      </c>
      <c r="D554" s="2" t="s">
        <v>55</v>
      </c>
      <c r="E554" s="4">
        <v>46149</v>
      </c>
      <c r="F554" s="4">
        <v>46166</v>
      </c>
      <c r="G554" s="5">
        <v>900</v>
      </c>
      <c r="H554" s="5">
        <v>577.85</v>
      </c>
      <c r="I554" s="2" t="s">
        <v>37</v>
      </c>
      <c r="J554" s="2"/>
      <c r="K554" s="2" t="s">
        <v>56</v>
      </c>
    </row>
    <row r="555" spans="1:11" x14ac:dyDescent="0.25">
      <c r="A555" s="2" t="s">
        <v>964</v>
      </c>
      <c r="B555" s="2" t="s">
        <v>555</v>
      </c>
      <c r="C555" s="2" t="s">
        <v>36</v>
      </c>
      <c r="D555" s="2" t="s">
        <v>61</v>
      </c>
      <c r="E555" s="4">
        <v>46129</v>
      </c>
      <c r="F555" s="4">
        <v>46132</v>
      </c>
      <c r="G555" s="5">
        <v>14125</v>
      </c>
      <c r="H555" s="5">
        <v>11332.55</v>
      </c>
      <c r="I555" s="2" t="s">
        <v>37</v>
      </c>
      <c r="J555" s="2"/>
      <c r="K555" s="2" t="s">
        <v>43</v>
      </c>
    </row>
    <row r="556" spans="1:11" x14ac:dyDescent="0.25">
      <c r="A556" s="2" t="s">
        <v>965</v>
      </c>
      <c r="B556" s="2" t="s">
        <v>966</v>
      </c>
      <c r="C556" s="2" t="s">
        <v>79</v>
      </c>
      <c r="D556" s="2" t="s">
        <v>30</v>
      </c>
      <c r="E556" s="4">
        <v>46084</v>
      </c>
      <c r="F556" s="4">
        <v>46102</v>
      </c>
      <c r="G556" s="5">
        <v>7025</v>
      </c>
      <c r="H556" s="5">
        <v>5994.55</v>
      </c>
      <c r="I556" s="2" t="s">
        <v>37</v>
      </c>
      <c r="J556" s="2"/>
      <c r="K556" s="2" t="s">
        <v>62</v>
      </c>
    </row>
    <row r="557" spans="1:11" x14ac:dyDescent="0.25">
      <c r="A557" s="2" t="s">
        <v>967</v>
      </c>
      <c r="B557" s="2" t="s">
        <v>726</v>
      </c>
      <c r="C557" s="2" t="s">
        <v>46</v>
      </c>
      <c r="D557" s="2" t="s">
        <v>80</v>
      </c>
      <c r="E557" s="4">
        <v>46205</v>
      </c>
      <c r="F557" s="4">
        <v>46214</v>
      </c>
      <c r="G557" s="5">
        <v>13225</v>
      </c>
      <c r="H557" s="5">
        <v>10432.73</v>
      </c>
      <c r="I557" s="2" t="s">
        <v>37</v>
      </c>
      <c r="J557" s="2"/>
      <c r="K557" s="2" t="s">
        <v>52</v>
      </c>
    </row>
    <row r="558" spans="1:11" x14ac:dyDescent="0.25">
      <c r="A558" s="2" t="s">
        <v>968</v>
      </c>
      <c r="B558" s="2" t="s">
        <v>728</v>
      </c>
      <c r="C558" s="2" t="s">
        <v>29</v>
      </c>
      <c r="D558" s="2" t="s">
        <v>80</v>
      </c>
      <c r="E558" s="4">
        <v>46014</v>
      </c>
      <c r="F558" s="4">
        <v>46025</v>
      </c>
      <c r="G558" s="5">
        <v>9300</v>
      </c>
      <c r="H558" s="5">
        <v>5855.45</v>
      </c>
      <c r="I558" s="2" t="s">
        <v>37</v>
      </c>
      <c r="J558" s="2"/>
      <c r="K558" s="2" t="s">
        <v>83</v>
      </c>
    </row>
    <row r="559" spans="1:11" x14ac:dyDescent="0.25">
      <c r="A559" s="2" t="s">
        <v>969</v>
      </c>
      <c r="B559" s="2" t="s">
        <v>58</v>
      </c>
      <c r="C559" s="2" t="s">
        <v>79</v>
      </c>
      <c r="D559" s="2" t="s">
        <v>41</v>
      </c>
      <c r="E559" s="4">
        <v>46277</v>
      </c>
      <c r="F559" s="4">
        <v>46295</v>
      </c>
      <c r="G559" s="5">
        <v>9000</v>
      </c>
      <c r="H559" s="5"/>
      <c r="I559" s="2" t="s">
        <v>42</v>
      </c>
      <c r="J559" s="2"/>
      <c r="K559" s="2" t="s">
        <v>52</v>
      </c>
    </row>
    <row r="560" spans="1:11" x14ac:dyDescent="0.25">
      <c r="A560" s="2" t="s">
        <v>970</v>
      </c>
      <c r="B560" s="2" t="s">
        <v>743</v>
      </c>
      <c r="C560" s="2" t="s">
        <v>79</v>
      </c>
      <c r="D560" s="2" t="s">
        <v>55</v>
      </c>
      <c r="E560" s="4">
        <v>46172</v>
      </c>
      <c r="F560" s="4">
        <v>46175</v>
      </c>
      <c r="G560" s="5">
        <v>11325</v>
      </c>
      <c r="H560" s="5"/>
      <c r="I560" s="2" t="s">
        <v>42</v>
      </c>
      <c r="J560" s="2"/>
      <c r="K560" s="2" t="s">
        <v>48</v>
      </c>
    </row>
    <row r="561" spans="1:11" x14ac:dyDescent="0.25">
      <c r="A561" s="2" t="s">
        <v>971</v>
      </c>
      <c r="B561" s="2" t="s">
        <v>972</v>
      </c>
      <c r="C561" s="2" t="s">
        <v>36</v>
      </c>
      <c r="D561" s="2" t="s">
        <v>68</v>
      </c>
      <c r="E561" s="4">
        <v>46157</v>
      </c>
      <c r="F561" s="4">
        <v>46175</v>
      </c>
      <c r="G561" s="5">
        <v>1750</v>
      </c>
      <c r="H561" s="5">
        <v>1684.91</v>
      </c>
      <c r="I561" s="2" t="s">
        <v>37</v>
      </c>
      <c r="J561" s="2"/>
      <c r="K561" s="2" t="s">
        <v>48</v>
      </c>
    </row>
    <row r="562" spans="1:11" x14ac:dyDescent="0.25">
      <c r="A562" s="2" t="s">
        <v>973</v>
      </c>
      <c r="B562" s="2" t="s">
        <v>162</v>
      </c>
      <c r="C562" s="2" t="s">
        <v>46</v>
      </c>
      <c r="D562" s="2" t="s">
        <v>41</v>
      </c>
      <c r="E562" s="4">
        <v>46058</v>
      </c>
      <c r="F562" s="4">
        <v>46063</v>
      </c>
      <c r="G562" s="5">
        <v>12200</v>
      </c>
      <c r="H562" s="5">
        <v>0</v>
      </c>
      <c r="I562" s="2" t="s">
        <v>31</v>
      </c>
      <c r="J562" s="2" t="s">
        <v>116</v>
      </c>
      <c r="K562" s="2" t="s">
        <v>48</v>
      </c>
    </row>
    <row r="563" spans="1:11" x14ac:dyDescent="0.25">
      <c r="A563" s="2" t="s">
        <v>974</v>
      </c>
      <c r="B563" s="2" t="s">
        <v>975</v>
      </c>
      <c r="C563" s="2" t="s">
        <v>79</v>
      </c>
      <c r="D563" s="2" t="s">
        <v>30</v>
      </c>
      <c r="E563" s="4">
        <v>46277</v>
      </c>
      <c r="F563" s="4">
        <v>46282</v>
      </c>
      <c r="G563" s="5">
        <v>5800</v>
      </c>
      <c r="H563" s="5"/>
      <c r="I563" s="2" t="s">
        <v>42</v>
      </c>
      <c r="J563" s="2"/>
      <c r="K563" s="2" t="s">
        <v>109</v>
      </c>
    </row>
    <row r="564" spans="1:11" x14ac:dyDescent="0.25">
      <c r="A564" s="2" t="s">
        <v>976</v>
      </c>
      <c r="B564" s="2" t="s">
        <v>925</v>
      </c>
      <c r="C564" s="2" t="s">
        <v>36</v>
      </c>
      <c r="D564" s="2" t="s">
        <v>41</v>
      </c>
      <c r="E564" s="4">
        <v>46049</v>
      </c>
      <c r="F564" s="4">
        <v>46064</v>
      </c>
      <c r="G564" s="5">
        <v>11350</v>
      </c>
      <c r="H564" s="5">
        <v>9387.7199999999993</v>
      </c>
      <c r="I564" s="2" t="s">
        <v>37</v>
      </c>
      <c r="J564" s="2"/>
      <c r="K564" s="2" t="s">
        <v>48</v>
      </c>
    </row>
    <row r="565" spans="1:11" x14ac:dyDescent="0.25">
      <c r="A565" s="2" t="s">
        <v>977</v>
      </c>
      <c r="B565" s="2" t="s">
        <v>978</v>
      </c>
      <c r="C565" s="2" t="s">
        <v>46</v>
      </c>
      <c r="D565" s="2" t="s">
        <v>80</v>
      </c>
      <c r="E565" s="4">
        <v>46249</v>
      </c>
      <c r="F565" s="4">
        <v>46265</v>
      </c>
      <c r="G565" s="5">
        <v>5900</v>
      </c>
      <c r="H565" s="5">
        <v>3819.1</v>
      </c>
      <c r="I565" s="2" t="s">
        <v>37</v>
      </c>
      <c r="J565" s="2"/>
      <c r="K565" s="2" t="s">
        <v>83</v>
      </c>
    </row>
    <row r="566" spans="1:11" x14ac:dyDescent="0.25">
      <c r="A566" s="2" t="s">
        <v>979</v>
      </c>
      <c r="B566" s="2" t="s">
        <v>980</v>
      </c>
      <c r="C566" s="2" t="s">
        <v>36</v>
      </c>
      <c r="D566" s="2" t="s">
        <v>55</v>
      </c>
      <c r="E566" s="4">
        <v>46210</v>
      </c>
      <c r="F566" s="4">
        <v>46213</v>
      </c>
      <c r="G566" s="5">
        <v>12550</v>
      </c>
      <c r="H566" s="5"/>
      <c r="I566" s="2" t="s">
        <v>42</v>
      </c>
      <c r="J566" s="2"/>
      <c r="K566" s="2" t="s">
        <v>52</v>
      </c>
    </row>
    <row r="567" spans="1:11" x14ac:dyDescent="0.25">
      <c r="A567" s="2" t="s">
        <v>981</v>
      </c>
      <c r="B567" s="2" t="s">
        <v>493</v>
      </c>
      <c r="C567" s="2" t="s">
        <v>36</v>
      </c>
      <c r="D567" s="2" t="s">
        <v>61</v>
      </c>
      <c r="E567" s="4">
        <v>46035</v>
      </c>
      <c r="F567" s="4">
        <v>46052</v>
      </c>
      <c r="G567" s="5">
        <v>5325</v>
      </c>
      <c r="H567" s="5">
        <v>4686.47</v>
      </c>
      <c r="I567" s="2" t="s">
        <v>37</v>
      </c>
      <c r="J567" s="2"/>
      <c r="K567" s="2" t="s">
        <v>38</v>
      </c>
    </row>
    <row r="568" spans="1:11" x14ac:dyDescent="0.25">
      <c r="A568" s="2" t="s">
        <v>982</v>
      </c>
      <c r="B568" s="2" t="s">
        <v>474</v>
      </c>
      <c r="C568" s="2" t="s">
        <v>46</v>
      </c>
      <c r="D568" s="2" t="s">
        <v>983</v>
      </c>
      <c r="E568" s="4">
        <v>46263</v>
      </c>
      <c r="F568" s="4">
        <v>46283</v>
      </c>
      <c r="G568" s="5">
        <v>5725</v>
      </c>
      <c r="H568" s="5"/>
      <c r="I568" s="2" t="s">
        <v>42</v>
      </c>
      <c r="J568" s="2"/>
      <c r="K568" s="2" t="s">
        <v>56</v>
      </c>
    </row>
    <row r="569" spans="1:11" x14ac:dyDescent="0.25">
      <c r="A569" s="2" t="s">
        <v>984</v>
      </c>
      <c r="B569" s="2" t="s">
        <v>728</v>
      </c>
      <c r="C569" s="2" t="s">
        <v>29</v>
      </c>
      <c r="D569" s="2" t="s">
        <v>61</v>
      </c>
      <c r="E569" s="4">
        <v>46252</v>
      </c>
      <c r="F569" s="4">
        <v>46269</v>
      </c>
      <c r="G569" s="5">
        <v>3975</v>
      </c>
      <c r="H569" s="5">
        <v>3309.43</v>
      </c>
      <c r="I569" s="2" t="s">
        <v>37</v>
      </c>
      <c r="J569" s="2"/>
      <c r="K569" s="2" t="s">
        <v>38</v>
      </c>
    </row>
    <row r="570" spans="1:11" x14ac:dyDescent="0.25">
      <c r="A570" s="2" t="s">
        <v>985</v>
      </c>
      <c r="B570" s="2" t="s">
        <v>590</v>
      </c>
      <c r="C570" s="2" t="s">
        <v>29</v>
      </c>
      <c r="D570" s="2" t="s">
        <v>41</v>
      </c>
      <c r="E570" s="4">
        <v>46043</v>
      </c>
      <c r="F570" s="4">
        <v>46060</v>
      </c>
      <c r="G570" s="5">
        <v>4950</v>
      </c>
      <c r="H570" s="5"/>
      <c r="I570" s="2" t="s">
        <v>42</v>
      </c>
      <c r="J570" s="2"/>
      <c r="K570" s="2" t="s">
        <v>83</v>
      </c>
    </row>
    <row r="571" spans="1:11" x14ac:dyDescent="0.25">
      <c r="A571" s="2" t="s">
        <v>986</v>
      </c>
      <c r="B571" s="2" t="s">
        <v>987</v>
      </c>
      <c r="C571" s="2" t="s">
        <v>79</v>
      </c>
      <c r="D571" s="2" t="s">
        <v>80</v>
      </c>
      <c r="E571" s="4">
        <v>46146</v>
      </c>
      <c r="F571" s="4">
        <v>46153</v>
      </c>
      <c r="G571" s="5">
        <v>14975</v>
      </c>
      <c r="H571" s="5">
        <v>9849.5499999999993</v>
      </c>
      <c r="I571" s="2" t="s">
        <v>37</v>
      </c>
      <c r="J571" s="2"/>
      <c r="K571" s="2" t="s">
        <v>43</v>
      </c>
    </row>
    <row r="572" spans="1:11" x14ac:dyDescent="0.25">
      <c r="A572" s="2" t="s">
        <v>988</v>
      </c>
      <c r="B572" s="2" t="s">
        <v>989</v>
      </c>
      <c r="C572" s="2" t="s">
        <v>29</v>
      </c>
      <c r="D572" s="2" t="s">
        <v>41</v>
      </c>
      <c r="E572" s="4">
        <v>46161</v>
      </c>
      <c r="F572" s="4">
        <v>46181</v>
      </c>
      <c r="G572" s="5">
        <v>13250</v>
      </c>
      <c r="H572" s="5">
        <v>8681.2099999999991</v>
      </c>
      <c r="I572" s="2" t="s">
        <v>37</v>
      </c>
      <c r="J572" s="2"/>
      <c r="K572" s="2" t="s">
        <v>56</v>
      </c>
    </row>
    <row r="573" spans="1:11" x14ac:dyDescent="0.25">
      <c r="A573" s="2" t="s">
        <v>990</v>
      </c>
      <c r="B573" s="2" t="s">
        <v>991</v>
      </c>
      <c r="C573" s="2" t="s">
        <v>36</v>
      </c>
      <c r="D573" s="2" t="s">
        <v>55</v>
      </c>
      <c r="E573" s="4">
        <v>46151</v>
      </c>
      <c r="F573" s="4">
        <v>46168</v>
      </c>
      <c r="G573" s="5">
        <v>2500</v>
      </c>
      <c r="H573" s="5">
        <v>1689.13</v>
      </c>
      <c r="I573" s="2" t="s">
        <v>37</v>
      </c>
      <c r="J573" s="2"/>
      <c r="K573" s="2" t="s">
        <v>38</v>
      </c>
    </row>
    <row r="574" spans="1:11" x14ac:dyDescent="0.25">
      <c r="A574" s="2" t="s">
        <v>992</v>
      </c>
      <c r="B574" s="2" t="s">
        <v>827</v>
      </c>
      <c r="C574" s="2" t="s">
        <v>29</v>
      </c>
      <c r="D574" s="2" t="s">
        <v>30</v>
      </c>
      <c r="E574" s="4">
        <v>46199</v>
      </c>
      <c r="F574" s="4">
        <v>46207</v>
      </c>
      <c r="G574" s="5">
        <v>8200</v>
      </c>
      <c r="H574" s="5">
        <v>0</v>
      </c>
      <c r="I574" s="2" t="s">
        <v>31</v>
      </c>
      <c r="J574" s="2" t="s">
        <v>47</v>
      </c>
      <c r="K574" s="2" t="s">
        <v>52</v>
      </c>
    </row>
    <row r="575" spans="1:11" x14ac:dyDescent="0.25">
      <c r="A575" s="2" t="s">
        <v>993</v>
      </c>
      <c r="B575" s="2" t="s">
        <v>994</v>
      </c>
      <c r="C575" s="2" t="s">
        <v>46</v>
      </c>
      <c r="D575" s="2" t="s">
        <v>80</v>
      </c>
      <c r="E575" s="4">
        <v>46124</v>
      </c>
      <c r="F575" s="4">
        <v>46141</v>
      </c>
      <c r="G575" s="5">
        <v>5400</v>
      </c>
      <c r="H575" s="5">
        <v>3828.7</v>
      </c>
      <c r="I575" s="2" t="s">
        <v>130</v>
      </c>
      <c r="J575" s="2"/>
      <c r="K575" s="2" t="s">
        <v>52</v>
      </c>
    </row>
    <row r="576" spans="1:11" x14ac:dyDescent="0.25">
      <c r="A576" s="2" t="s">
        <v>995</v>
      </c>
      <c r="B576" s="2" t="s">
        <v>659</v>
      </c>
      <c r="C576" s="2" t="s">
        <v>29</v>
      </c>
      <c r="D576" s="2" t="s">
        <v>55</v>
      </c>
      <c r="E576" s="4">
        <v>46088</v>
      </c>
      <c r="F576" s="4">
        <v>46095</v>
      </c>
      <c r="G576" s="5">
        <v>9275</v>
      </c>
      <c r="H576" s="5"/>
      <c r="I576" s="2" t="s">
        <v>42</v>
      </c>
      <c r="J576" s="2"/>
      <c r="K576" s="2" t="s">
        <v>62</v>
      </c>
    </row>
    <row r="577" spans="1:11" x14ac:dyDescent="0.25">
      <c r="A577" s="2" t="s">
        <v>996</v>
      </c>
      <c r="B577" s="2" t="s">
        <v>129</v>
      </c>
      <c r="C577" s="2" t="s">
        <v>36</v>
      </c>
      <c r="D577" s="2" t="s">
        <v>68</v>
      </c>
      <c r="E577" s="4">
        <v>46027</v>
      </c>
      <c r="F577" s="4">
        <v>46038</v>
      </c>
      <c r="G577" s="5">
        <v>12525</v>
      </c>
      <c r="H577" s="5">
        <v>10261.31</v>
      </c>
      <c r="I577" s="2" t="s">
        <v>37</v>
      </c>
      <c r="J577" s="2"/>
      <c r="K577" s="2" t="s">
        <v>65</v>
      </c>
    </row>
    <row r="578" spans="1:11" x14ac:dyDescent="0.25">
      <c r="A578" s="2" t="s">
        <v>997</v>
      </c>
      <c r="B578" s="2" t="s">
        <v>341</v>
      </c>
      <c r="C578" s="2" t="s">
        <v>79</v>
      </c>
      <c r="D578" s="2" t="s">
        <v>41</v>
      </c>
      <c r="E578" s="4">
        <v>46010</v>
      </c>
      <c r="F578" s="4">
        <v>46028</v>
      </c>
      <c r="G578" s="5">
        <v>14375</v>
      </c>
      <c r="H578" s="5">
        <v>11319.7</v>
      </c>
      <c r="I578" s="2" t="s">
        <v>37</v>
      </c>
      <c r="J578" s="2"/>
      <c r="K578" s="2" t="s">
        <v>109</v>
      </c>
    </row>
    <row r="579" spans="1:11" x14ac:dyDescent="0.25">
      <c r="A579" s="2" t="s">
        <v>998</v>
      </c>
      <c r="B579" s="2" t="s">
        <v>999</v>
      </c>
      <c r="C579" s="2" t="s">
        <v>29</v>
      </c>
      <c r="D579" s="2" t="s">
        <v>30</v>
      </c>
      <c r="E579" s="4">
        <v>46172</v>
      </c>
      <c r="F579" s="4">
        <v>46182</v>
      </c>
      <c r="G579" s="5">
        <v>9650</v>
      </c>
      <c r="H579" s="5">
        <v>6214.54</v>
      </c>
      <c r="I579" s="2" t="s">
        <v>37</v>
      </c>
      <c r="J579" s="2"/>
      <c r="K579" s="2" t="s">
        <v>65</v>
      </c>
    </row>
    <row r="580" spans="1:11" x14ac:dyDescent="0.25">
      <c r="A580" s="2" t="s">
        <v>1000</v>
      </c>
      <c r="B580" s="2" t="s">
        <v>1001</v>
      </c>
      <c r="C580" s="2" t="s">
        <v>29</v>
      </c>
      <c r="D580" s="2" t="s">
        <v>30</v>
      </c>
      <c r="E580" s="4">
        <v>46194</v>
      </c>
      <c r="F580" s="4">
        <v>46200</v>
      </c>
      <c r="G580" s="5">
        <v>10275</v>
      </c>
      <c r="H580" s="5"/>
      <c r="I580" s="2" t="s">
        <v>42</v>
      </c>
      <c r="J580" s="2"/>
      <c r="K580" s="2" t="s">
        <v>109</v>
      </c>
    </row>
    <row r="581" spans="1:11" x14ac:dyDescent="0.25">
      <c r="A581" s="2" t="s">
        <v>1002</v>
      </c>
      <c r="B581" s="2" t="s">
        <v>643</v>
      </c>
      <c r="C581" s="2" t="s">
        <v>29</v>
      </c>
      <c r="D581" s="2" t="s">
        <v>80</v>
      </c>
      <c r="E581" s="4">
        <v>46086</v>
      </c>
      <c r="F581" s="4">
        <v>46105</v>
      </c>
      <c r="G581" s="5">
        <v>13250</v>
      </c>
      <c r="H581" s="5">
        <v>12802.07</v>
      </c>
      <c r="I581" s="2" t="s">
        <v>37</v>
      </c>
      <c r="J581" s="2"/>
      <c r="K581" s="2" t="s">
        <v>48</v>
      </c>
    </row>
    <row r="582" spans="1:11" x14ac:dyDescent="0.25">
      <c r="A582" s="2" t="s">
        <v>1003</v>
      </c>
      <c r="B582" s="2" t="s">
        <v>763</v>
      </c>
      <c r="C582" s="2" t="s">
        <v>29</v>
      </c>
      <c r="D582" s="2" t="s">
        <v>94</v>
      </c>
      <c r="E582" s="4">
        <v>46127</v>
      </c>
      <c r="F582" s="4">
        <v>46131</v>
      </c>
      <c r="G582" s="5">
        <v>6225</v>
      </c>
      <c r="H582" s="5">
        <v>5603.47</v>
      </c>
      <c r="I582" s="2" t="s">
        <v>37</v>
      </c>
      <c r="J582" s="2"/>
      <c r="K582" s="2" t="s">
        <v>33</v>
      </c>
    </row>
    <row r="583" spans="1:11" x14ac:dyDescent="0.25">
      <c r="A583" s="2" t="s">
        <v>1004</v>
      </c>
      <c r="B583" s="2" t="s">
        <v>1005</v>
      </c>
      <c r="C583" s="2" t="s">
        <v>79</v>
      </c>
      <c r="D583" s="2" t="s">
        <v>30</v>
      </c>
      <c r="E583" s="4">
        <v>46131</v>
      </c>
      <c r="F583" s="4">
        <v>46136</v>
      </c>
      <c r="G583" s="5">
        <v>2000</v>
      </c>
      <c r="H583" s="5"/>
      <c r="I583" s="2" t="s">
        <v>42</v>
      </c>
      <c r="J583" s="2"/>
      <c r="K583" s="2" t="s">
        <v>65</v>
      </c>
    </row>
    <row r="584" spans="1:11" x14ac:dyDescent="0.25">
      <c r="A584" s="2" t="s">
        <v>1006</v>
      </c>
      <c r="B584" s="2" t="s">
        <v>555</v>
      </c>
      <c r="C584" s="2" t="s">
        <v>36</v>
      </c>
      <c r="D584" s="2" t="s">
        <v>80</v>
      </c>
      <c r="E584" s="4">
        <v>46154</v>
      </c>
      <c r="F584" s="4">
        <v>46173</v>
      </c>
      <c r="G584" s="5">
        <v>8125</v>
      </c>
      <c r="H584" s="5">
        <v>5104.33</v>
      </c>
      <c r="I584" s="2" t="s">
        <v>37</v>
      </c>
      <c r="J584" s="2"/>
      <c r="K584" s="2" t="s">
        <v>62</v>
      </c>
    </row>
    <row r="585" spans="1:11" x14ac:dyDescent="0.25">
      <c r="A585" s="2" t="s">
        <v>1007</v>
      </c>
      <c r="B585" s="2" t="s">
        <v>707</v>
      </c>
      <c r="C585" s="2" t="s">
        <v>46</v>
      </c>
      <c r="D585" s="2" t="s">
        <v>55</v>
      </c>
      <c r="E585" s="4">
        <v>46144</v>
      </c>
      <c r="F585" s="4">
        <v>46163</v>
      </c>
      <c r="G585" s="5">
        <v>7450</v>
      </c>
      <c r="H585" s="5">
        <v>0</v>
      </c>
      <c r="I585" s="2" t="s">
        <v>31</v>
      </c>
      <c r="J585" s="2" t="s">
        <v>312</v>
      </c>
      <c r="K585" s="2" t="s">
        <v>56</v>
      </c>
    </row>
    <row r="586" spans="1:11" x14ac:dyDescent="0.25">
      <c r="A586" s="2" t="s">
        <v>1008</v>
      </c>
      <c r="B586" s="2" t="s">
        <v>1009</v>
      </c>
      <c r="C586" s="2" t="s">
        <v>36</v>
      </c>
      <c r="D586" s="2" t="s">
        <v>71</v>
      </c>
      <c r="E586" s="4">
        <v>46052</v>
      </c>
      <c r="F586" s="4">
        <v>46067</v>
      </c>
      <c r="G586" s="5">
        <v>12100</v>
      </c>
      <c r="H586" s="5"/>
      <c r="I586" s="2" t="s">
        <v>42</v>
      </c>
      <c r="J586" s="2"/>
      <c r="K586" s="2" t="s">
        <v>52</v>
      </c>
    </row>
    <row r="587" spans="1:11" x14ac:dyDescent="0.25">
      <c r="A587" s="2" t="s">
        <v>1010</v>
      </c>
      <c r="B587" s="2" t="s">
        <v>779</v>
      </c>
      <c r="C587" s="2" t="s">
        <v>46</v>
      </c>
      <c r="D587" s="2" t="s">
        <v>41</v>
      </c>
      <c r="E587" s="4">
        <v>46045</v>
      </c>
      <c r="F587" s="4">
        <v>46065</v>
      </c>
      <c r="G587" s="5">
        <v>2525</v>
      </c>
      <c r="H587" s="5">
        <v>0</v>
      </c>
      <c r="I587" s="2" t="s">
        <v>31</v>
      </c>
      <c r="J587" s="2" t="s">
        <v>271</v>
      </c>
      <c r="K587" s="2" t="s">
        <v>83</v>
      </c>
    </row>
    <row r="588" spans="1:11" x14ac:dyDescent="0.25">
      <c r="A588" s="2" t="s">
        <v>1011</v>
      </c>
      <c r="B588" s="2" t="s">
        <v>501</v>
      </c>
      <c r="C588" s="2" t="s">
        <v>79</v>
      </c>
      <c r="D588" s="2" t="s">
        <v>71</v>
      </c>
      <c r="E588" s="4">
        <v>46035</v>
      </c>
      <c r="F588" s="4">
        <v>46054</v>
      </c>
      <c r="G588" s="5">
        <v>2400</v>
      </c>
      <c r="H588" s="5">
        <v>0</v>
      </c>
      <c r="I588" s="2" t="s">
        <v>31</v>
      </c>
      <c r="J588" s="2" t="s">
        <v>116</v>
      </c>
      <c r="K588" s="2" t="s">
        <v>56</v>
      </c>
    </row>
    <row r="589" spans="1:11" x14ac:dyDescent="0.25">
      <c r="A589" s="2" t="s">
        <v>1012</v>
      </c>
      <c r="B589" s="2" t="s">
        <v>201</v>
      </c>
      <c r="C589" s="2" t="s">
        <v>36</v>
      </c>
      <c r="D589" s="2" t="s">
        <v>80</v>
      </c>
      <c r="E589" s="4">
        <v>46133</v>
      </c>
      <c r="F589" s="4">
        <v>46145</v>
      </c>
      <c r="G589" s="5">
        <v>14050</v>
      </c>
      <c r="H589" s="5">
        <v>11430.32</v>
      </c>
      <c r="I589" s="2" t="s">
        <v>37</v>
      </c>
      <c r="J589" s="2"/>
      <c r="K589" s="2" t="s">
        <v>56</v>
      </c>
    </row>
    <row r="590" spans="1:11" x14ac:dyDescent="0.25">
      <c r="A590" s="2" t="s">
        <v>1013</v>
      </c>
      <c r="B590" s="2" t="s">
        <v>308</v>
      </c>
      <c r="C590" s="2" t="s">
        <v>79</v>
      </c>
      <c r="D590" s="2" t="s">
        <v>30</v>
      </c>
      <c r="E590" s="4">
        <v>46175</v>
      </c>
      <c r="F590" s="4">
        <v>46183</v>
      </c>
      <c r="G590" s="5">
        <v>10900</v>
      </c>
      <c r="H590" s="5"/>
      <c r="I590" s="2" t="s">
        <v>42</v>
      </c>
      <c r="J590" s="2"/>
      <c r="K590" s="2" t="s">
        <v>56</v>
      </c>
    </row>
    <row r="591" spans="1:11" x14ac:dyDescent="0.25">
      <c r="A591" s="2" t="s">
        <v>1014</v>
      </c>
      <c r="B591" s="2" t="s">
        <v>1015</v>
      </c>
      <c r="C591" s="2" t="s">
        <v>79</v>
      </c>
      <c r="D591" s="2" t="s">
        <v>94</v>
      </c>
      <c r="E591" s="4">
        <v>46050</v>
      </c>
      <c r="F591" s="4">
        <v>46057</v>
      </c>
      <c r="G591" s="5">
        <v>13450</v>
      </c>
      <c r="H591" s="5">
        <v>12524.22</v>
      </c>
      <c r="I591" s="2" t="s">
        <v>37</v>
      </c>
      <c r="J591" s="2"/>
      <c r="K591" s="2" t="s">
        <v>33</v>
      </c>
    </row>
    <row r="592" spans="1:11" x14ac:dyDescent="0.25">
      <c r="A592" s="2" t="s">
        <v>1016</v>
      </c>
      <c r="B592" s="2" t="s">
        <v>316</v>
      </c>
      <c r="C592" s="2" t="s">
        <v>46</v>
      </c>
      <c r="D592" s="2" t="s">
        <v>68</v>
      </c>
      <c r="E592" s="4">
        <v>46123</v>
      </c>
      <c r="F592" s="4">
        <v>46140</v>
      </c>
      <c r="G592" s="5">
        <v>5700</v>
      </c>
      <c r="H592" s="5">
        <v>3709.99</v>
      </c>
      <c r="I592" s="2" t="s">
        <v>37</v>
      </c>
      <c r="J592" s="2"/>
      <c r="K592" s="2" t="s">
        <v>38</v>
      </c>
    </row>
    <row r="593" spans="1:11" x14ac:dyDescent="0.25">
      <c r="A593" s="2" t="s">
        <v>1017</v>
      </c>
      <c r="B593" s="2" t="s">
        <v>1018</v>
      </c>
      <c r="C593" s="2" t="s">
        <v>36</v>
      </c>
      <c r="D593" s="2" t="s">
        <v>71</v>
      </c>
      <c r="E593" s="4">
        <v>46081</v>
      </c>
      <c r="F593" s="4">
        <v>46087</v>
      </c>
      <c r="G593" s="5">
        <v>7150</v>
      </c>
      <c r="H593" s="5">
        <v>4284.91</v>
      </c>
      <c r="I593" s="2" t="s">
        <v>37</v>
      </c>
      <c r="J593" s="2"/>
      <c r="K593" s="2" t="s">
        <v>38</v>
      </c>
    </row>
    <row r="594" spans="1:11" x14ac:dyDescent="0.25">
      <c r="A594" s="2" t="s">
        <v>1019</v>
      </c>
      <c r="B594" s="2" t="s">
        <v>480</v>
      </c>
      <c r="C594" s="2" t="s">
        <v>29</v>
      </c>
      <c r="D594" s="2" t="s">
        <v>68</v>
      </c>
      <c r="E594" s="4">
        <v>46083</v>
      </c>
      <c r="F594" s="4">
        <v>46088</v>
      </c>
      <c r="G594" s="5">
        <v>13875</v>
      </c>
      <c r="H594" s="5">
        <v>13249.7</v>
      </c>
      <c r="I594" s="2" t="s">
        <v>37</v>
      </c>
      <c r="J594" s="2"/>
      <c r="K594" s="2" t="s">
        <v>38</v>
      </c>
    </row>
    <row r="595" spans="1:11" x14ac:dyDescent="0.25">
      <c r="A595" s="2" t="s">
        <v>1020</v>
      </c>
      <c r="B595" s="2" t="s">
        <v>631</v>
      </c>
      <c r="C595" s="2" t="s">
        <v>36</v>
      </c>
      <c r="D595" s="2" t="s">
        <v>309</v>
      </c>
      <c r="E595" s="4">
        <v>46180</v>
      </c>
      <c r="F595" s="4">
        <v>46194</v>
      </c>
      <c r="G595" s="5">
        <v>13150</v>
      </c>
      <c r="H595" s="5">
        <v>9405.8700000000008</v>
      </c>
      <c r="I595" s="2" t="s">
        <v>37</v>
      </c>
      <c r="J595" s="2"/>
      <c r="K595" s="2" t="s">
        <v>38</v>
      </c>
    </row>
    <row r="596" spans="1:11" x14ac:dyDescent="0.25">
      <c r="A596" s="2" t="s">
        <v>1021</v>
      </c>
      <c r="B596" s="2" t="s">
        <v>1022</v>
      </c>
      <c r="C596" s="2" t="s">
        <v>46</v>
      </c>
      <c r="D596" s="2" t="s">
        <v>80</v>
      </c>
      <c r="E596" s="4">
        <v>46252</v>
      </c>
      <c r="F596" s="4">
        <v>46269</v>
      </c>
      <c r="G596" s="5">
        <v>5950</v>
      </c>
      <c r="H596" s="5"/>
      <c r="I596" s="2" t="s">
        <v>42</v>
      </c>
      <c r="J596" s="2"/>
      <c r="K596" s="2" t="s">
        <v>65</v>
      </c>
    </row>
    <row r="597" spans="1:11" x14ac:dyDescent="0.25">
      <c r="A597" s="2" t="s">
        <v>1023</v>
      </c>
      <c r="B597" s="2" t="s">
        <v>987</v>
      </c>
      <c r="C597" s="2" t="s">
        <v>79</v>
      </c>
      <c r="D597" s="2" t="s">
        <v>61</v>
      </c>
      <c r="E597" s="4">
        <v>46147</v>
      </c>
      <c r="F597" s="4">
        <v>46152</v>
      </c>
      <c r="G597" s="5">
        <v>11900</v>
      </c>
      <c r="H597" s="5">
        <v>6691.64</v>
      </c>
      <c r="I597" s="2" t="s">
        <v>37</v>
      </c>
      <c r="J597" s="2"/>
      <c r="K597" s="2" t="s">
        <v>38</v>
      </c>
    </row>
    <row r="598" spans="1:11" x14ac:dyDescent="0.25">
      <c r="A598" s="2" t="s">
        <v>1024</v>
      </c>
      <c r="B598" s="2" t="s">
        <v>707</v>
      </c>
      <c r="C598" s="2" t="s">
        <v>79</v>
      </c>
      <c r="D598" s="2" t="s">
        <v>80</v>
      </c>
      <c r="E598" s="4">
        <v>46034</v>
      </c>
      <c r="F598" s="4">
        <v>46043</v>
      </c>
      <c r="G598" s="5">
        <v>6375</v>
      </c>
      <c r="H598" s="5"/>
      <c r="I598" s="2" t="s">
        <v>42</v>
      </c>
      <c r="J598" s="2"/>
      <c r="K598" s="2" t="s">
        <v>33</v>
      </c>
    </row>
    <row r="599" spans="1:11" x14ac:dyDescent="0.25">
      <c r="A599" s="2" t="s">
        <v>1025</v>
      </c>
      <c r="B599" s="2" t="s">
        <v>1026</v>
      </c>
      <c r="C599" s="2" t="s">
        <v>79</v>
      </c>
      <c r="D599" s="2" t="s">
        <v>80</v>
      </c>
      <c r="E599" s="4">
        <v>46021</v>
      </c>
      <c r="F599" s="4">
        <v>46028</v>
      </c>
      <c r="G599" s="5">
        <v>1200</v>
      </c>
      <c r="H599" s="5">
        <v>934.59</v>
      </c>
      <c r="I599" s="2" t="s">
        <v>37</v>
      </c>
      <c r="J599" s="2"/>
      <c r="K599" s="2" t="s">
        <v>48</v>
      </c>
    </row>
    <row r="600" spans="1:11" x14ac:dyDescent="0.25">
      <c r="A600" s="2" t="s">
        <v>1027</v>
      </c>
      <c r="B600" s="2" t="s">
        <v>634</v>
      </c>
      <c r="C600" s="2" t="s">
        <v>29</v>
      </c>
      <c r="D600" s="2" t="s">
        <v>61</v>
      </c>
      <c r="E600" s="4">
        <v>46027</v>
      </c>
      <c r="F600" s="4">
        <v>46031</v>
      </c>
      <c r="G600" s="5">
        <v>975</v>
      </c>
      <c r="H600" s="5"/>
      <c r="I600" s="2" t="s">
        <v>42</v>
      </c>
      <c r="J600" s="2"/>
      <c r="K600" s="2" t="s">
        <v>52</v>
      </c>
    </row>
    <row r="601" spans="1:11" x14ac:dyDescent="0.25">
      <c r="A601" s="2" t="s">
        <v>1028</v>
      </c>
      <c r="B601" s="2" t="s">
        <v>214</v>
      </c>
      <c r="C601" s="2" t="s">
        <v>29</v>
      </c>
      <c r="D601" s="2" t="s">
        <v>61</v>
      </c>
      <c r="E601" s="4">
        <v>46195</v>
      </c>
      <c r="F601" s="4">
        <v>46202</v>
      </c>
      <c r="G601" s="5">
        <v>650</v>
      </c>
      <c r="H601" s="5"/>
      <c r="I601" s="2" t="s">
        <v>42</v>
      </c>
      <c r="J601" s="2"/>
      <c r="K601" s="2" t="s">
        <v>33</v>
      </c>
    </row>
    <row r="602" spans="1:11" x14ac:dyDescent="0.25">
      <c r="A602" s="2" t="s">
        <v>1029</v>
      </c>
      <c r="B602" s="2" t="s">
        <v>1030</v>
      </c>
      <c r="C602" s="2" t="s">
        <v>46</v>
      </c>
      <c r="D602" s="2" t="s">
        <v>68</v>
      </c>
      <c r="E602" s="4">
        <v>46188</v>
      </c>
      <c r="F602" s="4">
        <v>46194</v>
      </c>
      <c r="G602" s="5">
        <v>7975</v>
      </c>
      <c r="H602" s="5">
        <v>5269.83</v>
      </c>
      <c r="I602" s="2" t="s">
        <v>37</v>
      </c>
      <c r="J602" s="2"/>
      <c r="K602" s="2" t="s">
        <v>52</v>
      </c>
    </row>
    <row r="603" spans="1:11" x14ac:dyDescent="0.25">
      <c r="A603" s="2" t="s">
        <v>1031</v>
      </c>
      <c r="B603" s="2" t="s">
        <v>1032</v>
      </c>
      <c r="C603" s="2" t="s">
        <v>79</v>
      </c>
      <c r="D603" s="2" t="s">
        <v>71</v>
      </c>
      <c r="E603" s="4">
        <v>46047</v>
      </c>
      <c r="F603" s="4">
        <v>46057</v>
      </c>
      <c r="G603" s="5">
        <v>13800</v>
      </c>
      <c r="H603" s="5">
        <v>10610.82</v>
      </c>
      <c r="I603" s="2" t="s">
        <v>37</v>
      </c>
      <c r="J603" s="2"/>
      <c r="K603" s="2" t="s">
        <v>83</v>
      </c>
    </row>
    <row r="604" spans="1:11" x14ac:dyDescent="0.25">
      <c r="A604" s="2" t="s">
        <v>1033</v>
      </c>
      <c r="B604" s="2" t="s">
        <v>1034</v>
      </c>
      <c r="C604" s="2" t="s">
        <v>46</v>
      </c>
      <c r="D604" s="2" t="s">
        <v>68</v>
      </c>
      <c r="E604" s="4">
        <v>46142</v>
      </c>
      <c r="F604" s="4">
        <v>46146</v>
      </c>
      <c r="G604" s="5">
        <v>675</v>
      </c>
      <c r="H604" s="5">
        <v>434.39</v>
      </c>
      <c r="I604" s="2" t="s">
        <v>37</v>
      </c>
      <c r="J604" s="2"/>
      <c r="K604" s="2" t="s">
        <v>56</v>
      </c>
    </row>
    <row r="605" spans="1:11" x14ac:dyDescent="0.25">
      <c r="A605" s="2" t="s">
        <v>1035</v>
      </c>
      <c r="B605" s="2" t="s">
        <v>1036</v>
      </c>
      <c r="C605" s="2" t="s">
        <v>36</v>
      </c>
      <c r="D605" s="2" t="s">
        <v>55</v>
      </c>
      <c r="E605" s="4">
        <v>46162</v>
      </c>
      <c r="F605" s="4">
        <v>46175</v>
      </c>
      <c r="G605" s="5">
        <v>14100</v>
      </c>
      <c r="H605" s="5">
        <v>13523.02</v>
      </c>
      <c r="I605" s="2" t="s">
        <v>37</v>
      </c>
      <c r="J605" s="2"/>
      <c r="K605" s="2" t="s">
        <v>43</v>
      </c>
    </row>
    <row r="606" spans="1:11" x14ac:dyDescent="0.25">
      <c r="A606" s="2" t="s">
        <v>1037</v>
      </c>
      <c r="B606" s="2" t="s">
        <v>201</v>
      </c>
      <c r="C606" s="2" t="s">
        <v>29</v>
      </c>
      <c r="D606" s="2" t="s">
        <v>80</v>
      </c>
      <c r="E606" s="4">
        <v>46098</v>
      </c>
      <c r="F606" s="4">
        <v>46112</v>
      </c>
      <c r="G606" s="5">
        <v>8500</v>
      </c>
      <c r="H606" s="5">
        <v>7099.71</v>
      </c>
      <c r="I606" s="2" t="s">
        <v>37</v>
      </c>
      <c r="J606" s="2"/>
      <c r="K606" s="2" t="s">
        <v>65</v>
      </c>
    </row>
    <row r="607" spans="1:11" x14ac:dyDescent="0.25">
      <c r="A607" s="2" t="s">
        <v>1038</v>
      </c>
      <c r="B607" s="2" t="s">
        <v>276</v>
      </c>
      <c r="C607" s="2" t="s">
        <v>29</v>
      </c>
      <c r="D607" s="2" t="s">
        <v>71</v>
      </c>
      <c r="E607" s="4">
        <v>46086</v>
      </c>
      <c r="F607" s="4">
        <v>46090</v>
      </c>
      <c r="G607" s="5">
        <v>7025</v>
      </c>
      <c r="H607" s="5">
        <v>0</v>
      </c>
      <c r="I607" s="2" t="s">
        <v>31</v>
      </c>
      <c r="J607" s="2" t="s">
        <v>116</v>
      </c>
      <c r="K607" s="2" t="s">
        <v>109</v>
      </c>
    </row>
    <row r="608" spans="1:11" x14ac:dyDescent="0.25">
      <c r="A608" s="2" t="s">
        <v>1039</v>
      </c>
      <c r="B608" s="2" t="s">
        <v>1040</v>
      </c>
      <c r="C608" s="2" t="s">
        <v>29</v>
      </c>
      <c r="D608" s="2" t="s">
        <v>55</v>
      </c>
      <c r="E608" s="4">
        <v>46068</v>
      </c>
      <c r="F608" s="4">
        <v>46087</v>
      </c>
      <c r="G608" s="5">
        <v>9950</v>
      </c>
      <c r="H608" s="5"/>
      <c r="I608" s="2" t="s">
        <v>42</v>
      </c>
      <c r="J608" s="2"/>
      <c r="K608" s="2" t="s">
        <v>62</v>
      </c>
    </row>
    <row r="609" spans="1:11" x14ac:dyDescent="0.25">
      <c r="A609" s="2" t="s">
        <v>1041</v>
      </c>
      <c r="B609" s="2" t="s">
        <v>1042</v>
      </c>
      <c r="C609" s="2" t="s">
        <v>46</v>
      </c>
      <c r="D609" s="2" t="s">
        <v>181</v>
      </c>
      <c r="E609" s="4">
        <v>46289</v>
      </c>
      <c r="F609" s="4">
        <v>46294</v>
      </c>
      <c r="G609" s="5">
        <v>7000</v>
      </c>
      <c r="H609" s="5"/>
      <c r="I609" s="2" t="s">
        <v>42</v>
      </c>
      <c r="J609" s="2"/>
      <c r="K609" s="2" t="s">
        <v>43</v>
      </c>
    </row>
    <row r="610" spans="1:11" x14ac:dyDescent="0.25">
      <c r="A610" s="2" t="s">
        <v>1043</v>
      </c>
      <c r="B610" s="2" t="s">
        <v>609</v>
      </c>
      <c r="C610" s="2" t="s">
        <v>29</v>
      </c>
      <c r="D610" s="2" t="s">
        <v>68</v>
      </c>
      <c r="E610" s="4">
        <v>46071</v>
      </c>
      <c r="F610" s="4">
        <v>46089</v>
      </c>
      <c r="G610" s="5">
        <v>9400</v>
      </c>
      <c r="H610" s="5">
        <v>9124.8700000000008</v>
      </c>
      <c r="I610" s="2" t="s">
        <v>37</v>
      </c>
      <c r="J610" s="2"/>
      <c r="K610" s="2" t="s">
        <v>52</v>
      </c>
    </row>
    <row r="611" spans="1:11" x14ac:dyDescent="0.25">
      <c r="A611" s="2" t="s">
        <v>1044</v>
      </c>
      <c r="B611" s="2" t="s">
        <v>751</v>
      </c>
      <c r="C611" s="2" t="s">
        <v>46</v>
      </c>
      <c r="D611" s="2" t="s">
        <v>41</v>
      </c>
      <c r="E611" s="4">
        <v>46200</v>
      </c>
      <c r="F611" s="4">
        <v>46210</v>
      </c>
      <c r="G611" s="5">
        <v>2025</v>
      </c>
      <c r="H611" s="5"/>
      <c r="I611" s="2" t="s">
        <v>42</v>
      </c>
      <c r="J611" s="2"/>
      <c r="K611" s="2" t="s">
        <v>56</v>
      </c>
    </row>
    <row r="612" spans="1:11" x14ac:dyDescent="0.25">
      <c r="A612" s="2" t="s">
        <v>1045</v>
      </c>
      <c r="B612" s="2" t="s">
        <v>659</v>
      </c>
      <c r="C612" s="2" t="s">
        <v>36</v>
      </c>
      <c r="D612" s="2" t="s">
        <v>41</v>
      </c>
      <c r="E612" s="4">
        <v>46055</v>
      </c>
      <c r="F612" s="4">
        <v>46067</v>
      </c>
      <c r="G612" s="5">
        <v>7025</v>
      </c>
      <c r="H612" s="5">
        <v>5249.12</v>
      </c>
      <c r="I612" s="2" t="s">
        <v>37</v>
      </c>
      <c r="J612" s="2"/>
      <c r="K612" s="2" t="s">
        <v>38</v>
      </c>
    </row>
    <row r="613" spans="1:11" x14ac:dyDescent="0.25">
      <c r="A613" s="2" t="s">
        <v>1046</v>
      </c>
      <c r="B613" s="2" t="s">
        <v>276</v>
      </c>
      <c r="C613" s="2" t="s">
        <v>36</v>
      </c>
      <c r="D613" s="2" t="s">
        <v>61</v>
      </c>
      <c r="E613" s="4">
        <v>46200</v>
      </c>
      <c r="F613" s="4">
        <v>46217</v>
      </c>
      <c r="G613" s="5">
        <v>8425</v>
      </c>
      <c r="H613" s="5">
        <v>0</v>
      </c>
      <c r="I613" s="2" t="s">
        <v>31</v>
      </c>
      <c r="J613" s="2" t="s">
        <v>32</v>
      </c>
      <c r="K613" s="2" t="s">
        <v>567</v>
      </c>
    </row>
    <row r="614" spans="1:11" x14ac:dyDescent="0.25">
      <c r="A614" s="2" t="s">
        <v>1047</v>
      </c>
      <c r="B614" s="2" t="s">
        <v>362</v>
      </c>
      <c r="C614" s="2" t="s">
        <v>36</v>
      </c>
      <c r="D614" s="2" t="s">
        <v>94</v>
      </c>
      <c r="E614" s="4">
        <v>46119</v>
      </c>
      <c r="F614" s="4">
        <v>46132</v>
      </c>
      <c r="G614" s="5">
        <v>10500</v>
      </c>
      <c r="H614" s="5">
        <v>7700.5</v>
      </c>
      <c r="I614" s="2" t="s">
        <v>394</v>
      </c>
      <c r="J614" s="2"/>
      <c r="K614" s="2" t="s">
        <v>33</v>
      </c>
    </row>
    <row r="615" spans="1:11" x14ac:dyDescent="0.25">
      <c r="A615" s="2" t="s">
        <v>1048</v>
      </c>
      <c r="B615" s="2" t="s">
        <v>436</v>
      </c>
      <c r="C615" s="2" t="s">
        <v>79</v>
      </c>
      <c r="D615" s="2" t="s">
        <v>61</v>
      </c>
      <c r="E615" s="4">
        <v>46207</v>
      </c>
      <c r="F615" s="4">
        <v>46213</v>
      </c>
      <c r="G615" s="5">
        <v>6525</v>
      </c>
      <c r="H615" s="5"/>
      <c r="I615" s="2" t="s">
        <v>42</v>
      </c>
      <c r="J615" s="2"/>
      <c r="K615" s="2" t="s">
        <v>48</v>
      </c>
    </row>
    <row r="616" spans="1:11" x14ac:dyDescent="0.25">
      <c r="A616" s="2" t="s">
        <v>1049</v>
      </c>
      <c r="B616" s="2" t="s">
        <v>681</v>
      </c>
      <c r="C616" s="2" t="s">
        <v>29</v>
      </c>
      <c r="D616" s="2" t="s">
        <v>41</v>
      </c>
      <c r="E616" s="4">
        <v>46072</v>
      </c>
      <c r="F616" s="4">
        <v>46088</v>
      </c>
      <c r="G616" s="5">
        <v>4325</v>
      </c>
      <c r="H616" s="5">
        <v>3032.55</v>
      </c>
      <c r="I616" s="2" t="s">
        <v>37</v>
      </c>
      <c r="J616" s="2"/>
      <c r="K616" s="2" t="s">
        <v>43</v>
      </c>
    </row>
    <row r="617" spans="1:11" x14ac:dyDescent="0.25">
      <c r="A617" s="2" t="s">
        <v>1050</v>
      </c>
      <c r="B617" s="2" t="s">
        <v>1051</v>
      </c>
      <c r="C617" s="2" t="s">
        <v>46</v>
      </c>
      <c r="D617" s="2" t="s">
        <v>80</v>
      </c>
      <c r="E617" s="4">
        <v>46222</v>
      </c>
      <c r="F617" s="4">
        <v>46233</v>
      </c>
      <c r="G617" s="5">
        <v>1700</v>
      </c>
      <c r="H617" s="5"/>
      <c r="I617" s="2" t="s">
        <v>42</v>
      </c>
      <c r="J617" s="2"/>
      <c r="K617" s="2" t="s">
        <v>48</v>
      </c>
    </row>
    <row r="618" spans="1:11" x14ac:dyDescent="0.25">
      <c r="A618" s="2" t="s">
        <v>1052</v>
      </c>
      <c r="B618" s="2" t="s">
        <v>594</v>
      </c>
      <c r="C618" s="2" t="s">
        <v>46</v>
      </c>
      <c r="D618" s="2" t="s">
        <v>30</v>
      </c>
      <c r="E618" s="4">
        <v>46232</v>
      </c>
      <c r="F618" s="4">
        <v>46244</v>
      </c>
      <c r="G618" s="5">
        <v>13225</v>
      </c>
      <c r="H618" s="5"/>
      <c r="I618" s="2" t="s">
        <v>42</v>
      </c>
      <c r="J618" s="2"/>
      <c r="K618" s="2" t="s">
        <v>52</v>
      </c>
    </row>
    <row r="619" spans="1:11" x14ac:dyDescent="0.25">
      <c r="A619" s="2" t="s">
        <v>1053</v>
      </c>
      <c r="B619" s="2" t="s">
        <v>1054</v>
      </c>
      <c r="C619" s="2" t="s">
        <v>29</v>
      </c>
      <c r="D619" s="2" t="s">
        <v>68</v>
      </c>
      <c r="E619" s="4">
        <v>46134</v>
      </c>
      <c r="F619" s="4">
        <v>46148</v>
      </c>
      <c r="G619" s="5">
        <v>13750</v>
      </c>
      <c r="H619" s="5">
        <v>11031.67</v>
      </c>
      <c r="I619" s="2" t="s">
        <v>37</v>
      </c>
      <c r="J619" s="2"/>
      <c r="K619" s="2" t="s">
        <v>38</v>
      </c>
    </row>
    <row r="620" spans="1:11" x14ac:dyDescent="0.25">
      <c r="A620" s="2" t="s">
        <v>1055</v>
      </c>
      <c r="B620" s="2" t="s">
        <v>398</v>
      </c>
      <c r="C620" s="2" t="s">
        <v>36</v>
      </c>
      <c r="D620" s="2" t="s">
        <v>41</v>
      </c>
      <c r="E620" s="4">
        <v>46288</v>
      </c>
      <c r="F620" s="4">
        <v>46299</v>
      </c>
      <c r="G620" s="5">
        <v>5625</v>
      </c>
      <c r="H620" s="5"/>
      <c r="I620" s="2" t="s">
        <v>42</v>
      </c>
      <c r="J620" s="2"/>
      <c r="K620" s="2" t="s">
        <v>109</v>
      </c>
    </row>
    <row r="621" spans="1:11" x14ac:dyDescent="0.25">
      <c r="A621" s="2" t="s">
        <v>1056</v>
      </c>
      <c r="B621" s="2" t="s">
        <v>178</v>
      </c>
      <c r="C621" s="2" t="s">
        <v>29</v>
      </c>
      <c r="D621" s="2" t="s">
        <v>94</v>
      </c>
      <c r="E621" s="4">
        <v>46250</v>
      </c>
      <c r="F621" s="4">
        <v>46262</v>
      </c>
      <c r="G621" s="5">
        <v>7150</v>
      </c>
      <c r="H621" s="5"/>
      <c r="I621" s="2" t="s">
        <v>42</v>
      </c>
      <c r="J621" s="2"/>
      <c r="K621" s="2" t="s">
        <v>52</v>
      </c>
    </row>
    <row r="622" spans="1:11" x14ac:dyDescent="0.25">
      <c r="A622" s="2" t="s">
        <v>1057</v>
      </c>
      <c r="B622" s="2" t="s">
        <v>1058</v>
      </c>
      <c r="C622" s="2" t="s">
        <v>46</v>
      </c>
      <c r="D622" s="2" t="s">
        <v>94</v>
      </c>
      <c r="E622" s="4">
        <v>46193</v>
      </c>
      <c r="F622" s="4">
        <v>46198</v>
      </c>
      <c r="G622" s="5">
        <v>8725</v>
      </c>
      <c r="H622" s="5">
        <v>8487.49</v>
      </c>
      <c r="I622" s="2" t="s">
        <v>37</v>
      </c>
      <c r="J622" s="2"/>
      <c r="K622" s="2" t="s">
        <v>56</v>
      </c>
    </row>
    <row r="623" spans="1:11" x14ac:dyDescent="0.25">
      <c r="A623" s="2" t="s">
        <v>1059</v>
      </c>
      <c r="B623" s="2" t="s">
        <v>647</v>
      </c>
      <c r="C623" s="2" t="s">
        <v>79</v>
      </c>
      <c r="D623" s="2" t="s">
        <v>94</v>
      </c>
      <c r="E623" s="4">
        <v>46054</v>
      </c>
      <c r="F623" s="4">
        <v>46063</v>
      </c>
      <c r="G623" s="5">
        <v>13800</v>
      </c>
      <c r="H623" s="5">
        <v>13264.04</v>
      </c>
      <c r="I623" s="2" t="s">
        <v>37</v>
      </c>
      <c r="J623" s="2"/>
      <c r="K623" s="2" t="s">
        <v>33</v>
      </c>
    </row>
    <row r="624" spans="1:11" x14ac:dyDescent="0.25">
      <c r="A624" s="2" t="s">
        <v>1060</v>
      </c>
      <c r="B624" s="2" t="s">
        <v>1058</v>
      </c>
      <c r="C624" s="2" t="s">
        <v>36</v>
      </c>
      <c r="D624" s="2" t="s">
        <v>71</v>
      </c>
      <c r="E624" s="4">
        <v>46163</v>
      </c>
      <c r="F624" s="4">
        <v>46173</v>
      </c>
      <c r="G624" s="5">
        <v>9650</v>
      </c>
      <c r="H624" s="5">
        <v>5433.67</v>
      </c>
      <c r="I624" s="2" t="s">
        <v>37</v>
      </c>
      <c r="J624" s="2"/>
      <c r="K624" s="2" t="s">
        <v>38</v>
      </c>
    </row>
    <row r="625" spans="1:11" x14ac:dyDescent="0.25">
      <c r="A625" s="2" t="s">
        <v>1061</v>
      </c>
      <c r="B625" s="2" t="s">
        <v>318</v>
      </c>
      <c r="C625" s="2" t="s">
        <v>46</v>
      </c>
      <c r="D625" s="2" t="s">
        <v>94</v>
      </c>
      <c r="E625" s="4">
        <v>46145</v>
      </c>
      <c r="F625" s="4">
        <v>46165</v>
      </c>
      <c r="G625" s="5">
        <v>3475</v>
      </c>
      <c r="H625" s="5">
        <v>2520.79</v>
      </c>
      <c r="I625" s="2" t="s">
        <v>37</v>
      </c>
      <c r="J625" s="2"/>
      <c r="K625" s="2" t="s">
        <v>52</v>
      </c>
    </row>
    <row r="626" spans="1:11" x14ac:dyDescent="0.25">
      <c r="A626" s="2" t="s">
        <v>1062</v>
      </c>
      <c r="B626" s="2" t="s">
        <v>187</v>
      </c>
      <c r="C626" s="2" t="s">
        <v>79</v>
      </c>
      <c r="D626" s="2" t="s">
        <v>80</v>
      </c>
      <c r="E626" s="4">
        <v>46049</v>
      </c>
      <c r="F626" s="4">
        <v>46067</v>
      </c>
      <c r="G626" s="5">
        <v>3275</v>
      </c>
      <c r="H626" s="5"/>
      <c r="I626" s="2" t="s">
        <v>42</v>
      </c>
      <c r="J626" s="2"/>
      <c r="K626" s="2" t="s">
        <v>43</v>
      </c>
    </row>
    <row r="627" spans="1:11" x14ac:dyDescent="0.25">
      <c r="A627" s="2" t="s">
        <v>1063</v>
      </c>
      <c r="B627" s="2" t="s">
        <v>239</v>
      </c>
      <c r="C627" s="2" t="s">
        <v>36</v>
      </c>
      <c r="D627" s="2" t="s">
        <v>181</v>
      </c>
      <c r="E627" s="4">
        <v>46280</v>
      </c>
      <c r="F627" s="4">
        <v>46284</v>
      </c>
      <c r="G627" s="5">
        <v>725</v>
      </c>
      <c r="H627" s="5"/>
      <c r="I627" s="2" t="s">
        <v>42</v>
      </c>
      <c r="J627" s="2"/>
      <c r="K627" s="2" t="s">
        <v>65</v>
      </c>
    </row>
    <row r="628" spans="1:11" x14ac:dyDescent="0.25">
      <c r="A628" s="2" t="s">
        <v>1064</v>
      </c>
      <c r="B628" s="2" t="s">
        <v>1065</v>
      </c>
      <c r="C628" s="2" t="s">
        <v>36</v>
      </c>
      <c r="D628" s="2" t="s">
        <v>41</v>
      </c>
      <c r="E628" s="4">
        <v>46080</v>
      </c>
      <c r="F628" s="4">
        <v>46084</v>
      </c>
      <c r="G628" s="5">
        <v>9125</v>
      </c>
      <c r="H628" s="5">
        <v>7221.98</v>
      </c>
      <c r="I628" s="2" t="s">
        <v>37</v>
      </c>
      <c r="J628" s="2"/>
      <c r="K628" s="2" t="s">
        <v>43</v>
      </c>
    </row>
    <row r="629" spans="1:11" x14ac:dyDescent="0.25">
      <c r="A629" s="2" t="s">
        <v>1066</v>
      </c>
      <c r="B629" s="2" t="s">
        <v>991</v>
      </c>
      <c r="C629" s="2" t="s">
        <v>29</v>
      </c>
      <c r="D629" s="2" t="s">
        <v>71</v>
      </c>
      <c r="E629" s="4">
        <v>46072</v>
      </c>
      <c r="F629" s="4">
        <v>46092</v>
      </c>
      <c r="G629" s="5">
        <v>5450</v>
      </c>
      <c r="H629" s="5">
        <v>4820.99</v>
      </c>
      <c r="I629" s="2" t="s">
        <v>37</v>
      </c>
      <c r="J629" s="2"/>
      <c r="K629" s="2" t="s">
        <v>83</v>
      </c>
    </row>
    <row r="630" spans="1:11" x14ac:dyDescent="0.25">
      <c r="A630" s="2" t="s">
        <v>1067</v>
      </c>
      <c r="B630" s="2" t="s">
        <v>1068</v>
      </c>
      <c r="C630" s="2" t="s">
        <v>36</v>
      </c>
      <c r="D630" s="2" t="s">
        <v>71</v>
      </c>
      <c r="E630" s="4">
        <v>46180</v>
      </c>
      <c r="F630" s="4">
        <v>46185</v>
      </c>
      <c r="G630" s="5">
        <v>14625</v>
      </c>
      <c r="H630" s="5"/>
      <c r="I630" s="2" t="s">
        <v>42</v>
      </c>
      <c r="J630" s="2"/>
      <c r="K630" s="2" t="s">
        <v>109</v>
      </c>
    </row>
    <row r="631" spans="1:11" x14ac:dyDescent="0.25">
      <c r="A631" s="2" t="s">
        <v>1069</v>
      </c>
      <c r="B631" s="2" t="s">
        <v>104</v>
      </c>
      <c r="C631" s="2" t="s">
        <v>36</v>
      </c>
      <c r="D631" s="2" t="s">
        <v>41</v>
      </c>
      <c r="E631" s="4">
        <v>46024</v>
      </c>
      <c r="F631" s="4">
        <v>46040</v>
      </c>
      <c r="G631" s="5">
        <v>14950</v>
      </c>
      <c r="H631" s="5"/>
      <c r="I631" s="2" t="s">
        <v>42</v>
      </c>
      <c r="J631" s="2"/>
      <c r="K631" s="2" t="s">
        <v>65</v>
      </c>
    </row>
    <row r="632" spans="1:11" x14ac:dyDescent="0.25">
      <c r="A632" s="2" t="s">
        <v>1070</v>
      </c>
      <c r="B632" s="2" t="s">
        <v>1071</v>
      </c>
      <c r="C632" s="2" t="s">
        <v>79</v>
      </c>
      <c r="D632" s="2" t="s">
        <v>80</v>
      </c>
      <c r="E632" s="4">
        <v>46155</v>
      </c>
      <c r="F632" s="4">
        <v>46173</v>
      </c>
      <c r="G632" s="5">
        <v>12475</v>
      </c>
      <c r="H632" s="5"/>
      <c r="I632" s="2" t="s">
        <v>42</v>
      </c>
      <c r="J632" s="2"/>
      <c r="K632" s="2" t="s">
        <v>56</v>
      </c>
    </row>
    <row r="633" spans="1:11" x14ac:dyDescent="0.25">
      <c r="A633" s="2" t="s">
        <v>1072</v>
      </c>
      <c r="B633" s="2" t="s">
        <v>45</v>
      </c>
      <c r="C633" s="2" t="s">
        <v>46</v>
      </c>
      <c r="D633" s="2" t="s">
        <v>41</v>
      </c>
      <c r="E633" s="4">
        <v>46244</v>
      </c>
      <c r="F633" s="4">
        <v>46249</v>
      </c>
      <c r="G633" s="5">
        <v>11350</v>
      </c>
      <c r="H633" s="5">
        <v>6815.92</v>
      </c>
      <c r="I633" s="2" t="s">
        <v>37</v>
      </c>
      <c r="J633" s="2"/>
      <c r="K633" s="2" t="s">
        <v>33</v>
      </c>
    </row>
    <row r="634" spans="1:11" x14ac:dyDescent="0.25">
      <c r="A634" s="2" t="s">
        <v>1073</v>
      </c>
      <c r="B634" s="2" t="s">
        <v>1074</v>
      </c>
      <c r="C634" s="2" t="s">
        <v>29</v>
      </c>
      <c r="D634" s="2" t="s">
        <v>71</v>
      </c>
      <c r="E634" s="4">
        <v>46038</v>
      </c>
      <c r="F634" s="4">
        <v>46044</v>
      </c>
      <c r="G634" s="5">
        <v>7625</v>
      </c>
      <c r="H634" s="5"/>
      <c r="I634" s="2" t="s">
        <v>42</v>
      </c>
      <c r="J634" s="2"/>
      <c r="K634" s="2" t="s">
        <v>83</v>
      </c>
    </row>
    <row r="635" spans="1:11" x14ac:dyDescent="0.25">
      <c r="A635" s="2" t="s">
        <v>1075</v>
      </c>
      <c r="B635" s="2" t="s">
        <v>1076</v>
      </c>
      <c r="C635" s="2" t="s">
        <v>46</v>
      </c>
      <c r="D635" s="2" t="s">
        <v>41</v>
      </c>
      <c r="E635" s="4">
        <v>46276</v>
      </c>
      <c r="F635" s="4">
        <v>46294</v>
      </c>
      <c r="G635" s="5">
        <v>13600</v>
      </c>
      <c r="H635" s="5"/>
      <c r="I635" s="2" t="s">
        <v>42</v>
      </c>
      <c r="J635" s="2"/>
      <c r="K635" s="2" t="s">
        <v>56</v>
      </c>
    </row>
    <row r="636" spans="1:11" x14ac:dyDescent="0.25">
      <c r="A636" s="2" t="s">
        <v>1077</v>
      </c>
      <c r="B636" s="2" t="s">
        <v>1071</v>
      </c>
      <c r="C636" s="2" t="s">
        <v>46</v>
      </c>
      <c r="D636" s="2" t="s">
        <v>41</v>
      </c>
      <c r="E636" s="4">
        <v>46139</v>
      </c>
      <c r="F636" s="4">
        <v>46148</v>
      </c>
      <c r="G636" s="5">
        <v>5050</v>
      </c>
      <c r="H636" s="5"/>
      <c r="I636" s="2" t="s">
        <v>42</v>
      </c>
      <c r="J636" s="2"/>
      <c r="K636" s="2" t="s">
        <v>33</v>
      </c>
    </row>
    <row r="637" spans="1:11" x14ac:dyDescent="0.25">
      <c r="A637" s="2" t="s">
        <v>1078</v>
      </c>
      <c r="B637" s="2" t="s">
        <v>345</v>
      </c>
      <c r="C637" s="2" t="s">
        <v>29</v>
      </c>
      <c r="D637" s="2" t="s">
        <v>80</v>
      </c>
      <c r="E637" s="4">
        <v>46206</v>
      </c>
      <c r="F637" s="4">
        <v>46214</v>
      </c>
      <c r="G637" s="5">
        <v>12525</v>
      </c>
      <c r="H637" s="5"/>
      <c r="I637" s="2" t="s">
        <v>42</v>
      </c>
      <c r="J637" s="2"/>
      <c r="K637" s="2" t="s">
        <v>56</v>
      </c>
    </row>
    <row r="638" spans="1:11" x14ac:dyDescent="0.25">
      <c r="A638" s="2" t="s">
        <v>1079</v>
      </c>
      <c r="B638" s="2" t="s">
        <v>147</v>
      </c>
      <c r="C638" s="2" t="s">
        <v>79</v>
      </c>
      <c r="D638" s="2" t="s">
        <v>94</v>
      </c>
      <c r="E638" s="4">
        <v>46068</v>
      </c>
      <c r="F638" s="4">
        <v>46084</v>
      </c>
      <c r="G638" s="5">
        <v>13950</v>
      </c>
      <c r="H638" s="5">
        <v>0</v>
      </c>
      <c r="I638" s="2" t="s">
        <v>31</v>
      </c>
      <c r="J638" s="2" t="s">
        <v>47</v>
      </c>
      <c r="K638" s="2" t="s">
        <v>48</v>
      </c>
    </row>
    <row r="639" spans="1:11" x14ac:dyDescent="0.25">
      <c r="A639" s="2" t="s">
        <v>1080</v>
      </c>
      <c r="B639" s="2" t="s">
        <v>360</v>
      </c>
      <c r="C639" s="2" t="s">
        <v>29</v>
      </c>
      <c r="D639" s="2" t="s">
        <v>30</v>
      </c>
      <c r="E639" s="4">
        <v>46182</v>
      </c>
      <c r="F639" s="4">
        <v>46186</v>
      </c>
      <c r="G639" s="5">
        <v>1775</v>
      </c>
      <c r="H639" s="5">
        <v>1734.94</v>
      </c>
      <c r="I639" s="2" t="s">
        <v>299</v>
      </c>
      <c r="J639" s="2"/>
      <c r="K639" s="2" t="s">
        <v>38</v>
      </c>
    </row>
    <row r="640" spans="1:11" x14ac:dyDescent="0.25">
      <c r="A640" s="2" t="s">
        <v>1081</v>
      </c>
      <c r="B640" s="2" t="s">
        <v>525</v>
      </c>
      <c r="C640" s="2" t="s">
        <v>36</v>
      </c>
      <c r="D640" s="2" t="s">
        <v>61</v>
      </c>
      <c r="E640" s="4">
        <v>46036</v>
      </c>
      <c r="F640" s="4">
        <v>46056</v>
      </c>
      <c r="G640" s="5">
        <v>12525</v>
      </c>
      <c r="H640" s="5">
        <v>7090.02</v>
      </c>
      <c r="I640" s="2" t="s">
        <v>37</v>
      </c>
      <c r="J640" s="2"/>
      <c r="K640" s="2" t="s">
        <v>33</v>
      </c>
    </row>
    <row r="641" spans="1:11" x14ac:dyDescent="0.25">
      <c r="A641" s="2" t="s">
        <v>1082</v>
      </c>
      <c r="B641" s="2" t="s">
        <v>1083</v>
      </c>
      <c r="C641" s="2" t="s">
        <v>79</v>
      </c>
      <c r="D641" s="2" t="s">
        <v>61</v>
      </c>
      <c r="E641" s="4">
        <v>46020</v>
      </c>
      <c r="F641" s="4">
        <v>46034</v>
      </c>
      <c r="G641" s="5">
        <v>850</v>
      </c>
      <c r="H641" s="5">
        <v>704.94</v>
      </c>
      <c r="I641" s="2" t="s">
        <v>37</v>
      </c>
      <c r="J641" s="2"/>
      <c r="K641" s="2" t="s">
        <v>109</v>
      </c>
    </row>
    <row r="642" spans="1:11" x14ac:dyDescent="0.25">
      <c r="A642" s="2" t="s">
        <v>1084</v>
      </c>
      <c r="B642" s="2" t="s">
        <v>1085</v>
      </c>
      <c r="C642" s="2" t="s">
        <v>29</v>
      </c>
      <c r="D642" s="2" t="s">
        <v>61</v>
      </c>
      <c r="E642" s="4">
        <v>46189</v>
      </c>
      <c r="F642" s="4">
        <v>46205</v>
      </c>
      <c r="G642" s="5">
        <v>11300</v>
      </c>
      <c r="H642" s="5">
        <v>8603.68</v>
      </c>
      <c r="I642" s="2" t="s">
        <v>37</v>
      </c>
      <c r="J642" s="2"/>
      <c r="K642" s="2" t="s">
        <v>65</v>
      </c>
    </row>
    <row r="643" spans="1:11" x14ac:dyDescent="0.25">
      <c r="A643" s="2" t="s">
        <v>1086</v>
      </c>
      <c r="B643" s="2" t="s">
        <v>1087</v>
      </c>
      <c r="C643" s="2" t="s">
        <v>79</v>
      </c>
      <c r="D643" s="2" t="s">
        <v>309</v>
      </c>
      <c r="E643" s="4">
        <v>46170</v>
      </c>
      <c r="F643" s="4">
        <v>46185</v>
      </c>
      <c r="G643" s="5">
        <v>13600</v>
      </c>
      <c r="H643" s="5">
        <v>9858.69</v>
      </c>
      <c r="I643" s="2" t="s">
        <v>37</v>
      </c>
      <c r="J643" s="2"/>
      <c r="K643" s="2" t="s">
        <v>43</v>
      </c>
    </row>
    <row r="644" spans="1:11" x14ac:dyDescent="0.25">
      <c r="A644" s="2" t="s">
        <v>1088</v>
      </c>
      <c r="B644" s="2" t="s">
        <v>108</v>
      </c>
      <c r="C644" s="2" t="s">
        <v>79</v>
      </c>
      <c r="D644" s="2"/>
      <c r="E644" s="4">
        <v>46203</v>
      </c>
      <c r="F644" s="4">
        <v>46221</v>
      </c>
      <c r="G644" s="5">
        <v>11925</v>
      </c>
      <c r="H644" s="5"/>
      <c r="I644" s="2" t="s">
        <v>42</v>
      </c>
      <c r="J644" s="2"/>
      <c r="K644" s="2" t="s">
        <v>83</v>
      </c>
    </row>
    <row r="645" spans="1:11" x14ac:dyDescent="0.25">
      <c r="A645" s="2" t="s">
        <v>1089</v>
      </c>
      <c r="B645" s="2" t="s">
        <v>471</v>
      </c>
      <c r="C645" s="2" t="s">
        <v>79</v>
      </c>
      <c r="D645" s="2" t="s">
        <v>80</v>
      </c>
      <c r="E645" s="4">
        <v>46271</v>
      </c>
      <c r="F645" s="4">
        <v>46279</v>
      </c>
      <c r="G645" s="5">
        <v>14825</v>
      </c>
      <c r="H645" s="5">
        <v>12043.87</v>
      </c>
      <c r="I645" s="2" t="s">
        <v>37</v>
      </c>
      <c r="J645" s="2"/>
      <c r="K645" s="2" t="s">
        <v>56</v>
      </c>
    </row>
    <row r="646" spans="1:11" x14ac:dyDescent="0.25">
      <c r="A646" s="2" t="s">
        <v>1090</v>
      </c>
      <c r="B646" s="2" t="s">
        <v>771</v>
      </c>
      <c r="C646" s="2" t="s">
        <v>79</v>
      </c>
      <c r="D646" s="2" t="s">
        <v>30</v>
      </c>
      <c r="E646" s="4">
        <v>46136</v>
      </c>
      <c r="F646" s="4">
        <v>46154</v>
      </c>
      <c r="G646" s="5">
        <v>6975</v>
      </c>
      <c r="H646" s="5">
        <v>0</v>
      </c>
      <c r="I646" s="2" t="s">
        <v>31</v>
      </c>
      <c r="J646" s="2" t="s">
        <v>271</v>
      </c>
      <c r="K646" s="2" t="s">
        <v>33</v>
      </c>
    </row>
    <row r="647" spans="1:11" x14ac:dyDescent="0.25">
      <c r="A647" s="2" t="s">
        <v>1091</v>
      </c>
      <c r="B647" s="2" t="s">
        <v>1092</v>
      </c>
      <c r="C647" s="2" t="s">
        <v>29</v>
      </c>
      <c r="D647" s="2" t="s">
        <v>71</v>
      </c>
      <c r="E647" s="4">
        <v>46241</v>
      </c>
      <c r="F647" s="4">
        <v>46255</v>
      </c>
      <c r="G647" s="5">
        <v>11975</v>
      </c>
      <c r="H647" s="5">
        <v>9016.16</v>
      </c>
      <c r="I647" s="2" t="s">
        <v>37</v>
      </c>
      <c r="J647" s="2"/>
      <c r="K647" s="2" t="s">
        <v>83</v>
      </c>
    </row>
    <row r="648" spans="1:11" x14ac:dyDescent="0.25">
      <c r="A648" s="2" t="s">
        <v>1093</v>
      </c>
      <c r="B648" s="2" t="s">
        <v>197</v>
      </c>
      <c r="C648" s="2" t="s">
        <v>29</v>
      </c>
      <c r="D648" s="2" t="s">
        <v>94</v>
      </c>
      <c r="E648" s="4">
        <v>46061</v>
      </c>
      <c r="F648" s="4">
        <v>46069</v>
      </c>
      <c r="G648" s="5">
        <v>8950</v>
      </c>
      <c r="H648" s="5">
        <v>7000.29</v>
      </c>
      <c r="I648" s="2" t="s">
        <v>37</v>
      </c>
      <c r="J648" s="2"/>
      <c r="K648" s="2" t="s">
        <v>83</v>
      </c>
    </row>
    <row r="649" spans="1:11" x14ac:dyDescent="0.25">
      <c r="A649" s="2" t="s">
        <v>1094</v>
      </c>
      <c r="B649" s="2" t="s">
        <v>1030</v>
      </c>
      <c r="C649" s="2" t="s">
        <v>29</v>
      </c>
      <c r="D649" s="2" t="s">
        <v>68</v>
      </c>
      <c r="E649" s="4">
        <v>46148</v>
      </c>
      <c r="F649" s="4">
        <v>46151</v>
      </c>
      <c r="G649" s="5">
        <v>1525</v>
      </c>
      <c r="H649" s="5">
        <v>1413.62</v>
      </c>
      <c r="I649" s="2" t="s">
        <v>37</v>
      </c>
      <c r="J649" s="2"/>
      <c r="K649" s="2" t="s">
        <v>83</v>
      </c>
    </row>
    <row r="650" spans="1:11" x14ac:dyDescent="0.25">
      <c r="A650" s="2" t="s">
        <v>1095</v>
      </c>
      <c r="B650" s="2" t="s">
        <v>743</v>
      </c>
      <c r="C650" s="2" t="s">
        <v>29</v>
      </c>
      <c r="D650" s="2" t="s">
        <v>30</v>
      </c>
      <c r="E650" s="4">
        <v>46183</v>
      </c>
      <c r="F650" s="4">
        <v>46202</v>
      </c>
      <c r="G650" s="5">
        <v>3775</v>
      </c>
      <c r="H650" s="5">
        <v>2410.6799999999998</v>
      </c>
      <c r="I650" s="2" t="s">
        <v>37</v>
      </c>
      <c r="J650" s="2"/>
      <c r="K650" s="2" t="s">
        <v>62</v>
      </c>
    </row>
    <row r="651" spans="1:11" x14ac:dyDescent="0.25">
      <c r="A651" s="2" t="s">
        <v>1096</v>
      </c>
      <c r="B651" s="2" t="s">
        <v>812</v>
      </c>
      <c r="C651" s="2" t="s">
        <v>46</v>
      </c>
      <c r="D651" s="2" t="s">
        <v>30</v>
      </c>
      <c r="E651" s="4">
        <v>46003</v>
      </c>
      <c r="F651" s="4">
        <v>46023</v>
      </c>
      <c r="G651" s="5">
        <v>14275</v>
      </c>
      <c r="H651" s="5">
        <v>9667.18</v>
      </c>
      <c r="I651" s="2" t="s">
        <v>37</v>
      </c>
      <c r="J651" s="2"/>
      <c r="K651" s="2" t="s">
        <v>33</v>
      </c>
    </row>
    <row r="652" spans="1:11" x14ac:dyDescent="0.25">
      <c r="A652" s="2" t="s">
        <v>1097</v>
      </c>
      <c r="B652" s="2" t="s">
        <v>358</v>
      </c>
      <c r="C652" s="2" t="s">
        <v>79</v>
      </c>
      <c r="D652" s="2" t="s">
        <v>61</v>
      </c>
      <c r="E652" s="4">
        <v>46243</v>
      </c>
      <c r="F652" s="4">
        <v>46260</v>
      </c>
      <c r="G652" s="5">
        <v>775</v>
      </c>
      <c r="H652" s="5">
        <v>619.51</v>
      </c>
      <c r="I652" s="2" t="s">
        <v>37</v>
      </c>
      <c r="J652" s="2"/>
      <c r="K652" s="2" t="s">
        <v>38</v>
      </c>
    </row>
    <row r="653" spans="1:11" x14ac:dyDescent="0.25">
      <c r="A653" s="2" t="s">
        <v>1098</v>
      </c>
      <c r="B653" s="2" t="s">
        <v>1099</v>
      </c>
      <c r="C653" s="2" t="s">
        <v>46</v>
      </c>
      <c r="D653" s="2" t="s">
        <v>94</v>
      </c>
      <c r="E653" s="4">
        <v>46295</v>
      </c>
      <c r="F653" s="4">
        <v>46298</v>
      </c>
      <c r="G653" s="5">
        <v>10375</v>
      </c>
      <c r="H653" s="5"/>
      <c r="I653" s="2" t="s">
        <v>42</v>
      </c>
      <c r="J653" s="2"/>
      <c r="K653" s="2" t="s">
        <v>48</v>
      </c>
    </row>
    <row r="654" spans="1:11" x14ac:dyDescent="0.25">
      <c r="A654" s="2" t="s">
        <v>1100</v>
      </c>
      <c r="B654" s="2" t="s">
        <v>681</v>
      </c>
      <c r="C654" s="2" t="s">
        <v>46</v>
      </c>
      <c r="D654" s="2" t="s">
        <v>30</v>
      </c>
      <c r="E654" s="4">
        <v>46236</v>
      </c>
      <c r="F654" s="4">
        <v>46249</v>
      </c>
      <c r="G654" s="5">
        <v>8300</v>
      </c>
      <c r="H654" s="5"/>
      <c r="I654" s="2" t="s">
        <v>42</v>
      </c>
      <c r="J654" s="2"/>
      <c r="K654" s="2" t="s">
        <v>38</v>
      </c>
    </row>
    <row r="655" spans="1:11" x14ac:dyDescent="0.25">
      <c r="A655" s="2" t="s">
        <v>1101</v>
      </c>
      <c r="B655" s="2" t="s">
        <v>393</v>
      </c>
      <c r="C655" s="2" t="s">
        <v>29</v>
      </c>
      <c r="D655" s="2" t="s">
        <v>94</v>
      </c>
      <c r="E655" s="4">
        <v>46192</v>
      </c>
      <c r="F655" s="4">
        <v>46200</v>
      </c>
      <c r="G655" s="5">
        <v>13000</v>
      </c>
      <c r="H655" s="5">
        <v>9615.52</v>
      </c>
      <c r="I655" s="2" t="s">
        <v>37</v>
      </c>
      <c r="J655" s="2"/>
      <c r="K655" s="2" t="s">
        <v>62</v>
      </c>
    </row>
    <row r="656" spans="1:11" x14ac:dyDescent="0.25">
      <c r="A656" s="2" t="s">
        <v>1102</v>
      </c>
      <c r="B656" s="2" t="s">
        <v>904</v>
      </c>
      <c r="C656" s="2" t="s">
        <v>46</v>
      </c>
      <c r="D656" s="2" t="s">
        <v>55</v>
      </c>
      <c r="E656" s="4">
        <v>46251</v>
      </c>
      <c r="F656" s="4">
        <v>46268</v>
      </c>
      <c r="G656" s="5">
        <v>10200</v>
      </c>
      <c r="H656" s="5">
        <v>6054.54</v>
      </c>
      <c r="I656" s="2" t="s">
        <v>37</v>
      </c>
      <c r="J656" s="2"/>
      <c r="K656" s="2" t="s">
        <v>48</v>
      </c>
    </row>
    <row r="657" spans="1:11" x14ac:dyDescent="0.25">
      <c r="A657" s="2" t="s">
        <v>1103</v>
      </c>
      <c r="B657" s="2" t="s">
        <v>483</v>
      </c>
      <c r="C657" s="2" t="s">
        <v>46</v>
      </c>
      <c r="D657" s="2" t="s">
        <v>68</v>
      </c>
      <c r="E657" s="4">
        <v>46088</v>
      </c>
      <c r="F657" s="4">
        <v>46108</v>
      </c>
      <c r="G657" s="5">
        <v>7925</v>
      </c>
      <c r="H657" s="5">
        <v>5977.42</v>
      </c>
      <c r="I657" s="2" t="s">
        <v>37</v>
      </c>
      <c r="J657" s="2"/>
      <c r="K657" s="2" t="s">
        <v>83</v>
      </c>
    </row>
    <row r="658" spans="1:11" x14ac:dyDescent="0.25">
      <c r="A658" s="2" t="s">
        <v>1104</v>
      </c>
      <c r="B658" s="2" t="s">
        <v>994</v>
      </c>
      <c r="C658" s="2" t="s">
        <v>36</v>
      </c>
      <c r="D658" s="2" t="s">
        <v>94</v>
      </c>
      <c r="E658" s="4">
        <v>46097</v>
      </c>
      <c r="F658" s="4">
        <v>46112</v>
      </c>
      <c r="G658" s="5">
        <v>10450</v>
      </c>
      <c r="H658" s="5">
        <v>6719.5</v>
      </c>
      <c r="I658" s="2" t="s">
        <v>37</v>
      </c>
      <c r="J658" s="2"/>
      <c r="K658" s="2" t="s">
        <v>48</v>
      </c>
    </row>
    <row r="659" spans="1:11" x14ac:dyDescent="0.25">
      <c r="A659" s="2" t="s">
        <v>1105</v>
      </c>
      <c r="B659" s="2" t="s">
        <v>1087</v>
      </c>
      <c r="C659" s="2" t="s">
        <v>46</v>
      </c>
      <c r="D659" s="2" t="s">
        <v>61</v>
      </c>
      <c r="E659" s="4">
        <v>46280</v>
      </c>
      <c r="F659" s="4">
        <v>46290</v>
      </c>
      <c r="G659" s="5">
        <v>3625</v>
      </c>
      <c r="H659" s="5"/>
      <c r="I659" s="2" t="s">
        <v>42</v>
      </c>
      <c r="J659" s="2"/>
      <c r="K659" s="2" t="s">
        <v>48</v>
      </c>
    </row>
    <row r="660" spans="1:11" x14ac:dyDescent="0.25">
      <c r="A660" s="2" t="s">
        <v>1106</v>
      </c>
      <c r="B660" s="2" t="s">
        <v>582</v>
      </c>
      <c r="C660" s="2" t="s">
        <v>29</v>
      </c>
      <c r="D660" s="2" t="s">
        <v>80</v>
      </c>
      <c r="E660" s="4">
        <v>46286</v>
      </c>
      <c r="F660" s="4">
        <v>46297</v>
      </c>
      <c r="G660" s="5">
        <v>14025</v>
      </c>
      <c r="H660" s="5"/>
      <c r="I660" s="2" t="s">
        <v>42</v>
      </c>
      <c r="J660" s="2"/>
      <c r="K660" s="2" t="s">
        <v>38</v>
      </c>
    </row>
    <row r="661" spans="1:11" x14ac:dyDescent="0.25">
      <c r="A661" s="2" t="s">
        <v>1107</v>
      </c>
      <c r="B661" s="2" t="s">
        <v>654</v>
      </c>
      <c r="C661" s="2" t="s">
        <v>29</v>
      </c>
      <c r="D661" s="2" t="s">
        <v>41</v>
      </c>
      <c r="E661" s="4">
        <v>46262</v>
      </c>
      <c r="F661" s="4">
        <v>46280</v>
      </c>
      <c r="G661" s="5">
        <v>8025</v>
      </c>
      <c r="H661" s="5"/>
      <c r="I661" s="2" t="s">
        <v>42</v>
      </c>
      <c r="J661" s="2"/>
      <c r="K661" s="2" t="s">
        <v>65</v>
      </c>
    </row>
    <row r="662" spans="1:11" x14ac:dyDescent="0.25">
      <c r="A662" s="2" t="s">
        <v>1108</v>
      </c>
      <c r="B662" s="2" t="s">
        <v>564</v>
      </c>
      <c r="C662" s="2" t="s">
        <v>46</v>
      </c>
      <c r="D662" s="2" t="s">
        <v>30</v>
      </c>
      <c r="E662" s="4">
        <v>46044</v>
      </c>
      <c r="F662" s="4">
        <v>46049</v>
      </c>
      <c r="G662" s="5">
        <v>6300</v>
      </c>
      <c r="H662" s="5"/>
      <c r="I662" s="2" t="s">
        <v>42</v>
      </c>
      <c r="J662" s="2"/>
      <c r="K662" s="2" t="s">
        <v>65</v>
      </c>
    </row>
    <row r="663" spans="1:11" x14ac:dyDescent="0.25">
      <c r="A663" s="2" t="s">
        <v>1109</v>
      </c>
      <c r="B663" s="2" t="s">
        <v>239</v>
      </c>
      <c r="C663" s="2" t="s">
        <v>46</v>
      </c>
      <c r="D663" s="2" t="s">
        <v>41</v>
      </c>
      <c r="E663" s="4">
        <v>46271</v>
      </c>
      <c r="F663" s="4">
        <v>46280</v>
      </c>
      <c r="G663" s="5">
        <v>4225</v>
      </c>
      <c r="H663" s="5"/>
      <c r="I663" s="2" t="s">
        <v>42</v>
      </c>
      <c r="J663" s="2"/>
      <c r="K663" s="2" t="s">
        <v>65</v>
      </c>
    </row>
    <row r="664" spans="1:11" x14ac:dyDescent="0.25">
      <c r="A664" s="2" t="s">
        <v>1110</v>
      </c>
      <c r="B664" s="2" t="s">
        <v>840</v>
      </c>
      <c r="C664" s="2" t="s">
        <v>36</v>
      </c>
      <c r="D664" s="2" t="s">
        <v>41</v>
      </c>
      <c r="E664" s="4">
        <v>46073</v>
      </c>
      <c r="F664" s="4">
        <v>46090</v>
      </c>
      <c r="G664" s="5">
        <v>7200</v>
      </c>
      <c r="H664" s="5">
        <v>6991.83</v>
      </c>
      <c r="I664" s="2" t="s">
        <v>37</v>
      </c>
      <c r="J664" s="2"/>
      <c r="K664" s="2" t="s">
        <v>43</v>
      </c>
    </row>
    <row r="665" spans="1:11" x14ac:dyDescent="0.25">
      <c r="A665" s="2" t="s">
        <v>1111</v>
      </c>
      <c r="B665" s="2" t="s">
        <v>1112</v>
      </c>
      <c r="C665" s="2" t="s">
        <v>29</v>
      </c>
      <c r="D665" s="2"/>
      <c r="E665" s="4">
        <v>46179</v>
      </c>
      <c r="F665" s="4">
        <v>46189</v>
      </c>
      <c r="G665" s="5">
        <v>11525</v>
      </c>
      <c r="H665" s="5">
        <v>10718.64</v>
      </c>
      <c r="I665" s="2" t="s">
        <v>37</v>
      </c>
      <c r="J665" s="2"/>
      <c r="K665" s="2" t="s">
        <v>56</v>
      </c>
    </row>
    <row r="666" spans="1:11" x14ac:dyDescent="0.25">
      <c r="A666" s="2" t="s">
        <v>1113</v>
      </c>
      <c r="B666" s="2" t="s">
        <v>226</v>
      </c>
      <c r="C666" s="2" t="s">
        <v>36</v>
      </c>
      <c r="D666" s="2" t="s">
        <v>55</v>
      </c>
      <c r="E666" s="4">
        <v>46192</v>
      </c>
      <c r="F666" s="4">
        <v>46203</v>
      </c>
      <c r="G666" s="5">
        <v>4875</v>
      </c>
      <c r="H666" s="5">
        <v>3518.59</v>
      </c>
      <c r="I666" s="2" t="s">
        <v>37</v>
      </c>
      <c r="J666" s="2"/>
      <c r="K666" s="2" t="s">
        <v>65</v>
      </c>
    </row>
    <row r="667" spans="1:11" x14ac:dyDescent="0.25">
      <c r="A667" s="2" t="s">
        <v>1114</v>
      </c>
      <c r="B667" s="2" t="s">
        <v>543</v>
      </c>
      <c r="C667" s="2" t="s">
        <v>36</v>
      </c>
      <c r="D667" s="2" t="s">
        <v>55</v>
      </c>
      <c r="E667" s="4">
        <v>46040</v>
      </c>
      <c r="F667" s="4">
        <v>46048</v>
      </c>
      <c r="G667" s="5">
        <v>9250</v>
      </c>
      <c r="H667" s="5">
        <v>7474.87</v>
      </c>
      <c r="I667" s="2" t="s">
        <v>37</v>
      </c>
      <c r="J667" s="2"/>
      <c r="K667" s="2" t="s">
        <v>43</v>
      </c>
    </row>
    <row r="668" spans="1:11" x14ac:dyDescent="0.25">
      <c r="A668" s="2" t="s">
        <v>1115</v>
      </c>
      <c r="B668" s="2" t="s">
        <v>726</v>
      </c>
      <c r="C668" s="2" t="s">
        <v>29</v>
      </c>
      <c r="D668" s="2" t="s">
        <v>41</v>
      </c>
      <c r="E668" s="4">
        <v>46068</v>
      </c>
      <c r="F668" s="4">
        <v>46083</v>
      </c>
      <c r="G668" s="5">
        <v>8075</v>
      </c>
      <c r="H668" s="5"/>
      <c r="I668" s="2" t="s">
        <v>42</v>
      </c>
      <c r="J668" s="2"/>
      <c r="K668" s="2" t="s">
        <v>109</v>
      </c>
    </row>
    <row r="669" spans="1:11" x14ac:dyDescent="0.25">
      <c r="A669" s="2" t="s">
        <v>1116</v>
      </c>
      <c r="B669" s="2" t="s">
        <v>67</v>
      </c>
      <c r="C669" s="2" t="s">
        <v>29</v>
      </c>
      <c r="D669" s="2" t="s">
        <v>80</v>
      </c>
      <c r="E669" s="4">
        <v>46157</v>
      </c>
      <c r="F669" s="4">
        <v>46177</v>
      </c>
      <c r="G669" s="5">
        <v>1800</v>
      </c>
      <c r="H669" s="5">
        <v>1339.26</v>
      </c>
      <c r="I669" s="2" t="s">
        <v>37</v>
      </c>
      <c r="J669" s="2"/>
      <c r="K669" s="2" t="s">
        <v>48</v>
      </c>
    </row>
    <row r="670" spans="1:11" x14ac:dyDescent="0.25">
      <c r="A670" s="2" t="s">
        <v>1117</v>
      </c>
      <c r="B670" s="2" t="s">
        <v>144</v>
      </c>
      <c r="C670" s="2" t="s">
        <v>29</v>
      </c>
      <c r="D670" s="2" t="s">
        <v>41</v>
      </c>
      <c r="E670" s="4">
        <v>46254</v>
      </c>
      <c r="F670" s="4">
        <v>46257</v>
      </c>
      <c r="G670" s="5">
        <v>7175</v>
      </c>
      <c r="H670" s="5">
        <v>0</v>
      </c>
      <c r="I670" s="2" t="s">
        <v>31</v>
      </c>
      <c r="J670" s="2" t="s">
        <v>47</v>
      </c>
      <c r="K670" s="2" t="s">
        <v>38</v>
      </c>
    </row>
    <row r="671" spans="1:11" x14ac:dyDescent="0.25">
      <c r="A671" s="2" t="s">
        <v>1118</v>
      </c>
      <c r="B671" s="2" t="s">
        <v>1119</v>
      </c>
      <c r="C671" s="2" t="s">
        <v>36</v>
      </c>
      <c r="D671" s="2" t="s">
        <v>55</v>
      </c>
      <c r="E671" s="4">
        <v>46121</v>
      </c>
      <c r="F671" s="4">
        <v>46125</v>
      </c>
      <c r="G671" s="5">
        <v>12975</v>
      </c>
      <c r="H671" s="5">
        <v>8019.03</v>
      </c>
      <c r="I671" s="2" t="s">
        <v>37</v>
      </c>
      <c r="J671" s="2"/>
      <c r="K671" s="2" t="s">
        <v>567</v>
      </c>
    </row>
    <row r="672" spans="1:11" x14ac:dyDescent="0.25">
      <c r="A672" s="2" t="s">
        <v>1120</v>
      </c>
      <c r="B672" s="2" t="s">
        <v>759</v>
      </c>
      <c r="C672" s="2" t="s">
        <v>29</v>
      </c>
      <c r="D672" s="2" t="s">
        <v>55</v>
      </c>
      <c r="E672" s="4">
        <v>46019</v>
      </c>
      <c r="F672" s="4">
        <v>46029</v>
      </c>
      <c r="G672" s="5">
        <v>6450</v>
      </c>
      <c r="H672" s="5">
        <v>4998.24</v>
      </c>
      <c r="I672" s="2" t="s">
        <v>37</v>
      </c>
      <c r="J672" s="2"/>
      <c r="K672" s="2" t="s">
        <v>48</v>
      </c>
    </row>
    <row r="673" spans="1:11" x14ac:dyDescent="0.25">
      <c r="A673" s="2" t="s">
        <v>1121</v>
      </c>
      <c r="B673" s="2" t="s">
        <v>1122</v>
      </c>
      <c r="C673" s="2" t="s">
        <v>29</v>
      </c>
      <c r="D673" s="2" t="s">
        <v>61</v>
      </c>
      <c r="E673" s="4">
        <v>46236</v>
      </c>
      <c r="F673" s="4">
        <v>46245</v>
      </c>
      <c r="G673" s="5">
        <v>7400</v>
      </c>
      <c r="H673" s="5">
        <v>6480.87</v>
      </c>
      <c r="I673" s="2" t="s">
        <v>37</v>
      </c>
      <c r="J673" s="2"/>
      <c r="K673" s="2" t="s">
        <v>48</v>
      </c>
    </row>
    <row r="674" spans="1:11" x14ac:dyDescent="0.25">
      <c r="A674" s="2" t="s">
        <v>1123</v>
      </c>
      <c r="B674" s="2" t="s">
        <v>1124</v>
      </c>
      <c r="C674" s="2" t="s">
        <v>36</v>
      </c>
      <c r="D674" s="2" t="s">
        <v>94</v>
      </c>
      <c r="E674" s="4">
        <v>46285</v>
      </c>
      <c r="F674" s="4">
        <v>46296</v>
      </c>
      <c r="G674" s="5">
        <v>8575</v>
      </c>
      <c r="H674" s="5"/>
      <c r="I674" s="2" t="s">
        <v>42</v>
      </c>
      <c r="J674" s="2"/>
      <c r="K674" s="2" t="s">
        <v>109</v>
      </c>
    </row>
    <row r="675" spans="1:11" x14ac:dyDescent="0.25">
      <c r="A675" s="2" t="s">
        <v>1125</v>
      </c>
      <c r="B675" s="2" t="s">
        <v>586</v>
      </c>
      <c r="C675" s="2" t="s">
        <v>46</v>
      </c>
      <c r="D675" s="2" t="s">
        <v>41</v>
      </c>
      <c r="E675" s="4">
        <v>46024</v>
      </c>
      <c r="F675" s="4">
        <v>46042</v>
      </c>
      <c r="G675" s="5">
        <v>11975</v>
      </c>
      <c r="H675" s="5">
        <v>11924.49</v>
      </c>
      <c r="I675" s="2" t="s">
        <v>37</v>
      </c>
      <c r="J675" s="2"/>
      <c r="K675" s="2" t="s">
        <v>48</v>
      </c>
    </row>
    <row r="676" spans="1:11" x14ac:dyDescent="0.25">
      <c r="A676" s="2" t="s">
        <v>1126</v>
      </c>
      <c r="B676" s="2" t="s">
        <v>469</v>
      </c>
      <c r="C676" s="2" t="s">
        <v>46</v>
      </c>
      <c r="D676" s="2" t="s">
        <v>41</v>
      </c>
      <c r="E676" s="4">
        <v>46042</v>
      </c>
      <c r="F676" s="4">
        <v>46052</v>
      </c>
      <c r="G676" s="5">
        <v>9750</v>
      </c>
      <c r="H676" s="5">
        <v>6914.9</v>
      </c>
      <c r="I676" s="2" t="s">
        <v>37</v>
      </c>
      <c r="J676" s="2"/>
      <c r="K676" s="2" t="s">
        <v>43</v>
      </c>
    </row>
    <row r="677" spans="1:11" x14ac:dyDescent="0.25">
      <c r="A677" s="2" t="s">
        <v>1127</v>
      </c>
      <c r="B677" s="2" t="s">
        <v>584</v>
      </c>
      <c r="C677" s="2" t="s">
        <v>29</v>
      </c>
      <c r="D677" s="2" t="s">
        <v>68</v>
      </c>
      <c r="E677" s="4">
        <v>46283</v>
      </c>
      <c r="F677" s="4">
        <v>46295</v>
      </c>
      <c r="G677" s="5">
        <v>8200</v>
      </c>
      <c r="H677" s="5"/>
      <c r="I677" s="2" t="s">
        <v>42</v>
      </c>
      <c r="J677" s="2"/>
      <c r="K677" s="2" t="s">
        <v>109</v>
      </c>
    </row>
    <row r="678" spans="1:11" x14ac:dyDescent="0.25">
      <c r="A678" s="2" t="s">
        <v>1128</v>
      </c>
      <c r="B678" s="2" t="s">
        <v>318</v>
      </c>
      <c r="C678" s="2" t="s">
        <v>46</v>
      </c>
      <c r="D678" s="2" t="s">
        <v>80</v>
      </c>
      <c r="E678" s="4">
        <v>46113</v>
      </c>
      <c r="F678" s="4">
        <v>46131</v>
      </c>
      <c r="G678" s="5">
        <v>14700</v>
      </c>
      <c r="H678" s="5">
        <v>0</v>
      </c>
      <c r="I678" s="2" t="s">
        <v>31</v>
      </c>
      <c r="J678" s="2" t="s">
        <v>47</v>
      </c>
      <c r="K678" s="2" t="s">
        <v>33</v>
      </c>
    </row>
    <row r="679" spans="1:11" x14ac:dyDescent="0.25">
      <c r="A679" s="2" t="s">
        <v>1129</v>
      </c>
      <c r="B679" s="2" t="s">
        <v>1130</v>
      </c>
      <c r="C679" s="2" t="s">
        <v>46</v>
      </c>
      <c r="D679" s="2" t="s">
        <v>30</v>
      </c>
      <c r="E679" s="4">
        <v>46088</v>
      </c>
      <c r="F679" s="4">
        <v>46091</v>
      </c>
      <c r="G679" s="5">
        <v>1950</v>
      </c>
      <c r="H679" s="5">
        <v>1870.35</v>
      </c>
      <c r="I679" s="2" t="s">
        <v>37</v>
      </c>
      <c r="J679" s="2"/>
      <c r="K679" s="2" t="s">
        <v>38</v>
      </c>
    </row>
    <row r="680" spans="1:11" x14ac:dyDescent="0.25">
      <c r="A680" s="2" t="s">
        <v>1131</v>
      </c>
      <c r="B680" s="2" t="s">
        <v>972</v>
      </c>
      <c r="C680" s="2" t="s">
        <v>46</v>
      </c>
      <c r="D680" s="2" t="s">
        <v>41</v>
      </c>
      <c r="E680" s="4">
        <v>46134</v>
      </c>
      <c r="F680" s="4">
        <v>46152</v>
      </c>
      <c r="G680" s="5">
        <v>12200</v>
      </c>
      <c r="H680" s="5"/>
      <c r="I680" s="2" t="s">
        <v>42</v>
      </c>
      <c r="J680" s="2"/>
      <c r="K680" s="2" t="s">
        <v>48</v>
      </c>
    </row>
    <row r="681" spans="1:11" x14ac:dyDescent="0.25">
      <c r="A681" s="2" t="s">
        <v>1132</v>
      </c>
      <c r="B681" s="2" t="s">
        <v>282</v>
      </c>
      <c r="C681" s="2" t="s">
        <v>29</v>
      </c>
      <c r="D681" s="2" t="s">
        <v>80</v>
      </c>
      <c r="E681" s="4">
        <v>46084</v>
      </c>
      <c r="F681" s="4">
        <v>46103</v>
      </c>
      <c r="G681" s="5">
        <v>11225</v>
      </c>
      <c r="H681" s="5">
        <v>6781.3</v>
      </c>
      <c r="I681" s="2" t="s">
        <v>37</v>
      </c>
      <c r="J681" s="2"/>
      <c r="K681" s="2" t="s">
        <v>43</v>
      </c>
    </row>
    <row r="682" spans="1:11" x14ac:dyDescent="0.25">
      <c r="A682" s="2" t="s">
        <v>1133</v>
      </c>
      <c r="B682" s="2" t="s">
        <v>1040</v>
      </c>
      <c r="C682" s="2" t="s">
        <v>29</v>
      </c>
      <c r="D682" s="2" t="s">
        <v>30</v>
      </c>
      <c r="E682" s="4">
        <v>46139</v>
      </c>
      <c r="F682" s="4">
        <v>46155</v>
      </c>
      <c r="G682" s="5">
        <v>14275</v>
      </c>
      <c r="H682" s="5"/>
      <c r="I682" s="2" t="s">
        <v>145</v>
      </c>
      <c r="J682" s="2"/>
      <c r="K682" s="2" t="s">
        <v>56</v>
      </c>
    </row>
    <row r="683" spans="1:11" x14ac:dyDescent="0.25">
      <c r="A683" s="2" t="s">
        <v>1134</v>
      </c>
      <c r="B683" s="2" t="s">
        <v>405</v>
      </c>
      <c r="C683" s="2" t="s">
        <v>29</v>
      </c>
      <c r="D683" s="2" t="s">
        <v>94</v>
      </c>
      <c r="E683" s="4">
        <v>46282</v>
      </c>
      <c r="F683" s="4">
        <v>46296</v>
      </c>
      <c r="G683" s="5">
        <v>12750</v>
      </c>
      <c r="H683" s="5"/>
      <c r="I683" s="2" t="s">
        <v>42</v>
      </c>
      <c r="J683" s="2"/>
      <c r="K683" s="2" t="s">
        <v>48</v>
      </c>
    </row>
    <row r="684" spans="1:11" x14ac:dyDescent="0.25">
      <c r="A684" s="2" t="s">
        <v>1135</v>
      </c>
      <c r="B684" s="2" t="s">
        <v>936</v>
      </c>
      <c r="C684" s="2" t="s">
        <v>46</v>
      </c>
      <c r="D684" s="2" t="s">
        <v>80</v>
      </c>
      <c r="E684" s="4">
        <v>46143</v>
      </c>
      <c r="F684" s="4">
        <v>46157</v>
      </c>
      <c r="G684" s="5">
        <v>975</v>
      </c>
      <c r="H684" s="5">
        <v>796.31</v>
      </c>
      <c r="I684" s="2" t="s">
        <v>37</v>
      </c>
      <c r="J684" s="2"/>
      <c r="K684" s="2" t="s">
        <v>83</v>
      </c>
    </row>
    <row r="685" spans="1:11" x14ac:dyDescent="0.25">
      <c r="A685" s="2" t="s">
        <v>1136</v>
      </c>
      <c r="B685" s="2" t="s">
        <v>431</v>
      </c>
      <c r="C685" s="2" t="s">
        <v>79</v>
      </c>
      <c r="D685" s="2" t="s">
        <v>68</v>
      </c>
      <c r="E685" s="4">
        <v>46160</v>
      </c>
      <c r="F685" s="4">
        <v>46172</v>
      </c>
      <c r="G685" s="5">
        <v>1125</v>
      </c>
      <c r="H685" s="5">
        <v>0</v>
      </c>
      <c r="I685" s="2" t="s">
        <v>31</v>
      </c>
      <c r="J685" s="2" t="s">
        <v>347</v>
      </c>
      <c r="K685" s="2" t="s">
        <v>62</v>
      </c>
    </row>
    <row r="686" spans="1:11" x14ac:dyDescent="0.25">
      <c r="A686" s="2" t="s">
        <v>1137</v>
      </c>
      <c r="B686" s="2" t="s">
        <v>235</v>
      </c>
      <c r="C686" s="2" t="s">
        <v>36</v>
      </c>
      <c r="D686" s="2" t="s">
        <v>1138</v>
      </c>
      <c r="E686" s="4">
        <v>46188</v>
      </c>
      <c r="F686" s="4">
        <v>46207</v>
      </c>
      <c r="G686" s="5">
        <v>13300</v>
      </c>
      <c r="H686" s="5">
        <v>9278.02</v>
      </c>
      <c r="I686" s="2" t="s">
        <v>37</v>
      </c>
      <c r="J686" s="2"/>
      <c r="K686" s="2" t="s">
        <v>109</v>
      </c>
    </row>
    <row r="687" spans="1:11" x14ac:dyDescent="0.25">
      <c r="A687" s="2" t="s">
        <v>1139</v>
      </c>
      <c r="B687" s="2" t="s">
        <v>197</v>
      </c>
      <c r="C687" s="2" t="s">
        <v>36</v>
      </c>
      <c r="D687" s="2" t="s">
        <v>55</v>
      </c>
      <c r="E687" s="4">
        <v>46056</v>
      </c>
      <c r="F687" s="4">
        <v>46066</v>
      </c>
      <c r="G687" s="5">
        <v>2100</v>
      </c>
      <c r="H687" s="5">
        <v>0</v>
      </c>
      <c r="I687" s="2" t="s">
        <v>31</v>
      </c>
      <c r="J687" s="2" t="s">
        <v>72</v>
      </c>
      <c r="K687" s="2" t="s">
        <v>83</v>
      </c>
    </row>
    <row r="688" spans="1:11" x14ac:dyDescent="0.25">
      <c r="A688" s="2" t="s">
        <v>1140</v>
      </c>
      <c r="B688" s="2" t="s">
        <v>170</v>
      </c>
      <c r="C688" s="2" t="s">
        <v>46</v>
      </c>
      <c r="D688" s="2" t="s">
        <v>41</v>
      </c>
      <c r="E688" s="4">
        <v>46278</v>
      </c>
      <c r="F688" s="4">
        <v>46294</v>
      </c>
      <c r="G688" s="5">
        <v>13550</v>
      </c>
      <c r="H688" s="5"/>
      <c r="I688" s="2" t="s">
        <v>42</v>
      </c>
      <c r="J688" s="2"/>
      <c r="K688" s="2" t="s">
        <v>56</v>
      </c>
    </row>
    <row r="689" spans="1:11" x14ac:dyDescent="0.25">
      <c r="A689" s="2" t="s">
        <v>1141</v>
      </c>
      <c r="B689" s="2" t="s">
        <v>427</v>
      </c>
      <c r="C689" s="2" t="s">
        <v>79</v>
      </c>
      <c r="D689" s="2" t="s">
        <v>148</v>
      </c>
      <c r="E689" s="4">
        <v>46109</v>
      </c>
      <c r="F689" s="4">
        <v>46115</v>
      </c>
      <c r="G689" s="5">
        <v>8525</v>
      </c>
      <c r="H689" s="5">
        <v>6233.46</v>
      </c>
      <c r="I689" s="2" t="s">
        <v>37</v>
      </c>
      <c r="J689" s="2"/>
      <c r="K689" s="2" t="s">
        <v>38</v>
      </c>
    </row>
    <row r="690" spans="1:11" x14ac:dyDescent="0.25">
      <c r="A690" s="2" t="s">
        <v>1142</v>
      </c>
      <c r="B690" s="2" t="s">
        <v>102</v>
      </c>
      <c r="C690" s="2" t="s">
        <v>29</v>
      </c>
      <c r="D690" s="2" t="s">
        <v>71</v>
      </c>
      <c r="E690" s="4">
        <v>46019</v>
      </c>
      <c r="F690" s="4">
        <v>46038</v>
      </c>
      <c r="G690" s="5">
        <v>5775</v>
      </c>
      <c r="H690" s="5">
        <v>0</v>
      </c>
      <c r="I690" s="2" t="s">
        <v>31</v>
      </c>
      <c r="J690" s="2" t="s">
        <v>47</v>
      </c>
      <c r="K690" s="2" t="s">
        <v>109</v>
      </c>
    </row>
    <row r="691" spans="1:11" x14ac:dyDescent="0.25">
      <c r="A691" s="2" t="s">
        <v>1143</v>
      </c>
      <c r="B691" s="2" t="s">
        <v>1083</v>
      </c>
      <c r="C691" s="2" t="s">
        <v>79</v>
      </c>
      <c r="D691" s="2" t="s">
        <v>30</v>
      </c>
      <c r="E691" s="4">
        <v>46048</v>
      </c>
      <c r="F691" s="4">
        <v>46054</v>
      </c>
      <c r="G691" s="5">
        <v>350</v>
      </c>
      <c r="H691" s="5">
        <v>223.67</v>
      </c>
      <c r="I691" s="2" t="s">
        <v>37</v>
      </c>
      <c r="J691" s="2"/>
      <c r="K691" s="2" t="s">
        <v>48</v>
      </c>
    </row>
    <row r="692" spans="1:11" x14ac:dyDescent="0.25">
      <c r="A692" s="2" t="s">
        <v>1144</v>
      </c>
      <c r="B692" s="2" t="s">
        <v>1040</v>
      </c>
      <c r="C692" s="2" t="s">
        <v>29</v>
      </c>
      <c r="D692" s="2" t="s">
        <v>1145</v>
      </c>
      <c r="E692" s="4">
        <v>46142</v>
      </c>
      <c r="F692" s="4">
        <v>46148</v>
      </c>
      <c r="G692" s="5">
        <v>9925</v>
      </c>
      <c r="H692" s="5"/>
      <c r="I692" s="2" t="s">
        <v>42</v>
      </c>
      <c r="J692" s="2"/>
      <c r="K692" s="2" t="s">
        <v>109</v>
      </c>
    </row>
    <row r="693" spans="1:11" x14ac:dyDescent="0.25">
      <c r="A693" s="2" t="s">
        <v>1146</v>
      </c>
      <c r="B693" s="2" t="s">
        <v>274</v>
      </c>
      <c r="C693" s="2" t="s">
        <v>29</v>
      </c>
      <c r="D693" s="2" t="s">
        <v>30</v>
      </c>
      <c r="E693" s="4">
        <v>46182</v>
      </c>
      <c r="F693" s="4">
        <v>46201</v>
      </c>
      <c r="G693" s="5">
        <v>5325</v>
      </c>
      <c r="H693" s="5">
        <v>4906.8999999999996</v>
      </c>
      <c r="I693" s="2" t="s">
        <v>37</v>
      </c>
      <c r="J693" s="2"/>
      <c r="K693" s="2" t="s">
        <v>65</v>
      </c>
    </row>
    <row r="694" spans="1:11" x14ac:dyDescent="0.25">
      <c r="A694" s="2" t="s">
        <v>1147</v>
      </c>
      <c r="B694" s="2" t="s">
        <v>533</v>
      </c>
      <c r="C694" s="2" t="s">
        <v>79</v>
      </c>
      <c r="D694" s="2" t="s">
        <v>71</v>
      </c>
      <c r="E694" s="4">
        <v>46077</v>
      </c>
      <c r="F694" s="4">
        <v>46085</v>
      </c>
      <c r="G694" s="5">
        <v>3225</v>
      </c>
      <c r="H694" s="5">
        <v>1861.32</v>
      </c>
      <c r="I694" s="2" t="s">
        <v>299</v>
      </c>
      <c r="J694" s="2"/>
      <c r="K694" s="2" t="s">
        <v>33</v>
      </c>
    </row>
    <row r="695" spans="1:11" x14ac:dyDescent="0.25">
      <c r="A695" s="2" t="s">
        <v>1148</v>
      </c>
      <c r="B695" s="2" t="s">
        <v>829</v>
      </c>
      <c r="C695" s="2" t="s">
        <v>29</v>
      </c>
      <c r="D695" s="2" t="s">
        <v>80</v>
      </c>
      <c r="E695" s="4">
        <v>46175</v>
      </c>
      <c r="F695" s="4">
        <v>46183</v>
      </c>
      <c r="G695" s="5">
        <v>12300</v>
      </c>
      <c r="H695" s="5">
        <v>7882.62</v>
      </c>
      <c r="I695" s="2" t="s">
        <v>37</v>
      </c>
      <c r="J695" s="2"/>
      <c r="K695" s="2" t="s">
        <v>38</v>
      </c>
    </row>
    <row r="696" spans="1:11" x14ac:dyDescent="0.25">
      <c r="A696" s="2" t="s">
        <v>1149</v>
      </c>
      <c r="B696" s="2" t="s">
        <v>154</v>
      </c>
      <c r="C696" s="2" t="s">
        <v>46</v>
      </c>
      <c r="D696" s="2" t="s">
        <v>55</v>
      </c>
      <c r="E696" s="4">
        <v>46159</v>
      </c>
      <c r="F696" s="4">
        <v>46178</v>
      </c>
      <c r="G696" s="5">
        <v>11325</v>
      </c>
      <c r="H696" s="5"/>
      <c r="I696" s="2" t="s">
        <v>42</v>
      </c>
      <c r="J696" s="2"/>
      <c r="K696" s="2" t="s">
        <v>62</v>
      </c>
    </row>
    <row r="697" spans="1:11" x14ac:dyDescent="0.25">
      <c r="A697" s="2" t="s">
        <v>1150</v>
      </c>
      <c r="B697" s="2" t="s">
        <v>431</v>
      </c>
      <c r="C697" s="2" t="s">
        <v>36</v>
      </c>
      <c r="D697" s="2" t="s">
        <v>80</v>
      </c>
      <c r="E697" s="4">
        <v>46061</v>
      </c>
      <c r="F697" s="4">
        <v>46065</v>
      </c>
      <c r="G697" s="5">
        <v>5775</v>
      </c>
      <c r="H697" s="5">
        <v>5735.11</v>
      </c>
      <c r="I697" s="2" t="s">
        <v>37</v>
      </c>
      <c r="J697" s="2"/>
      <c r="K697" s="2" t="s">
        <v>65</v>
      </c>
    </row>
    <row r="698" spans="1:11" x14ac:dyDescent="0.25">
      <c r="A698" s="2" t="s">
        <v>1151</v>
      </c>
      <c r="B698" s="2" t="s">
        <v>491</v>
      </c>
      <c r="C698" s="2" t="s">
        <v>36</v>
      </c>
      <c r="D698" s="2" t="s">
        <v>68</v>
      </c>
      <c r="E698" s="4">
        <v>46067</v>
      </c>
      <c r="F698" s="4">
        <v>46071</v>
      </c>
      <c r="G698" s="5">
        <v>9450</v>
      </c>
      <c r="H698" s="5">
        <v>6751.47</v>
      </c>
      <c r="I698" s="2" t="s">
        <v>37</v>
      </c>
      <c r="J698" s="2"/>
      <c r="K698" s="2" t="s">
        <v>83</v>
      </c>
    </row>
    <row r="699" spans="1:11" x14ac:dyDescent="0.25">
      <c r="A699" s="2" t="s">
        <v>1152</v>
      </c>
      <c r="B699" s="2" t="s">
        <v>120</v>
      </c>
      <c r="C699" s="2" t="s">
        <v>29</v>
      </c>
      <c r="D699" s="2" t="s">
        <v>68</v>
      </c>
      <c r="E699" s="4">
        <v>46063</v>
      </c>
      <c r="F699" s="4">
        <v>46074</v>
      </c>
      <c r="G699" s="5">
        <v>12025</v>
      </c>
      <c r="H699" s="5">
        <v>9404.9599999999991</v>
      </c>
      <c r="I699" s="2" t="s">
        <v>37</v>
      </c>
      <c r="J699" s="2"/>
      <c r="K699" s="2" t="s">
        <v>62</v>
      </c>
    </row>
    <row r="700" spans="1:11" x14ac:dyDescent="0.25">
      <c r="A700" s="2" t="s">
        <v>1153</v>
      </c>
      <c r="B700" s="2" t="s">
        <v>991</v>
      </c>
      <c r="C700" s="2" t="s">
        <v>46</v>
      </c>
      <c r="D700" s="2" t="s">
        <v>80</v>
      </c>
      <c r="E700" s="4">
        <v>46110</v>
      </c>
      <c r="F700" s="4">
        <v>46126</v>
      </c>
      <c r="G700" s="5">
        <v>7025</v>
      </c>
      <c r="H700" s="5"/>
      <c r="I700" s="2" t="s">
        <v>134</v>
      </c>
      <c r="J700" s="2"/>
      <c r="K700" s="2" t="s">
        <v>83</v>
      </c>
    </row>
    <row r="701" spans="1:11" x14ac:dyDescent="0.25">
      <c r="A701" s="2" t="s">
        <v>1154</v>
      </c>
      <c r="B701" s="2" t="s">
        <v>562</v>
      </c>
      <c r="C701" s="2" t="s">
        <v>29</v>
      </c>
      <c r="D701" s="2" t="s">
        <v>41</v>
      </c>
      <c r="E701" s="4">
        <v>46266</v>
      </c>
      <c r="F701" s="4">
        <v>46280</v>
      </c>
      <c r="G701" s="5">
        <v>10925</v>
      </c>
      <c r="H701" s="5"/>
      <c r="I701" s="2" t="s">
        <v>42</v>
      </c>
      <c r="J701" s="2"/>
      <c r="K701" s="2" t="s">
        <v>65</v>
      </c>
    </row>
    <row r="702" spans="1:11" x14ac:dyDescent="0.25">
      <c r="A702" s="2" t="s">
        <v>1155</v>
      </c>
      <c r="B702" s="2" t="s">
        <v>156</v>
      </c>
      <c r="C702" s="2" t="s">
        <v>29</v>
      </c>
      <c r="D702" s="2" t="s">
        <v>55</v>
      </c>
      <c r="E702" s="4">
        <v>46057</v>
      </c>
      <c r="F702" s="4">
        <v>46069</v>
      </c>
      <c r="G702" s="5">
        <v>12425</v>
      </c>
      <c r="H702" s="5">
        <v>0</v>
      </c>
      <c r="I702" s="2" t="s">
        <v>31</v>
      </c>
      <c r="J702" s="2" t="s">
        <v>271</v>
      </c>
      <c r="K702" s="2" t="s">
        <v>83</v>
      </c>
    </row>
    <row r="703" spans="1:11" x14ac:dyDescent="0.25">
      <c r="A703" s="2" t="s">
        <v>1156</v>
      </c>
      <c r="B703" s="2" t="s">
        <v>555</v>
      </c>
      <c r="C703" s="2" t="s">
        <v>29</v>
      </c>
      <c r="D703" s="2" t="s">
        <v>80</v>
      </c>
      <c r="E703" s="4">
        <v>46111</v>
      </c>
      <c r="F703" s="4">
        <v>46130</v>
      </c>
      <c r="G703" s="5">
        <v>1100</v>
      </c>
      <c r="H703" s="5">
        <v>664.54</v>
      </c>
      <c r="I703" s="2" t="s">
        <v>37</v>
      </c>
      <c r="J703" s="2"/>
      <c r="K703" s="2" t="s">
        <v>33</v>
      </c>
    </row>
    <row r="704" spans="1:11" x14ac:dyDescent="0.25">
      <c r="A704" s="2" t="s">
        <v>1157</v>
      </c>
      <c r="B704" s="2" t="s">
        <v>308</v>
      </c>
      <c r="C704" s="2" t="s">
        <v>46</v>
      </c>
      <c r="D704" s="2" t="s">
        <v>68</v>
      </c>
      <c r="E704" s="4">
        <v>46253</v>
      </c>
      <c r="F704" s="4">
        <v>46259</v>
      </c>
      <c r="G704" s="5">
        <v>625</v>
      </c>
      <c r="H704" s="5">
        <v>578.19000000000005</v>
      </c>
      <c r="I704" s="2" t="s">
        <v>37</v>
      </c>
      <c r="J704" s="2"/>
      <c r="K704" s="2" t="s">
        <v>38</v>
      </c>
    </row>
    <row r="705" spans="1:11" x14ac:dyDescent="0.25">
      <c r="A705" s="2" t="s">
        <v>1158</v>
      </c>
      <c r="B705" s="2" t="s">
        <v>1159</v>
      </c>
      <c r="C705" s="2" t="s">
        <v>79</v>
      </c>
      <c r="D705" s="2" t="s">
        <v>41</v>
      </c>
      <c r="E705" s="4">
        <v>46031</v>
      </c>
      <c r="F705" s="4">
        <v>46037</v>
      </c>
      <c r="G705" s="5">
        <v>4175</v>
      </c>
      <c r="H705" s="5"/>
      <c r="I705" s="2" t="s">
        <v>42</v>
      </c>
      <c r="J705" s="2"/>
      <c r="K705" s="2" t="s">
        <v>56</v>
      </c>
    </row>
    <row r="706" spans="1:11" x14ac:dyDescent="0.25">
      <c r="A706" s="2" t="s">
        <v>1160</v>
      </c>
      <c r="B706" s="2" t="s">
        <v>1161</v>
      </c>
      <c r="C706" s="2" t="s">
        <v>29</v>
      </c>
      <c r="D706" s="2" t="s">
        <v>68</v>
      </c>
      <c r="E706" s="4">
        <v>46275</v>
      </c>
      <c r="F706" s="4">
        <v>46290</v>
      </c>
      <c r="G706" s="5">
        <v>6050</v>
      </c>
      <c r="H706" s="5"/>
      <c r="I706" s="2" t="s">
        <v>42</v>
      </c>
      <c r="J706" s="2"/>
      <c r="K706" s="2" t="s">
        <v>65</v>
      </c>
    </row>
    <row r="707" spans="1:11" x14ac:dyDescent="0.25">
      <c r="A707" s="2" t="s">
        <v>1162</v>
      </c>
      <c r="B707" s="2" t="s">
        <v>243</v>
      </c>
      <c r="C707" s="2" t="s">
        <v>79</v>
      </c>
      <c r="D707" s="2" t="s">
        <v>41</v>
      </c>
      <c r="E707" s="4">
        <v>46137</v>
      </c>
      <c r="F707" s="4">
        <v>46148</v>
      </c>
      <c r="G707" s="5">
        <v>1875</v>
      </c>
      <c r="H707" s="5">
        <v>1742.95</v>
      </c>
      <c r="I707" s="2" t="s">
        <v>37</v>
      </c>
      <c r="J707" s="2"/>
      <c r="K707" s="2" t="s">
        <v>52</v>
      </c>
    </row>
    <row r="708" spans="1:11" x14ac:dyDescent="0.25">
      <c r="A708" s="2" t="s">
        <v>1163</v>
      </c>
      <c r="B708" s="2" t="s">
        <v>615</v>
      </c>
      <c r="C708" s="2" t="s">
        <v>79</v>
      </c>
      <c r="D708" s="2" t="s">
        <v>41</v>
      </c>
      <c r="E708" s="4">
        <v>46207</v>
      </c>
      <c r="F708" s="4">
        <v>46217</v>
      </c>
      <c r="G708" s="5">
        <v>10650</v>
      </c>
      <c r="H708" s="5">
        <v>0</v>
      </c>
      <c r="I708" s="2" t="s">
        <v>31</v>
      </c>
      <c r="J708" s="2" t="s">
        <v>347</v>
      </c>
      <c r="K708" s="2" t="s">
        <v>38</v>
      </c>
    </row>
    <row r="709" spans="1:11" x14ac:dyDescent="0.25">
      <c r="A709" s="2" t="s">
        <v>1164</v>
      </c>
      <c r="B709" s="2" t="s">
        <v>343</v>
      </c>
      <c r="C709" s="2" t="s">
        <v>46</v>
      </c>
      <c r="D709" s="2" t="s">
        <v>41</v>
      </c>
      <c r="E709" s="4">
        <v>46094</v>
      </c>
      <c r="F709" s="4">
        <v>46108</v>
      </c>
      <c r="G709" s="5">
        <v>1225</v>
      </c>
      <c r="H709" s="5"/>
      <c r="I709" s="2" t="s">
        <v>42</v>
      </c>
      <c r="J709" s="2"/>
      <c r="K709" s="2" t="s">
        <v>62</v>
      </c>
    </row>
    <row r="710" spans="1:11" x14ac:dyDescent="0.25">
      <c r="A710" s="2" t="s">
        <v>1165</v>
      </c>
      <c r="B710" s="2" t="s">
        <v>1166</v>
      </c>
      <c r="C710" s="2" t="s">
        <v>46</v>
      </c>
      <c r="D710" s="2" t="s">
        <v>94</v>
      </c>
      <c r="E710" s="4">
        <v>46097</v>
      </c>
      <c r="F710" s="4">
        <v>46115</v>
      </c>
      <c r="G710" s="5">
        <v>11475</v>
      </c>
      <c r="H710" s="5">
        <v>0</v>
      </c>
      <c r="I710" s="2" t="s">
        <v>31</v>
      </c>
      <c r="J710" s="2" t="s">
        <v>271</v>
      </c>
      <c r="K710" s="2" t="s">
        <v>33</v>
      </c>
    </row>
    <row r="711" spans="1:11" x14ac:dyDescent="0.25">
      <c r="A711" s="2" t="s">
        <v>1167</v>
      </c>
      <c r="B711" s="2" t="s">
        <v>333</v>
      </c>
      <c r="C711" s="2" t="s">
        <v>36</v>
      </c>
      <c r="D711" s="2" t="s">
        <v>309</v>
      </c>
      <c r="E711" s="4">
        <v>46138</v>
      </c>
      <c r="F711" s="4">
        <v>46147</v>
      </c>
      <c r="G711" s="5">
        <v>9850</v>
      </c>
      <c r="H711" s="5">
        <v>9324.2900000000009</v>
      </c>
      <c r="I711" s="2" t="s">
        <v>37</v>
      </c>
      <c r="J711" s="2"/>
      <c r="K711" s="2" t="s">
        <v>109</v>
      </c>
    </row>
    <row r="712" spans="1:11" x14ac:dyDescent="0.25">
      <c r="A712" s="2" t="s">
        <v>1168</v>
      </c>
      <c r="B712" s="2" t="s">
        <v>525</v>
      </c>
      <c r="C712" s="2" t="s">
        <v>29</v>
      </c>
      <c r="D712" s="2" t="s">
        <v>30</v>
      </c>
      <c r="E712" s="4">
        <v>46078</v>
      </c>
      <c r="F712" s="4">
        <v>46091</v>
      </c>
      <c r="G712" s="5">
        <v>7750</v>
      </c>
      <c r="H712" s="5">
        <v>6603.77</v>
      </c>
      <c r="I712" s="2" t="s">
        <v>37</v>
      </c>
      <c r="J712" s="2"/>
      <c r="K712" s="2" t="s">
        <v>62</v>
      </c>
    </row>
    <row r="713" spans="1:11" x14ac:dyDescent="0.25">
      <c r="A713" s="2" t="s">
        <v>1169</v>
      </c>
      <c r="B713" s="2" t="s">
        <v>1170</v>
      </c>
      <c r="C713" s="2" t="s">
        <v>46</v>
      </c>
      <c r="D713" s="2" t="s">
        <v>30</v>
      </c>
      <c r="E713" s="4">
        <v>46199</v>
      </c>
      <c r="F713" s="4">
        <v>46208</v>
      </c>
      <c r="G713" s="5">
        <v>4350</v>
      </c>
      <c r="H713" s="5">
        <v>3809.81</v>
      </c>
      <c r="I713" s="2" t="s">
        <v>37</v>
      </c>
      <c r="J713" s="2"/>
      <c r="K713" s="2" t="s">
        <v>83</v>
      </c>
    </row>
    <row r="714" spans="1:11" x14ac:dyDescent="0.25">
      <c r="A714" s="2" t="s">
        <v>1171</v>
      </c>
      <c r="B714" s="2" t="s">
        <v>266</v>
      </c>
      <c r="C714" s="2" t="s">
        <v>46</v>
      </c>
      <c r="D714" s="2" t="s">
        <v>80</v>
      </c>
      <c r="E714" s="4">
        <v>46064</v>
      </c>
      <c r="F714" s="4">
        <v>46082</v>
      </c>
      <c r="G714" s="5">
        <v>14700</v>
      </c>
      <c r="H714" s="5"/>
      <c r="I714" s="2" t="s">
        <v>42</v>
      </c>
      <c r="J714" s="2"/>
      <c r="K714" s="2" t="s">
        <v>83</v>
      </c>
    </row>
    <row r="715" spans="1:11" x14ac:dyDescent="0.25">
      <c r="A715" s="2" t="s">
        <v>1172</v>
      </c>
      <c r="B715" s="2" t="s">
        <v>825</v>
      </c>
      <c r="C715" s="2" t="s">
        <v>79</v>
      </c>
      <c r="D715" s="2" t="s">
        <v>80</v>
      </c>
      <c r="E715" s="4">
        <v>46263</v>
      </c>
      <c r="F715" s="4">
        <v>46283</v>
      </c>
      <c r="G715" s="5">
        <v>9350</v>
      </c>
      <c r="H715" s="5"/>
      <c r="I715" s="2" t="s">
        <v>42</v>
      </c>
      <c r="J715" s="2"/>
      <c r="K715" s="2" t="s">
        <v>43</v>
      </c>
    </row>
    <row r="716" spans="1:11" x14ac:dyDescent="0.25">
      <c r="A716" s="2" t="s">
        <v>1173</v>
      </c>
      <c r="B716" s="2" t="s">
        <v>1032</v>
      </c>
      <c r="C716" s="2" t="s">
        <v>36</v>
      </c>
      <c r="D716" s="2" t="s">
        <v>41</v>
      </c>
      <c r="E716" s="4">
        <v>46272</v>
      </c>
      <c r="F716" s="4">
        <v>46292</v>
      </c>
      <c r="G716" s="5">
        <v>10650</v>
      </c>
      <c r="H716" s="5"/>
      <c r="I716" s="2" t="s">
        <v>42</v>
      </c>
      <c r="J716" s="2"/>
      <c r="K716" s="2" t="s">
        <v>52</v>
      </c>
    </row>
    <row r="717" spans="1:11" x14ac:dyDescent="0.25">
      <c r="A717" s="2" t="s">
        <v>1174</v>
      </c>
      <c r="B717" s="2" t="s">
        <v>152</v>
      </c>
      <c r="C717" s="2" t="s">
        <v>46</v>
      </c>
      <c r="D717" s="2" t="s">
        <v>41</v>
      </c>
      <c r="E717" s="4">
        <v>46162</v>
      </c>
      <c r="F717" s="4">
        <v>46175</v>
      </c>
      <c r="G717" s="5">
        <v>10400</v>
      </c>
      <c r="H717" s="5">
        <v>7435.26</v>
      </c>
      <c r="I717" s="2" t="s">
        <v>37</v>
      </c>
      <c r="J717" s="2"/>
      <c r="K717" s="2" t="s">
        <v>33</v>
      </c>
    </row>
    <row r="718" spans="1:11" x14ac:dyDescent="0.25">
      <c r="A718" s="2" t="s">
        <v>1175</v>
      </c>
      <c r="B718" s="2" t="s">
        <v>220</v>
      </c>
      <c r="C718" s="2" t="s">
        <v>36</v>
      </c>
      <c r="D718" s="2" t="s">
        <v>41</v>
      </c>
      <c r="E718" s="4">
        <v>46024</v>
      </c>
      <c r="F718" s="4">
        <v>46044</v>
      </c>
      <c r="G718" s="5">
        <v>9850</v>
      </c>
      <c r="H718" s="5">
        <v>7026.9</v>
      </c>
      <c r="I718" s="2" t="s">
        <v>37</v>
      </c>
      <c r="J718" s="2"/>
      <c r="K718" s="2" t="s">
        <v>43</v>
      </c>
    </row>
    <row r="719" spans="1:11" x14ac:dyDescent="0.25">
      <c r="A719" s="2" t="s">
        <v>1176</v>
      </c>
      <c r="B719" s="2" t="s">
        <v>108</v>
      </c>
      <c r="C719" s="2" t="s">
        <v>36</v>
      </c>
      <c r="D719" s="2" t="s">
        <v>80</v>
      </c>
      <c r="E719" s="4">
        <v>46128</v>
      </c>
      <c r="F719" s="4">
        <v>46148</v>
      </c>
      <c r="G719" s="5">
        <v>4525</v>
      </c>
      <c r="H719" s="5">
        <v>3895.49</v>
      </c>
      <c r="I719" s="2" t="s">
        <v>37</v>
      </c>
      <c r="J719" s="2"/>
      <c r="K719" s="2" t="s">
        <v>56</v>
      </c>
    </row>
    <row r="720" spans="1:11" x14ac:dyDescent="0.25">
      <c r="A720" s="2" t="s">
        <v>1177</v>
      </c>
      <c r="B720" s="2" t="s">
        <v>421</v>
      </c>
      <c r="C720" s="2" t="s">
        <v>29</v>
      </c>
      <c r="D720" s="2" t="s">
        <v>30</v>
      </c>
      <c r="E720" s="4">
        <v>46102</v>
      </c>
      <c r="F720" s="4">
        <v>46106</v>
      </c>
      <c r="G720" s="5">
        <v>4050</v>
      </c>
      <c r="H720" s="5"/>
      <c r="I720" s="2" t="s">
        <v>42</v>
      </c>
      <c r="J720" s="2"/>
      <c r="K720" s="2" t="s">
        <v>33</v>
      </c>
    </row>
    <row r="721" spans="1:11" x14ac:dyDescent="0.25">
      <c r="A721" s="2" t="s">
        <v>1178</v>
      </c>
      <c r="B721" s="2" t="s">
        <v>469</v>
      </c>
      <c r="C721" s="2" t="s">
        <v>46</v>
      </c>
      <c r="D721" s="2" t="s">
        <v>30</v>
      </c>
      <c r="E721" s="4">
        <v>46205</v>
      </c>
      <c r="F721" s="4">
        <v>46217</v>
      </c>
      <c r="G721" s="5">
        <v>3625</v>
      </c>
      <c r="H721" s="5">
        <v>3153.23</v>
      </c>
      <c r="I721" s="2" t="s">
        <v>37</v>
      </c>
      <c r="J721" s="2"/>
      <c r="K721" s="2" t="s">
        <v>56</v>
      </c>
    </row>
    <row r="722" spans="1:11" x14ac:dyDescent="0.25">
      <c r="A722" s="2" t="s">
        <v>1179</v>
      </c>
      <c r="B722" s="2" t="s">
        <v>320</v>
      </c>
      <c r="C722" s="2" t="s">
        <v>79</v>
      </c>
      <c r="D722" s="2" t="s">
        <v>41</v>
      </c>
      <c r="E722" s="4">
        <v>46037</v>
      </c>
      <c r="F722" s="4">
        <v>46042</v>
      </c>
      <c r="G722" s="5">
        <v>2475</v>
      </c>
      <c r="H722" s="5">
        <v>1699.66</v>
      </c>
      <c r="I722" s="2" t="s">
        <v>37</v>
      </c>
      <c r="J722" s="2"/>
      <c r="K722" s="2" t="s">
        <v>65</v>
      </c>
    </row>
    <row r="723" spans="1:11" x14ac:dyDescent="0.25">
      <c r="A723" s="2" t="s">
        <v>1180</v>
      </c>
      <c r="B723" s="2" t="s">
        <v>1181</v>
      </c>
      <c r="C723" s="2" t="s">
        <v>36</v>
      </c>
      <c r="D723" s="2" t="s">
        <v>68</v>
      </c>
      <c r="E723" s="4">
        <v>46196</v>
      </c>
      <c r="F723" s="4">
        <v>46207</v>
      </c>
      <c r="G723" s="5">
        <v>12550</v>
      </c>
      <c r="H723" s="5">
        <v>10403.43</v>
      </c>
      <c r="I723" s="2" t="s">
        <v>37</v>
      </c>
      <c r="J723" s="2"/>
      <c r="K723" s="2" t="s">
        <v>109</v>
      </c>
    </row>
    <row r="724" spans="1:11" x14ac:dyDescent="0.25">
      <c r="A724" s="2" t="s">
        <v>1182</v>
      </c>
      <c r="B724" s="2" t="s">
        <v>1183</v>
      </c>
      <c r="C724" s="2" t="s">
        <v>79</v>
      </c>
      <c r="D724" s="2" t="s">
        <v>68</v>
      </c>
      <c r="E724" s="4">
        <v>46207</v>
      </c>
      <c r="F724" s="4">
        <v>46219</v>
      </c>
      <c r="G724" s="5">
        <v>13350</v>
      </c>
      <c r="H724" s="5">
        <v>10333.18</v>
      </c>
      <c r="I724" s="2" t="s">
        <v>37</v>
      </c>
      <c r="J724" s="2"/>
      <c r="K724" s="2" t="s">
        <v>38</v>
      </c>
    </row>
    <row r="725" spans="1:11" x14ac:dyDescent="0.25">
      <c r="A725" s="2" t="s">
        <v>1184</v>
      </c>
      <c r="B725" s="2" t="s">
        <v>1166</v>
      </c>
      <c r="C725" s="2" t="s">
        <v>46</v>
      </c>
      <c r="D725" s="2" t="s">
        <v>41</v>
      </c>
      <c r="E725" s="4">
        <v>46115</v>
      </c>
      <c r="F725" s="4">
        <v>46124</v>
      </c>
      <c r="G725" s="5">
        <v>4550</v>
      </c>
      <c r="H725" s="5">
        <v>0</v>
      </c>
      <c r="I725" s="2" t="s">
        <v>31</v>
      </c>
      <c r="J725" s="2" t="s">
        <v>47</v>
      </c>
      <c r="K725" s="2" t="s">
        <v>62</v>
      </c>
    </row>
    <row r="726" spans="1:11" x14ac:dyDescent="0.25">
      <c r="A726" s="2" t="s">
        <v>1185</v>
      </c>
      <c r="B726" s="2" t="s">
        <v>493</v>
      </c>
      <c r="C726" s="2" t="s">
        <v>29</v>
      </c>
      <c r="D726" s="2" t="s">
        <v>68</v>
      </c>
      <c r="E726" s="4">
        <v>46115</v>
      </c>
      <c r="F726" s="4">
        <v>46120</v>
      </c>
      <c r="G726" s="5">
        <v>7125</v>
      </c>
      <c r="H726" s="5">
        <v>5006.1099999999997</v>
      </c>
      <c r="I726" s="2" t="s">
        <v>37</v>
      </c>
      <c r="J726" s="2"/>
      <c r="K726" s="2" t="s">
        <v>43</v>
      </c>
    </row>
    <row r="727" spans="1:11" x14ac:dyDescent="0.25">
      <c r="A727" s="2" t="s">
        <v>1186</v>
      </c>
      <c r="B727" s="2" t="s">
        <v>314</v>
      </c>
      <c r="C727" s="2" t="s">
        <v>29</v>
      </c>
      <c r="D727" s="2" t="s">
        <v>94</v>
      </c>
      <c r="E727" s="4">
        <v>46112</v>
      </c>
      <c r="F727" s="4">
        <v>46126</v>
      </c>
      <c r="G727" s="5">
        <v>4550</v>
      </c>
      <c r="H727" s="5">
        <v>3475.1</v>
      </c>
      <c r="I727" s="2" t="s">
        <v>37</v>
      </c>
      <c r="J727" s="2"/>
      <c r="K727" s="2" t="s">
        <v>38</v>
      </c>
    </row>
    <row r="728" spans="1:11" x14ac:dyDescent="0.25">
      <c r="A728" s="2" t="s">
        <v>1187</v>
      </c>
      <c r="B728" s="2" t="s">
        <v>1188</v>
      </c>
      <c r="C728" s="2" t="s">
        <v>29</v>
      </c>
      <c r="D728" s="2" t="s">
        <v>30</v>
      </c>
      <c r="E728" s="4">
        <v>46098</v>
      </c>
      <c r="F728" s="4">
        <v>46112</v>
      </c>
      <c r="G728" s="5">
        <v>5375</v>
      </c>
      <c r="H728" s="5"/>
      <c r="I728" s="2" t="s">
        <v>42</v>
      </c>
      <c r="J728" s="2"/>
      <c r="K728" s="2" t="s">
        <v>56</v>
      </c>
    </row>
    <row r="729" spans="1:11" x14ac:dyDescent="0.25">
      <c r="A729" s="2" t="s">
        <v>1189</v>
      </c>
      <c r="B729" s="2" t="s">
        <v>85</v>
      </c>
      <c r="C729" s="2" t="s">
        <v>79</v>
      </c>
      <c r="D729" s="2" t="s">
        <v>61</v>
      </c>
      <c r="E729" s="4">
        <v>46141</v>
      </c>
      <c r="F729" s="4">
        <v>46157</v>
      </c>
      <c r="G729" s="5">
        <v>3000</v>
      </c>
      <c r="H729" s="5">
        <v>1683.4</v>
      </c>
      <c r="I729" s="2" t="s">
        <v>37</v>
      </c>
      <c r="J729" s="2"/>
      <c r="K729" s="2" t="s">
        <v>62</v>
      </c>
    </row>
    <row r="730" spans="1:11" x14ac:dyDescent="0.25">
      <c r="A730" s="2" t="s">
        <v>1190</v>
      </c>
      <c r="B730" s="2" t="s">
        <v>724</v>
      </c>
      <c r="C730" s="2" t="s">
        <v>29</v>
      </c>
      <c r="D730" s="2" t="s">
        <v>61</v>
      </c>
      <c r="E730" s="4">
        <v>46173</v>
      </c>
      <c r="F730" s="4">
        <v>46184</v>
      </c>
      <c r="G730" s="5">
        <v>10175</v>
      </c>
      <c r="H730" s="5">
        <v>6203.58</v>
      </c>
      <c r="I730" s="2" t="s">
        <v>37</v>
      </c>
      <c r="J730" s="2"/>
      <c r="K730" s="2" t="s">
        <v>338</v>
      </c>
    </row>
    <row r="731" spans="1:11" x14ac:dyDescent="0.25">
      <c r="A731" s="2" t="s">
        <v>1191</v>
      </c>
      <c r="B731" s="2" t="s">
        <v>571</v>
      </c>
      <c r="C731" s="2" t="s">
        <v>46</v>
      </c>
      <c r="D731" s="2" t="s">
        <v>41</v>
      </c>
      <c r="E731" s="4">
        <v>46059</v>
      </c>
      <c r="F731" s="4">
        <v>46073</v>
      </c>
      <c r="G731" s="5">
        <v>2075</v>
      </c>
      <c r="H731" s="5">
        <v>1326.78</v>
      </c>
      <c r="I731" s="2" t="s">
        <v>37</v>
      </c>
      <c r="J731" s="2"/>
      <c r="K731" s="2" t="s">
        <v>43</v>
      </c>
    </row>
    <row r="732" spans="1:11" x14ac:dyDescent="0.25">
      <c r="A732" s="2" t="s">
        <v>1192</v>
      </c>
      <c r="B732" s="2" t="s">
        <v>138</v>
      </c>
      <c r="C732" s="2" t="s">
        <v>36</v>
      </c>
      <c r="D732" s="2" t="s">
        <v>41</v>
      </c>
      <c r="E732" s="4">
        <v>46030</v>
      </c>
      <c r="F732" s="4">
        <v>46038</v>
      </c>
      <c r="G732" s="5">
        <v>425</v>
      </c>
      <c r="H732" s="5"/>
      <c r="I732" s="2" t="s">
        <v>42</v>
      </c>
      <c r="J732" s="2"/>
      <c r="K732" s="2" t="s">
        <v>83</v>
      </c>
    </row>
    <row r="733" spans="1:11" x14ac:dyDescent="0.25">
      <c r="A733" s="2" t="s">
        <v>1193</v>
      </c>
      <c r="B733" s="2" t="s">
        <v>45</v>
      </c>
      <c r="C733" s="2" t="s">
        <v>36</v>
      </c>
      <c r="D733" s="2" t="s">
        <v>41</v>
      </c>
      <c r="E733" s="4">
        <v>46083</v>
      </c>
      <c r="F733" s="4">
        <v>46089</v>
      </c>
      <c r="G733" s="5">
        <v>2075</v>
      </c>
      <c r="H733" s="5">
        <v>1920.77</v>
      </c>
      <c r="I733" s="2" t="s">
        <v>37</v>
      </c>
      <c r="J733" s="2"/>
      <c r="K733" s="2" t="s">
        <v>38</v>
      </c>
    </row>
    <row r="734" spans="1:11" x14ac:dyDescent="0.25">
      <c r="A734" s="2" t="s">
        <v>1194</v>
      </c>
      <c r="B734" s="2" t="s">
        <v>413</v>
      </c>
      <c r="C734" s="2" t="s">
        <v>79</v>
      </c>
      <c r="D734" s="2" t="s">
        <v>41</v>
      </c>
      <c r="E734" s="4">
        <v>46281</v>
      </c>
      <c r="F734" s="4">
        <v>46292</v>
      </c>
      <c r="G734" s="5">
        <v>7200</v>
      </c>
      <c r="H734" s="5"/>
      <c r="I734" s="2" t="s">
        <v>42</v>
      </c>
      <c r="J734" s="2"/>
      <c r="K734" s="2" t="s">
        <v>823</v>
      </c>
    </row>
    <row r="735" spans="1:11" x14ac:dyDescent="0.25">
      <c r="A735" s="2" t="s">
        <v>1195</v>
      </c>
      <c r="B735" s="2" t="s">
        <v>1196</v>
      </c>
      <c r="C735" s="2" t="s">
        <v>29</v>
      </c>
      <c r="D735" s="2" t="s">
        <v>41</v>
      </c>
      <c r="E735" s="4">
        <v>46177</v>
      </c>
      <c r="F735" s="4">
        <v>46189</v>
      </c>
      <c r="G735" s="5">
        <v>5650</v>
      </c>
      <c r="H735" s="5"/>
      <c r="I735" s="2" t="s">
        <v>42</v>
      </c>
      <c r="J735" s="2"/>
      <c r="K735" s="2" t="s">
        <v>38</v>
      </c>
    </row>
    <row r="736" spans="1:11" x14ac:dyDescent="0.25">
      <c r="A736" s="2" t="s">
        <v>1197</v>
      </c>
      <c r="B736" s="2" t="s">
        <v>407</v>
      </c>
      <c r="C736" s="2" t="s">
        <v>36</v>
      </c>
      <c r="D736" s="2" t="s">
        <v>30</v>
      </c>
      <c r="E736" s="4">
        <v>46037</v>
      </c>
      <c r="F736" s="4">
        <v>46046</v>
      </c>
      <c r="G736" s="5">
        <v>8475</v>
      </c>
      <c r="H736" s="5">
        <v>8159.92</v>
      </c>
      <c r="I736" s="2" t="s">
        <v>37</v>
      </c>
      <c r="J736" s="2"/>
      <c r="K736" s="2" t="s">
        <v>48</v>
      </c>
    </row>
    <row r="737" spans="1:11" x14ac:dyDescent="0.25">
      <c r="A737" s="2" t="s">
        <v>1198</v>
      </c>
      <c r="B737" s="2" t="s">
        <v>379</v>
      </c>
      <c r="C737" s="2" t="s">
        <v>29</v>
      </c>
      <c r="D737" s="2" t="s">
        <v>41</v>
      </c>
      <c r="E737" s="4">
        <v>46245</v>
      </c>
      <c r="F737" s="4">
        <v>46253</v>
      </c>
      <c r="G737" s="5">
        <v>9625</v>
      </c>
      <c r="H737" s="5"/>
      <c r="I737" s="2" t="s">
        <v>42</v>
      </c>
      <c r="J737" s="2"/>
      <c r="K737" s="2" t="s">
        <v>109</v>
      </c>
    </row>
    <row r="738" spans="1:11" x14ac:dyDescent="0.25">
      <c r="A738" s="2" t="s">
        <v>1199</v>
      </c>
      <c r="B738" s="2" t="s">
        <v>714</v>
      </c>
      <c r="C738" s="2" t="s">
        <v>46</v>
      </c>
      <c r="D738" s="2" t="s">
        <v>55</v>
      </c>
      <c r="E738" s="4">
        <v>46252</v>
      </c>
      <c r="F738" s="4">
        <v>46260</v>
      </c>
      <c r="G738" s="5">
        <v>9500</v>
      </c>
      <c r="H738" s="5"/>
      <c r="I738" s="2" t="s">
        <v>42</v>
      </c>
      <c r="J738" s="2"/>
      <c r="K738" s="2" t="s">
        <v>83</v>
      </c>
    </row>
    <row r="739" spans="1:11" x14ac:dyDescent="0.25">
      <c r="A739" s="2" t="s">
        <v>1200</v>
      </c>
      <c r="B739" s="2" t="s">
        <v>975</v>
      </c>
      <c r="C739" s="2" t="s">
        <v>36</v>
      </c>
      <c r="D739" s="2" t="s">
        <v>68</v>
      </c>
      <c r="E739" s="4">
        <v>46015</v>
      </c>
      <c r="F739" s="4">
        <v>46026</v>
      </c>
      <c r="G739" s="5">
        <v>12975</v>
      </c>
      <c r="H739" s="5">
        <v>0</v>
      </c>
      <c r="I739" s="2" t="s">
        <v>31</v>
      </c>
      <c r="J739" s="2" t="s">
        <v>47</v>
      </c>
      <c r="K739" s="2" t="s">
        <v>43</v>
      </c>
    </row>
    <row r="740" spans="1:11" x14ac:dyDescent="0.25">
      <c r="A740" s="2" t="s">
        <v>1201</v>
      </c>
      <c r="B740" s="2" t="s">
        <v>1202</v>
      </c>
      <c r="C740" s="2" t="s">
        <v>46</v>
      </c>
      <c r="D740" s="2" t="s">
        <v>80</v>
      </c>
      <c r="E740" s="4">
        <v>46085</v>
      </c>
      <c r="F740" s="4">
        <v>46089</v>
      </c>
      <c r="G740" s="5">
        <v>8150</v>
      </c>
      <c r="H740" s="5">
        <v>6817.9</v>
      </c>
      <c r="I740" s="2" t="s">
        <v>299</v>
      </c>
      <c r="J740" s="2"/>
      <c r="K740" s="2" t="s">
        <v>52</v>
      </c>
    </row>
    <row r="741" spans="1:11" x14ac:dyDescent="0.25">
      <c r="A741" s="2" t="s">
        <v>1203</v>
      </c>
      <c r="B741" s="2" t="s">
        <v>638</v>
      </c>
      <c r="C741" s="2" t="s">
        <v>29</v>
      </c>
      <c r="D741" s="2" t="s">
        <v>55</v>
      </c>
      <c r="E741" s="4">
        <v>46222</v>
      </c>
      <c r="F741" s="4">
        <v>46237</v>
      </c>
      <c r="G741" s="5">
        <v>4475</v>
      </c>
      <c r="H741" s="5"/>
      <c r="I741" s="2" t="s">
        <v>42</v>
      </c>
      <c r="J741" s="2"/>
      <c r="K741" s="2" t="s">
        <v>33</v>
      </c>
    </row>
    <row r="742" spans="1:11" x14ac:dyDescent="0.25">
      <c r="A742" s="2" t="s">
        <v>1204</v>
      </c>
      <c r="B742" s="2" t="s">
        <v>324</v>
      </c>
      <c r="C742" s="2" t="s">
        <v>36</v>
      </c>
      <c r="D742" s="2" t="s">
        <v>71</v>
      </c>
      <c r="E742" s="4">
        <v>46061</v>
      </c>
      <c r="F742" s="4">
        <v>46077</v>
      </c>
      <c r="G742" s="5">
        <v>4725</v>
      </c>
      <c r="H742" s="5">
        <v>4447.96</v>
      </c>
      <c r="I742" s="2" t="s">
        <v>37</v>
      </c>
      <c r="J742" s="2"/>
      <c r="K742" s="2" t="s">
        <v>48</v>
      </c>
    </row>
    <row r="743" spans="1:11" x14ac:dyDescent="0.25">
      <c r="A743" s="2" t="s">
        <v>1205</v>
      </c>
      <c r="B743" s="2" t="s">
        <v>232</v>
      </c>
      <c r="C743" s="2" t="s">
        <v>79</v>
      </c>
      <c r="D743" s="2" t="s">
        <v>68</v>
      </c>
      <c r="E743" s="4">
        <v>46279</v>
      </c>
      <c r="F743" s="4">
        <v>46290</v>
      </c>
      <c r="G743" s="5">
        <v>7425</v>
      </c>
      <c r="H743" s="5"/>
      <c r="I743" s="2" t="s">
        <v>42</v>
      </c>
      <c r="J743" s="2"/>
      <c r="K743" s="2" t="s">
        <v>62</v>
      </c>
    </row>
    <row r="744" spans="1:11" x14ac:dyDescent="0.25">
      <c r="A744" s="2" t="s">
        <v>1206</v>
      </c>
      <c r="B744" s="2" t="s">
        <v>957</v>
      </c>
      <c r="C744" s="2" t="s">
        <v>36</v>
      </c>
      <c r="D744" s="2" t="s">
        <v>30</v>
      </c>
      <c r="E744" s="4">
        <v>46137</v>
      </c>
      <c r="F744" s="4">
        <v>46141</v>
      </c>
      <c r="G744" s="5">
        <v>14450</v>
      </c>
      <c r="H744" s="5">
        <v>0</v>
      </c>
      <c r="I744" s="2" t="s">
        <v>31</v>
      </c>
      <c r="J744" s="2" t="s">
        <v>32</v>
      </c>
      <c r="K744" s="2" t="s">
        <v>48</v>
      </c>
    </row>
    <row r="745" spans="1:11" x14ac:dyDescent="0.25">
      <c r="A745" s="2" t="s">
        <v>1207</v>
      </c>
      <c r="B745" s="2" t="s">
        <v>1208</v>
      </c>
      <c r="C745" s="2" t="s">
        <v>46</v>
      </c>
      <c r="D745" s="2" t="s">
        <v>41</v>
      </c>
      <c r="E745" s="4">
        <v>46199</v>
      </c>
      <c r="F745" s="4">
        <v>46215</v>
      </c>
      <c r="G745" s="5">
        <v>11350</v>
      </c>
      <c r="H745" s="5">
        <v>10235</v>
      </c>
      <c r="I745" s="2" t="s">
        <v>37</v>
      </c>
      <c r="J745" s="2"/>
      <c r="K745" s="2" t="s">
        <v>52</v>
      </c>
    </row>
    <row r="746" spans="1:11" x14ac:dyDescent="0.25">
      <c r="A746" s="2" t="s">
        <v>1209</v>
      </c>
      <c r="B746" s="2" t="s">
        <v>87</v>
      </c>
      <c r="C746" s="2" t="s">
        <v>29</v>
      </c>
      <c r="D746" s="2" t="s">
        <v>61</v>
      </c>
      <c r="E746" s="4">
        <v>46091</v>
      </c>
      <c r="F746" s="4">
        <v>46107</v>
      </c>
      <c r="G746" s="5">
        <v>6675</v>
      </c>
      <c r="H746" s="5">
        <v>5362.58</v>
      </c>
      <c r="I746" s="2" t="s">
        <v>37</v>
      </c>
      <c r="J746" s="2"/>
      <c r="K746" s="2" t="s">
        <v>52</v>
      </c>
    </row>
    <row r="747" spans="1:11" x14ac:dyDescent="0.25">
      <c r="A747" s="2" t="s">
        <v>1210</v>
      </c>
      <c r="B747" s="2" t="s">
        <v>1087</v>
      </c>
      <c r="C747" s="2" t="s">
        <v>46</v>
      </c>
      <c r="D747" s="2" t="s">
        <v>55</v>
      </c>
      <c r="E747" s="4">
        <v>46054</v>
      </c>
      <c r="F747" s="4">
        <v>46071</v>
      </c>
      <c r="G747" s="5">
        <v>7950</v>
      </c>
      <c r="H747" s="5">
        <v>5869.09</v>
      </c>
      <c r="I747" s="2" t="s">
        <v>37</v>
      </c>
      <c r="J747" s="2"/>
      <c r="K747" s="2" t="s">
        <v>65</v>
      </c>
    </row>
    <row r="748" spans="1:11" x14ac:dyDescent="0.25">
      <c r="A748" s="2" t="s">
        <v>1211</v>
      </c>
      <c r="B748" s="2" t="s">
        <v>530</v>
      </c>
      <c r="C748" s="2" t="s">
        <v>46</v>
      </c>
      <c r="D748" s="2" t="s">
        <v>61</v>
      </c>
      <c r="E748" s="4">
        <v>46187</v>
      </c>
      <c r="F748" s="4">
        <v>46203</v>
      </c>
      <c r="G748" s="5">
        <v>6150</v>
      </c>
      <c r="H748" s="5">
        <v>4857.59</v>
      </c>
      <c r="I748" s="2" t="s">
        <v>37</v>
      </c>
      <c r="J748" s="2"/>
      <c r="K748" s="2" t="s">
        <v>48</v>
      </c>
    </row>
    <row r="749" spans="1:11" x14ac:dyDescent="0.25">
      <c r="A749" s="2" t="s">
        <v>1212</v>
      </c>
      <c r="B749" s="2" t="s">
        <v>547</v>
      </c>
      <c r="C749" s="2" t="s">
        <v>46</v>
      </c>
      <c r="D749" s="2" t="s">
        <v>55</v>
      </c>
      <c r="E749" s="4">
        <v>46144</v>
      </c>
      <c r="F749" s="4">
        <v>46149</v>
      </c>
      <c r="G749" s="5">
        <v>14950</v>
      </c>
      <c r="H749" s="5">
        <v>10158.23</v>
      </c>
      <c r="I749" s="2" t="s">
        <v>37</v>
      </c>
      <c r="J749" s="2"/>
      <c r="K749" s="2" t="s">
        <v>33</v>
      </c>
    </row>
    <row r="750" spans="1:11" x14ac:dyDescent="0.25">
      <c r="A750" s="2" t="s">
        <v>1213</v>
      </c>
      <c r="B750" s="2" t="s">
        <v>1214</v>
      </c>
      <c r="C750" s="2" t="s">
        <v>36</v>
      </c>
      <c r="D750" s="2" t="s">
        <v>61</v>
      </c>
      <c r="E750" s="4">
        <v>46134</v>
      </c>
      <c r="F750" s="4">
        <v>46143</v>
      </c>
      <c r="G750" s="5">
        <v>4900</v>
      </c>
      <c r="H750" s="5">
        <v>3687.12</v>
      </c>
      <c r="I750" s="2" t="s">
        <v>37</v>
      </c>
      <c r="J750" s="2"/>
      <c r="K750" s="2" t="s">
        <v>38</v>
      </c>
    </row>
    <row r="751" spans="1:11" x14ac:dyDescent="0.25">
      <c r="A751" s="2" t="s">
        <v>1215</v>
      </c>
      <c r="B751" s="2" t="s">
        <v>584</v>
      </c>
      <c r="C751" s="2" t="s">
        <v>46</v>
      </c>
      <c r="D751" s="2" t="s">
        <v>41</v>
      </c>
      <c r="E751" s="4">
        <v>46129</v>
      </c>
      <c r="F751" s="4">
        <v>46132</v>
      </c>
      <c r="G751" s="5">
        <v>3250</v>
      </c>
      <c r="H751" s="5"/>
      <c r="I751" s="2" t="s">
        <v>42</v>
      </c>
      <c r="J751" s="2"/>
      <c r="K751" s="2" t="s">
        <v>52</v>
      </c>
    </row>
    <row r="752" spans="1:11" x14ac:dyDescent="0.25">
      <c r="A752" s="2" t="s">
        <v>1216</v>
      </c>
      <c r="B752" s="2" t="s">
        <v>452</v>
      </c>
      <c r="C752" s="2" t="s">
        <v>79</v>
      </c>
      <c r="D752" s="2" t="s">
        <v>61</v>
      </c>
      <c r="E752" s="4">
        <v>46194</v>
      </c>
      <c r="F752" s="4">
        <v>46214</v>
      </c>
      <c r="G752" s="5">
        <v>14200</v>
      </c>
      <c r="H752" s="5">
        <v>14105.37</v>
      </c>
      <c r="I752" s="2" t="s">
        <v>37</v>
      </c>
      <c r="J752" s="2"/>
      <c r="K752" s="2" t="s">
        <v>65</v>
      </c>
    </row>
    <row r="753" spans="1:11" x14ac:dyDescent="0.25">
      <c r="A753" s="2" t="s">
        <v>1217</v>
      </c>
      <c r="B753" s="2" t="s">
        <v>1208</v>
      </c>
      <c r="C753" s="2" t="s">
        <v>36</v>
      </c>
      <c r="D753" s="2"/>
      <c r="E753" s="4">
        <v>46086</v>
      </c>
      <c r="F753" s="4">
        <v>46089</v>
      </c>
      <c r="G753" s="5">
        <v>4650</v>
      </c>
      <c r="H753" s="5">
        <v>2583.7399999999998</v>
      </c>
      <c r="I753" s="2" t="s">
        <v>37</v>
      </c>
      <c r="J753" s="2"/>
      <c r="K753" s="2" t="s">
        <v>109</v>
      </c>
    </row>
    <row r="754" spans="1:11" x14ac:dyDescent="0.25">
      <c r="A754" s="2" t="s">
        <v>1218</v>
      </c>
      <c r="B754" s="2" t="s">
        <v>1219</v>
      </c>
      <c r="C754" s="2" t="s">
        <v>46</v>
      </c>
      <c r="D754" s="2" t="s">
        <v>61</v>
      </c>
      <c r="E754" s="4">
        <v>46183</v>
      </c>
      <c r="F754" s="4">
        <v>46192</v>
      </c>
      <c r="G754" s="5">
        <v>11675</v>
      </c>
      <c r="H754" s="5">
        <v>0</v>
      </c>
      <c r="I754" s="2" t="s">
        <v>31</v>
      </c>
      <c r="J754" s="2" t="s">
        <v>72</v>
      </c>
      <c r="K754" s="2" t="s">
        <v>48</v>
      </c>
    </row>
    <row r="755" spans="1:11" x14ac:dyDescent="0.25">
      <c r="A755" s="2" t="s">
        <v>1220</v>
      </c>
      <c r="B755" s="2" t="s">
        <v>164</v>
      </c>
      <c r="C755" s="2" t="s">
        <v>36</v>
      </c>
      <c r="D755" s="2" t="s">
        <v>80</v>
      </c>
      <c r="E755" s="4">
        <v>46151</v>
      </c>
      <c r="F755" s="4">
        <v>46160</v>
      </c>
      <c r="G755" s="5">
        <v>4000</v>
      </c>
      <c r="H755" s="5">
        <v>3100.6</v>
      </c>
      <c r="I755" s="2" t="s">
        <v>37</v>
      </c>
      <c r="J755" s="2"/>
      <c r="K755" s="2" t="s">
        <v>43</v>
      </c>
    </row>
    <row r="756" spans="1:11" x14ac:dyDescent="0.25">
      <c r="A756" s="2" t="s">
        <v>1221</v>
      </c>
      <c r="B756" s="2" t="s">
        <v>896</v>
      </c>
      <c r="C756" s="2" t="s">
        <v>79</v>
      </c>
      <c r="D756" s="2" t="s">
        <v>61</v>
      </c>
      <c r="E756" s="4">
        <v>46244</v>
      </c>
      <c r="F756" s="4">
        <v>46261</v>
      </c>
      <c r="G756" s="5">
        <v>2225</v>
      </c>
      <c r="H756" s="5"/>
      <c r="I756" s="2" t="s">
        <v>42</v>
      </c>
      <c r="J756" s="2"/>
      <c r="K756" s="2" t="s">
        <v>33</v>
      </c>
    </row>
    <row r="757" spans="1:11" x14ac:dyDescent="0.25">
      <c r="A757" s="2" t="s">
        <v>1222</v>
      </c>
      <c r="B757" s="2" t="s">
        <v>290</v>
      </c>
      <c r="C757" s="2" t="s">
        <v>46</v>
      </c>
      <c r="D757" s="2" t="s">
        <v>61</v>
      </c>
      <c r="E757" s="4">
        <v>46182</v>
      </c>
      <c r="F757" s="4">
        <v>46197</v>
      </c>
      <c r="G757" s="5">
        <v>3775</v>
      </c>
      <c r="H757" s="5">
        <v>3577.57</v>
      </c>
      <c r="I757" s="2" t="s">
        <v>37</v>
      </c>
      <c r="J757" s="2"/>
      <c r="K757" s="2" t="s">
        <v>43</v>
      </c>
    </row>
    <row r="758" spans="1:11" x14ac:dyDescent="0.25">
      <c r="A758" s="2" t="s">
        <v>1223</v>
      </c>
      <c r="B758" s="2" t="s">
        <v>533</v>
      </c>
      <c r="C758" s="2" t="s">
        <v>79</v>
      </c>
      <c r="D758" s="2" t="s">
        <v>41</v>
      </c>
      <c r="E758" s="4">
        <v>46089</v>
      </c>
      <c r="F758" s="4">
        <v>46107</v>
      </c>
      <c r="G758" s="5">
        <v>11125</v>
      </c>
      <c r="H758" s="5">
        <v>9073.49</v>
      </c>
      <c r="I758" s="2" t="s">
        <v>37</v>
      </c>
      <c r="J758" s="2"/>
      <c r="K758" s="2" t="s">
        <v>56</v>
      </c>
    </row>
    <row r="759" spans="1:11" x14ac:dyDescent="0.25">
      <c r="A759" s="2" t="s">
        <v>1224</v>
      </c>
      <c r="B759" s="2" t="s">
        <v>382</v>
      </c>
      <c r="C759" s="2" t="s">
        <v>46</v>
      </c>
      <c r="D759" s="2" t="s">
        <v>41</v>
      </c>
      <c r="E759" s="4">
        <v>46103</v>
      </c>
      <c r="F759" s="4">
        <v>46113</v>
      </c>
      <c r="G759" s="5">
        <v>2425</v>
      </c>
      <c r="H759" s="5"/>
      <c r="I759" s="2" t="s">
        <v>42</v>
      </c>
      <c r="J759" s="2"/>
      <c r="K759" s="2" t="s">
        <v>83</v>
      </c>
    </row>
    <row r="760" spans="1:11" x14ac:dyDescent="0.25">
      <c r="A760" s="2" t="s">
        <v>1225</v>
      </c>
      <c r="B760" s="2" t="s">
        <v>1226</v>
      </c>
      <c r="C760" s="2" t="s">
        <v>36</v>
      </c>
      <c r="D760" s="2" t="s">
        <v>94</v>
      </c>
      <c r="E760" s="4">
        <v>46262</v>
      </c>
      <c r="F760" s="4">
        <v>46276</v>
      </c>
      <c r="G760" s="5">
        <v>6275</v>
      </c>
      <c r="H760" s="5"/>
      <c r="I760" s="2" t="s">
        <v>42</v>
      </c>
      <c r="J760" s="2"/>
      <c r="K760" s="2" t="s">
        <v>52</v>
      </c>
    </row>
    <row r="761" spans="1:11" x14ac:dyDescent="0.25">
      <c r="A761" s="2" t="s">
        <v>1227</v>
      </c>
      <c r="B761" s="2" t="s">
        <v>925</v>
      </c>
      <c r="C761" s="2" t="s">
        <v>46</v>
      </c>
      <c r="D761" s="2" t="s">
        <v>30</v>
      </c>
      <c r="E761" s="4">
        <v>46171</v>
      </c>
      <c r="F761" s="4">
        <v>46187</v>
      </c>
      <c r="G761" s="5">
        <v>6250</v>
      </c>
      <c r="H761" s="5">
        <v>6217.96</v>
      </c>
      <c r="I761" s="2" t="s">
        <v>37</v>
      </c>
      <c r="J761" s="2"/>
      <c r="K761" s="2" t="s">
        <v>65</v>
      </c>
    </row>
    <row r="762" spans="1:11" x14ac:dyDescent="0.25">
      <c r="A762" s="2" t="s">
        <v>1228</v>
      </c>
      <c r="B762" s="2" t="s">
        <v>324</v>
      </c>
      <c r="C762" s="2" t="s">
        <v>79</v>
      </c>
      <c r="D762" s="2" t="s">
        <v>61</v>
      </c>
      <c r="E762" s="4">
        <v>46202</v>
      </c>
      <c r="F762" s="4">
        <v>46222</v>
      </c>
      <c r="G762" s="5">
        <v>10025</v>
      </c>
      <c r="H762" s="5"/>
      <c r="I762" s="2" t="s">
        <v>42</v>
      </c>
      <c r="J762" s="2"/>
      <c r="K762" s="2" t="s">
        <v>43</v>
      </c>
    </row>
    <row r="763" spans="1:11" x14ac:dyDescent="0.25">
      <c r="A763" s="2" t="s">
        <v>1229</v>
      </c>
      <c r="B763" s="2" t="s">
        <v>152</v>
      </c>
      <c r="C763" s="2" t="s">
        <v>36</v>
      </c>
      <c r="D763" s="2" t="s">
        <v>41</v>
      </c>
      <c r="E763" s="4">
        <v>46042</v>
      </c>
      <c r="F763" s="4">
        <v>46045</v>
      </c>
      <c r="G763" s="5">
        <v>4400</v>
      </c>
      <c r="H763" s="5">
        <v>0</v>
      </c>
      <c r="I763" s="2" t="s">
        <v>31</v>
      </c>
      <c r="J763" s="2" t="s">
        <v>271</v>
      </c>
      <c r="K763" s="2" t="s">
        <v>43</v>
      </c>
    </row>
    <row r="764" spans="1:11" x14ac:dyDescent="0.25">
      <c r="A764" s="2" t="s">
        <v>1230</v>
      </c>
      <c r="B764" s="2" t="s">
        <v>1231</v>
      </c>
      <c r="C764" s="2" t="s">
        <v>29</v>
      </c>
      <c r="D764" s="2" t="s">
        <v>30</v>
      </c>
      <c r="E764" s="4">
        <v>46220</v>
      </c>
      <c r="F764" s="4">
        <v>46223</v>
      </c>
      <c r="G764" s="5">
        <v>12900</v>
      </c>
      <c r="H764" s="5">
        <v>10340.16</v>
      </c>
      <c r="I764" s="2" t="s">
        <v>37</v>
      </c>
      <c r="J764" s="2"/>
      <c r="K764" s="2" t="s">
        <v>33</v>
      </c>
    </row>
    <row r="765" spans="1:11" x14ac:dyDescent="0.25">
      <c r="A765" s="2" t="s">
        <v>1232</v>
      </c>
      <c r="B765" s="2" t="s">
        <v>989</v>
      </c>
      <c r="C765" s="2" t="s">
        <v>79</v>
      </c>
      <c r="D765" s="2" t="s">
        <v>55</v>
      </c>
      <c r="E765" s="4">
        <v>46081</v>
      </c>
      <c r="F765" s="4">
        <v>46092</v>
      </c>
      <c r="G765" s="5">
        <v>3675</v>
      </c>
      <c r="H765" s="5">
        <v>2271.1</v>
      </c>
      <c r="I765" s="2" t="s">
        <v>37</v>
      </c>
      <c r="J765" s="2"/>
      <c r="K765" s="2" t="s">
        <v>56</v>
      </c>
    </row>
    <row r="766" spans="1:11" x14ac:dyDescent="0.25">
      <c r="A766" s="2" t="s">
        <v>1233</v>
      </c>
      <c r="B766" s="2" t="s">
        <v>1087</v>
      </c>
      <c r="C766" s="2" t="s">
        <v>79</v>
      </c>
      <c r="D766" s="2" t="s">
        <v>55</v>
      </c>
      <c r="E766" s="4">
        <v>46144</v>
      </c>
      <c r="F766" s="4">
        <v>46155</v>
      </c>
      <c r="G766" s="5">
        <v>13775</v>
      </c>
      <c r="H766" s="5">
        <v>13222.57</v>
      </c>
      <c r="I766" s="2" t="s">
        <v>37</v>
      </c>
      <c r="J766" s="2"/>
      <c r="K766" s="2" t="s">
        <v>33</v>
      </c>
    </row>
    <row r="767" spans="1:11" x14ac:dyDescent="0.25">
      <c r="A767" s="2" t="s">
        <v>1234</v>
      </c>
      <c r="B767" s="2" t="s">
        <v>663</v>
      </c>
      <c r="C767" s="2" t="s">
        <v>46</v>
      </c>
      <c r="D767" s="2" t="s">
        <v>61</v>
      </c>
      <c r="E767" s="4">
        <v>46241</v>
      </c>
      <c r="F767" s="4">
        <v>46244</v>
      </c>
      <c r="G767" s="5">
        <v>10250</v>
      </c>
      <c r="H767" s="5"/>
      <c r="I767" s="2" t="s">
        <v>42</v>
      </c>
      <c r="J767" s="2"/>
      <c r="K767" s="2" t="s">
        <v>65</v>
      </c>
    </row>
    <row r="768" spans="1:11" x14ac:dyDescent="0.25">
      <c r="A768" s="2" t="s">
        <v>1235</v>
      </c>
      <c r="B768" s="2" t="s">
        <v>1076</v>
      </c>
      <c r="C768" s="2" t="s">
        <v>46</v>
      </c>
      <c r="D768" s="2" t="s">
        <v>41</v>
      </c>
      <c r="E768" s="4">
        <v>46180</v>
      </c>
      <c r="F768" s="4">
        <v>46197</v>
      </c>
      <c r="G768" s="5">
        <v>3325</v>
      </c>
      <c r="H768" s="5">
        <v>2878.74</v>
      </c>
      <c r="I768" s="2" t="s">
        <v>37</v>
      </c>
      <c r="J768" s="2"/>
      <c r="K768" s="2" t="s">
        <v>65</v>
      </c>
    </row>
    <row r="769" spans="1:11" x14ac:dyDescent="0.25">
      <c r="A769" s="2" t="s">
        <v>1236</v>
      </c>
      <c r="B769" s="2" t="s">
        <v>853</v>
      </c>
      <c r="C769" s="2" t="s">
        <v>29</v>
      </c>
      <c r="D769" s="2" t="s">
        <v>71</v>
      </c>
      <c r="E769" s="4">
        <v>46108</v>
      </c>
      <c r="F769" s="4">
        <v>46124</v>
      </c>
      <c r="G769" s="5">
        <v>3050</v>
      </c>
      <c r="H769" s="5">
        <v>0</v>
      </c>
      <c r="I769" s="2" t="s">
        <v>31</v>
      </c>
      <c r="J769" s="2" t="s">
        <v>47</v>
      </c>
      <c r="K769" s="2" t="s">
        <v>109</v>
      </c>
    </row>
    <row r="770" spans="1:11" x14ac:dyDescent="0.25">
      <c r="A770" s="2" t="s">
        <v>1237</v>
      </c>
      <c r="B770" s="2" t="s">
        <v>688</v>
      </c>
      <c r="C770" s="2" t="s">
        <v>46</v>
      </c>
      <c r="D770" s="2" t="s">
        <v>55</v>
      </c>
      <c r="E770" s="4">
        <v>46195</v>
      </c>
      <c r="F770" s="4">
        <v>46204</v>
      </c>
      <c r="G770" s="5">
        <v>12975</v>
      </c>
      <c r="H770" s="5">
        <v>11830.56</v>
      </c>
      <c r="I770" s="2" t="s">
        <v>37</v>
      </c>
      <c r="J770" s="2"/>
      <c r="K770" s="2" t="s">
        <v>43</v>
      </c>
    </row>
    <row r="771" spans="1:11" x14ac:dyDescent="0.25">
      <c r="A771" s="2" t="s">
        <v>1238</v>
      </c>
      <c r="B771" s="2" t="s">
        <v>892</v>
      </c>
      <c r="C771" s="2" t="s">
        <v>79</v>
      </c>
      <c r="D771" s="2" t="s">
        <v>61</v>
      </c>
      <c r="E771" s="4">
        <v>46261</v>
      </c>
      <c r="F771" s="4">
        <v>46268</v>
      </c>
      <c r="G771" s="5">
        <v>2050</v>
      </c>
      <c r="H771" s="5"/>
      <c r="I771" s="2" t="s">
        <v>42</v>
      </c>
      <c r="J771" s="2"/>
      <c r="K771" s="2" t="s">
        <v>83</v>
      </c>
    </row>
    <row r="772" spans="1:11" x14ac:dyDescent="0.25">
      <c r="A772" s="2" t="s">
        <v>1239</v>
      </c>
      <c r="B772" s="2" t="s">
        <v>1240</v>
      </c>
      <c r="C772" s="2" t="s">
        <v>29</v>
      </c>
      <c r="D772" s="2" t="s">
        <v>41</v>
      </c>
      <c r="E772" s="4">
        <v>46161</v>
      </c>
      <c r="F772" s="4">
        <v>46180</v>
      </c>
      <c r="G772" s="5">
        <v>13475</v>
      </c>
      <c r="H772" s="5"/>
      <c r="I772" s="2" t="s">
        <v>42</v>
      </c>
      <c r="J772" s="2"/>
      <c r="K772" s="2" t="s">
        <v>48</v>
      </c>
    </row>
    <row r="773" spans="1:11" x14ac:dyDescent="0.25">
      <c r="A773" s="2" t="s">
        <v>1241</v>
      </c>
      <c r="B773" s="2" t="s">
        <v>1196</v>
      </c>
      <c r="C773" s="2" t="s">
        <v>29</v>
      </c>
      <c r="D773" s="2" t="s">
        <v>61</v>
      </c>
      <c r="E773" s="4">
        <v>46253</v>
      </c>
      <c r="F773" s="4">
        <v>46267</v>
      </c>
      <c r="G773" s="5">
        <v>13875</v>
      </c>
      <c r="H773" s="5">
        <v>13384.66</v>
      </c>
      <c r="I773" s="2" t="s">
        <v>37</v>
      </c>
      <c r="J773" s="2"/>
      <c r="K773" s="2" t="s">
        <v>83</v>
      </c>
    </row>
    <row r="774" spans="1:11" x14ac:dyDescent="0.25">
      <c r="A774" s="2" t="s">
        <v>1242</v>
      </c>
      <c r="B774" s="2" t="s">
        <v>840</v>
      </c>
      <c r="C774" s="2" t="s">
        <v>36</v>
      </c>
      <c r="D774" s="2" t="s">
        <v>41</v>
      </c>
      <c r="E774" s="4">
        <v>46076</v>
      </c>
      <c r="F774" s="4">
        <v>46083</v>
      </c>
      <c r="G774" s="5">
        <v>10000</v>
      </c>
      <c r="H774" s="5">
        <v>9468.76</v>
      </c>
      <c r="I774" s="2" t="s">
        <v>37</v>
      </c>
      <c r="J774" s="2"/>
      <c r="K774" s="2" t="s">
        <v>33</v>
      </c>
    </row>
    <row r="775" spans="1:11" x14ac:dyDescent="0.25">
      <c r="A775" s="2" t="s">
        <v>1243</v>
      </c>
      <c r="B775" s="2" t="s">
        <v>382</v>
      </c>
      <c r="C775" s="2" t="s">
        <v>79</v>
      </c>
      <c r="D775" s="2" t="s">
        <v>94</v>
      </c>
      <c r="E775" s="4">
        <v>46049</v>
      </c>
      <c r="F775" s="4">
        <v>46066</v>
      </c>
      <c r="G775" s="5">
        <v>3000</v>
      </c>
      <c r="H775" s="5"/>
      <c r="I775" s="2" t="s">
        <v>42</v>
      </c>
      <c r="J775" s="2"/>
      <c r="K775" s="2" t="s">
        <v>109</v>
      </c>
    </row>
    <row r="776" spans="1:11" x14ac:dyDescent="0.25">
      <c r="A776" s="2" t="s">
        <v>1244</v>
      </c>
      <c r="B776" s="2" t="s">
        <v>569</v>
      </c>
      <c r="C776" s="2" t="s">
        <v>29</v>
      </c>
      <c r="D776" s="2" t="s">
        <v>41</v>
      </c>
      <c r="E776" s="4">
        <v>46203</v>
      </c>
      <c r="F776" s="4">
        <v>46211</v>
      </c>
      <c r="G776" s="5">
        <v>14075</v>
      </c>
      <c r="H776" s="5"/>
      <c r="I776" s="2" t="s">
        <v>42</v>
      </c>
      <c r="J776" s="2"/>
      <c r="K776" s="2" t="s">
        <v>65</v>
      </c>
    </row>
    <row r="777" spans="1:11" x14ac:dyDescent="0.25">
      <c r="A777" s="2" t="s">
        <v>1245</v>
      </c>
      <c r="B777" s="2" t="s">
        <v>1246</v>
      </c>
      <c r="C777" s="2" t="s">
        <v>36</v>
      </c>
      <c r="D777" s="2" t="s">
        <v>55</v>
      </c>
      <c r="E777" s="4">
        <v>46175</v>
      </c>
      <c r="F777" s="4">
        <v>46185</v>
      </c>
      <c r="G777" s="5">
        <v>3225</v>
      </c>
      <c r="H777" s="5">
        <v>2530.08</v>
      </c>
      <c r="I777" s="2" t="s">
        <v>37</v>
      </c>
      <c r="J777" s="2"/>
      <c r="K777" s="2" t="s">
        <v>38</v>
      </c>
    </row>
    <row r="778" spans="1:11" x14ac:dyDescent="0.25">
      <c r="A778" s="2" t="s">
        <v>1247</v>
      </c>
      <c r="B778" s="2" t="s">
        <v>1248</v>
      </c>
      <c r="C778" s="2" t="s">
        <v>36</v>
      </c>
      <c r="D778" s="2" t="s">
        <v>80</v>
      </c>
      <c r="E778" s="4">
        <v>46188</v>
      </c>
      <c r="F778" s="4">
        <v>46198</v>
      </c>
      <c r="G778" s="5">
        <v>13250</v>
      </c>
      <c r="H778" s="5"/>
      <c r="I778" s="2" t="s">
        <v>42</v>
      </c>
      <c r="J778" s="2"/>
      <c r="K778" s="2" t="s">
        <v>43</v>
      </c>
    </row>
    <row r="779" spans="1:11" x14ac:dyDescent="0.25">
      <c r="A779" s="2" t="s">
        <v>1249</v>
      </c>
      <c r="B779" s="2" t="s">
        <v>1250</v>
      </c>
      <c r="C779" s="2" t="s">
        <v>46</v>
      </c>
      <c r="D779" s="2" t="s">
        <v>94</v>
      </c>
      <c r="E779" s="4">
        <v>46137</v>
      </c>
      <c r="F779" s="4">
        <v>46146</v>
      </c>
      <c r="G779" s="5">
        <v>8350</v>
      </c>
      <c r="H779" s="5">
        <v>7949.18</v>
      </c>
      <c r="I779" s="2" t="s">
        <v>37</v>
      </c>
      <c r="J779" s="2"/>
      <c r="K779" s="2" t="s">
        <v>109</v>
      </c>
    </row>
    <row r="780" spans="1:11" x14ac:dyDescent="0.25">
      <c r="A780" s="2" t="s">
        <v>1251</v>
      </c>
      <c r="B780" s="2" t="s">
        <v>1252</v>
      </c>
      <c r="C780" s="2" t="s">
        <v>29</v>
      </c>
      <c r="D780" s="2" t="s">
        <v>61</v>
      </c>
      <c r="E780" s="4">
        <v>46031</v>
      </c>
      <c r="F780" s="4">
        <v>46045</v>
      </c>
      <c r="G780" s="5">
        <v>1050</v>
      </c>
      <c r="H780" s="5">
        <v>935.86</v>
      </c>
      <c r="I780" s="2" t="s">
        <v>37</v>
      </c>
      <c r="J780" s="2"/>
      <c r="K780" s="2" t="s">
        <v>56</v>
      </c>
    </row>
    <row r="781" spans="1:11" x14ac:dyDescent="0.25">
      <c r="A781" s="2" t="s">
        <v>1253</v>
      </c>
      <c r="B781" s="2" t="s">
        <v>133</v>
      </c>
      <c r="C781" s="2" t="s">
        <v>36</v>
      </c>
      <c r="D781" s="2" t="s">
        <v>68</v>
      </c>
      <c r="E781" s="4">
        <v>46223</v>
      </c>
      <c r="F781" s="4">
        <v>46227</v>
      </c>
      <c r="G781" s="5">
        <v>1925</v>
      </c>
      <c r="H781" s="5">
        <v>0</v>
      </c>
      <c r="I781" s="2" t="s">
        <v>31</v>
      </c>
      <c r="J781" s="2" t="s">
        <v>47</v>
      </c>
      <c r="K781" s="2" t="s">
        <v>52</v>
      </c>
    </row>
    <row r="782" spans="1:11" x14ac:dyDescent="0.25">
      <c r="A782" s="2" t="s">
        <v>1254</v>
      </c>
      <c r="B782" s="2" t="s">
        <v>1255</v>
      </c>
      <c r="C782" s="2" t="s">
        <v>29</v>
      </c>
      <c r="D782" s="2" t="s">
        <v>41</v>
      </c>
      <c r="E782" s="4">
        <v>46051</v>
      </c>
      <c r="F782" s="4">
        <v>46059</v>
      </c>
      <c r="G782" s="5">
        <v>10850</v>
      </c>
      <c r="H782" s="5">
        <v>0</v>
      </c>
      <c r="I782" s="2" t="s">
        <v>31</v>
      </c>
      <c r="J782" s="2" t="s">
        <v>47</v>
      </c>
      <c r="K782" s="2" t="s">
        <v>33</v>
      </c>
    </row>
    <row r="783" spans="1:11" x14ac:dyDescent="0.25">
      <c r="A783" s="2" t="s">
        <v>1256</v>
      </c>
      <c r="B783" s="2" t="s">
        <v>373</v>
      </c>
      <c r="C783" s="2" t="s">
        <v>79</v>
      </c>
      <c r="D783" s="2" t="s">
        <v>41</v>
      </c>
      <c r="E783" s="4">
        <v>46192</v>
      </c>
      <c r="F783" s="4">
        <v>46202</v>
      </c>
      <c r="G783" s="5">
        <v>9650</v>
      </c>
      <c r="H783" s="5">
        <v>9398.1200000000008</v>
      </c>
      <c r="I783" s="2" t="s">
        <v>37</v>
      </c>
      <c r="J783" s="2"/>
      <c r="K783" s="2" t="s">
        <v>62</v>
      </c>
    </row>
    <row r="784" spans="1:11" x14ac:dyDescent="0.25">
      <c r="A784" s="2" t="s">
        <v>1257</v>
      </c>
      <c r="B784" s="2" t="s">
        <v>67</v>
      </c>
      <c r="C784" s="2" t="s">
        <v>36</v>
      </c>
      <c r="D784" s="2" t="s">
        <v>61</v>
      </c>
      <c r="E784" s="4">
        <v>46130</v>
      </c>
      <c r="F784" s="4">
        <v>46143</v>
      </c>
      <c r="G784" s="5">
        <v>7925</v>
      </c>
      <c r="H784" s="5">
        <v>0</v>
      </c>
      <c r="I784" s="2" t="s">
        <v>31</v>
      </c>
      <c r="J784" s="2" t="s">
        <v>116</v>
      </c>
      <c r="K784" s="2" t="s">
        <v>43</v>
      </c>
    </row>
    <row r="785" spans="1:11" x14ac:dyDescent="0.25">
      <c r="A785" s="2" t="s">
        <v>1258</v>
      </c>
      <c r="B785" s="2" t="s">
        <v>1259</v>
      </c>
      <c r="C785" s="2" t="s">
        <v>46</v>
      </c>
      <c r="D785" s="2" t="s">
        <v>71</v>
      </c>
      <c r="E785" s="4">
        <v>46282</v>
      </c>
      <c r="F785" s="4">
        <v>46291</v>
      </c>
      <c r="G785" s="5">
        <v>12625</v>
      </c>
      <c r="H785" s="5">
        <v>11471.29</v>
      </c>
      <c r="I785" s="2" t="s">
        <v>37</v>
      </c>
      <c r="J785" s="2"/>
      <c r="K785" s="2" t="s">
        <v>48</v>
      </c>
    </row>
    <row r="786" spans="1:11" x14ac:dyDescent="0.25">
      <c r="A786" s="2" t="s">
        <v>1260</v>
      </c>
      <c r="B786" s="2" t="s">
        <v>739</v>
      </c>
      <c r="C786" s="2" t="s">
        <v>79</v>
      </c>
      <c r="D786" s="2" t="s">
        <v>61</v>
      </c>
      <c r="E786" s="4">
        <v>46103</v>
      </c>
      <c r="F786" s="4">
        <v>46106</v>
      </c>
      <c r="G786" s="5">
        <v>3350</v>
      </c>
      <c r="H786" s="5">
        <v>2335.04</v>
      </c>
      <c r="I786" s="2" t="s">
        <v>37</v>
      </c>
      <c r="J786" s="2"/>
      <c r="K786" s="2" t="s">
        <v>52</v>
      </c>
    </row>
    <row r="787" spans="1:11" x14ac:dyDescent="0.25">
      <c r="A787" s="2" t="s">
        <v>1261</v>
      </c>
      <c r="B787" s="2" t="s">
        <v>324</v>
      </c>
      <c r="C787" s="2" t="s">
        <v>29</v>
      </c>
      <c r="D787" s="2" t="s">
        <v>61</v>
      </c>
      <c r="E787" s="4">
        <v>46042</v>
      </c>
      <c r="F787" s="4">
        <v>46061</v>
      </c>
      <c r="G787" s="5">
        <v>4600</v>
      </c>
      <c r="H787" s="5">
        <v>3752.97</v>
      </c>
      <c r="I787" s="2" t="s">
        <v>37</v>
      </c>
      <c r="J787" s="2"/>
      <c r="K787" s="2" t="s">
        <v>52</v>
      </c>
    </row>
    <row r="788" spans="1:11" x14ac:dyDescent="0.25">
      <c r="A788" s="2" t="s">
        <v>1262</v>
      </c>
      <c r="B788" s="2" t="s">
        <v>104</v>
      </c>
      <c r="C788" s="2" t="s">
        <v>46</v>
      </c>
      <c r="D788" s="2" t="s">
        <v>55</v>
      </c>
      <c r="E788" s="4">
        <v>46248</v>
      </c>
      <c r="F788" s="4">
        <v>46264</v>
      </c>
      <c r="G788" s="5">
        <v>5325</v>
      </c>
      <c r="H788" s="5">
        <v>5019.96</v>
      </c>
      <c r="I788" s="2" t="s">
        <v>37</v>
      </c>
      <c r="J788" s="2"/>
      <c r="K788" s="2" t="s">
        <v>65</v>
      </c>
    </row>
    <row r="789" spans="1:11" x14ac:dyDescent="0.25">
      <c r="A789" s="2" t="s">
        <v>1263</v>
      </c>
      <c r="B789" s="2" t="s">
        <v>423</v>
      </c>
      <c r="C789" s="2" t="s">
        <v>36</v>
      </c>
      <c r="D789" s="2" t="s">
        <v>55</v>
      </c>
      <c r="E789" s="4">
        <v>46264</v>
      </c>
      <c r="F789" s="4">
        <v>46268</v>
      </c>
      <c r="G789" s="5">
        <v>14550</v>
      </c>
      <c r="H789" s="5">
        <v>10001.280000000001</v>
      </c>
      <c r="I789" s="2" t="s">
        <v>37</v>
      </c>
      <c r="J789" s="2"/>
      <c r="K789" s="2" t="s">
        <v>43</v>
      </c>
    </row>
    <row r="790" spans="1:11" x14ac:dyDescent="0.25">
      <c r="A790" s="2" t="s">
        <v>1264</v>
      </c>
      <c r="B790" s="2" t="s">
        <v>617</v>
      </c>
      <c r="C790" s="2" t="s">
        <v>46</v>
      </c>
      <c r="D790" s="2" t="s">
        <v>30</v>
      </c>
      <c r="E790" s="4">
        <v>46189</v>
      </c>
      <c r="F790" s="4">
        <v>46202</v>
      </c>
      <c r="G790" s="5">
        <v>3750</v>
      </c>
      <c r="H790" s="5">
        <v>0</v>
      </c>
      <c r="I790" s="2" t="s">
        <v>31</v>
      </c>
      <c r="J790" s="2" t="s">
        <v>47</v>
      </c>
      <c r="K790" s="2" t="s">
        <v>62</v>
      </c>
    </row>
    <row r="791" spans="1:11" x14ac:dyDescent="0.25">
      <c r="A791" s="2" t="s">
        <v>1265</v>
      </c>
      <c r="B791" s="2" t="s">
        <v>918</v>
      </c>
      <c r="C791" s="2" t="s">
        <v>29</v>
      </c>
      <c r="D791" s="2" t="s">
        <v>55</v>
      </c>
      <c r="E791" s="4">
        <v>46119</v>
      </c>
      <c r="F791" s="4">
        <v>46134</v>
      </c>
      <c r="G791" s="5">
        <v>10200</v>
      </c>
      <c r="H791" s="5">
        <v>7513.04</v>
      </c>
      <c r="I791" s="2" t="s">
        <v>37</v>
      </c>
      <c r="J791" s="2"/>
      <c r="K791" s="2" t="s">
        <v>48</v>
      </c>
    </row>
    <row r="792" spans="1:11" x14ac:dyDescent="0.25">
      <c r="A792" s="2" t="s">
        <v>1266</v>
      </c>
      <c r="B792" s="2" t="s">
        <v>1267</v>
      </c>
      <c r="C792" s="2" t="s">
        <v>29</v>
      </c>
      <c r="D792" s="2" t="s">
        <v>55</v>
      </c>
      <c r="E792" s="4">
        <v>46251</v>
      </c>
      <c r="F792" s="4">
        <v>46270</v>
      </c>
      <c r="G792" s="5">
        <v>7625</v>
      </c>
      <c r="H792" s="5"/>
      <c r="I792" s="2" t="s">
        <v>42</v>
      </c>
      <c r="J792" s="2"/>
      <c r="K792" s="2" t="s">
        <v>65</v>
      </c>
    </row>
    <row r="793" spans="1:11" x14ac:dyDescent="0.25">
      <c r="A793" s="2" t="s">
        <v>1266</v>
      </c>
      <c r="B793" s="2" t="s">
        <v>1267</v>
      </c>
      <c r="C793" s="2" t="s">
        <v>29</v>
      </c>
      <c r="D793" s="2" t="s">
        <v>55</v>
      </c>
      <c r="E793" s="4">
        <v>46251</v>
      </c>
      <c r="F793" s="4">
        <v>46270</v>
      </c>
      <c r="G793" s="5">
        <v>7625</v>
      </c>
      <c r="H793" s="5"/>
      <c r="I793" s="2" t="s">
        <v>42</v>
      </c>
      <c r="J793" s="2"/>
      <c r="K793" s="2" t="s">
        <v>65</v>
      </c>
    </row>
    <row r="794" spans="1:11" x14ac:dyDescent="0.25">
      <c r="A794" s="2" t="s">
        <v>1268</v>
      </c>
      <c r="B794" s="2" t="s">
        <v>1269</v>
      </c>
      <c r="C794" s="2" t="s">
        <v>36</v>
      </c>
      <c r="D794" s="2" t="s">
        <v>61</v>
      </c>
      <c r="E794" s="4">
        <v>46015</v>
      </c>
      <c r="F794" s="4">
        <v>46032</v>
      </c>
      <c r="G794" s="5">
        <v>4450</v>
      </c>
      <c r="H794" s="5">
        <v>4341.93</v>
      </c>
      <c r="I794" s="2" t="s">
        <v>37</v>
      </c>
      <c r="J794" s="2"/>
      <c r="K794" s="2" t="s">
        <v>43</v>
      </c>
    </row>
    <row r="795" spans="1:11" x14ac:dyDescent="0.25">
      <c r="A795" s="2" t="s">
        <v>1270</v>
      </c>
      <c r="B795" s="2" t="s">
        <v>953</v>
      </c>
      <c r="C795" s="2" t="s">
        <v>79</v>
      </c>
      <c r="D795" s="2" t="s">
        <v>30</v>
      </c>
      <c r="E795" s="4">
        <v>46007</v>
      </c>
      <c r="F795" s="4">
        <v>46023</v>
      </c>
      <c r="G795" s="5">
        <v>8900</v>
      </c>
      <c r="H795" s="5">
        <v>7066.76</v>
      </c>
      <c r="I795" s="2" t="s">
        <v>37</v>
      </c>
      <c r="J795" s="2"/>
      <c r="K795" s="2" t="s">
        <v>33</v>
      </c>
    </row>
    <row r="796" spans="1:11" x14ac:dyDescent="0.25">
      <c r="A796" s="2" t="s">
        <v>1271</v>
      </c>
      <c r="B796" s="2" t="s">
        <v>106</v>
      </c>
      <c r="C796" s="2" t="s">
        <v>29</v>
      </c>
      <c r="D796" s="2" t="s">
        <v>30</v>
      </c>
      <c r="E796" s="4">
        <v>46022</v>
      </c>
      <c r="F796" s="4">
        <v>46040</v>
      </c>
      <c r="G796" s="5">
        <v>7025</v>
      </c>
      <c r="H796" s="5">
        <v>6757.3</v>
      </c>
      <c r="I796" s="2" t="s">
        <v>37</v>
      </c>
      <c r="J796" s="2"/>
      <c r="K796" s="2" t="s">
        <v>109</v>
      </c>
    </row>
    <row r="797" spans="1:11" x14ac:dyDescent="0.25">
      <c r="A797" s="2" t="s">
        <v>1272</v>
      </c>
      <c r="B797" s="2" t="s">
        <v>833</v>
      </c>
      <c r="C797" s="2" t="s">
        <v>79</v>
      </c>
      <c r="D797" s="2" t="s">
        <v>55</v>
      </c>
      <c r="E797" s="4">
        <v>46176</v>
      </c>
      <c r="F797" s="4">
        <v>46194</v>
      </c>
      <c r="G797" s="5">
        <v>11550</v>
      </c>
      <c r="H797" s="5">
        <v>7350.43</v>
      </c>
      <c r="I797" s="2" t="s">
        <v>37</v>
      </c>
      <c r="J797" s="2"/>
      <c r="K797" s="2" t="s">
        <v>1273</v>
      </c>
    </row>
    <row r="798" spans="1:11" x14ac:dyDescent="0.25">
      <c r="A798" s="2" t="s">
        <v>1274</v>
      </c>
      <c r="B798" s="2" t="s">
        <v>1161</v>
      </c>
      <c r="C798" s="2" t="s">
        <v>36</v>
      </c>
      <c r="D798" s="2" t="s">
        <v>41</v>
      </c>
      <c r="E798" s="4">
        <v>46196</v>
      </c>
      <c r="F798" s="4">
        <v>46199</v>
      </c>
      <c r="G798" s="5">
        <v>13475</v>
      </c>
      <c r="H798" s="5">
        <v>7413.18</v>
      </c>
      <c r="I798" s="2" t="s">
        <v>37</v>
      </c>
      <c r="J798" s="2"/>
      <c r="K798" s="2" t="s">
        <v>62</v>
      </c>
    </row>
    <row r="799" spans="1:11" x14ac:dyDescent="0.25">
      <c r="A799" s="2" t="s">
        <v>1275</v>
      </c>
      <c r="B799" s="2" t="s">
        <v>1058</v>
      </c>
      <c r="C799" s="2" t="s">
        <v>29</v>
      </c>
      <c r="D799" s="2" t="s">
        <v>30</v>
      </c>
      <c r="E799" s="4">
        <v>46044</v>
      </c>
      <c r="F799" s="4">
        <v>46062</v>
      </c>
      <c r="G799" s="5">
        <v>11150</v>
      </c>
      <c r="H799" s="5">
        <v>10514.42</v>
      </c>
      <c r="I799" s="2" t="s">
        <v>37</v>
      </c>
      <c r="J799" s="2"/>
      <c r="K799" s="2" t="s">
        <v>38</v>
      </c>
    </row>
    <row r="800" spans="1:11" x14ac:dyDescent="0.25">
      <c r="A800" s="2" t="s">
        <v>1276</v>
      </c>
      <c r="B800" s="2" t="s">
        <v>759</v>
      </c>
      <c r="C800" s="2" t="s">
        <v>46</v>
      </c>
      <c r="D800" s="2" t="s">
        <v>94</v>
      </c>
      <c r="E800" s="4">
        <v>46070</v>
      </c>
      <c r="F800" s="4">
        <v>46089</v>
      </c>
      <c r="G800" s="5">
        <v>3450</v>
      </c>
      <c r="H800" s="5"/>
      <c r="I800" s="2" t="s">
        <v>42</v>
      </c>
      <c r="J800" s="2"/>
      <c r="K800" s="2" t="s">
        <v>48</v>
      </c>
    </row>
    <row r="801" spans="1:11" x14ac:dyDescent="0.25">
      <c r="A801" s="2" t="s">
        <v>1277</v>
      </c>
      <c r="B801" s="2" t="s">
        <v>887</v>
      </c>
      <c r="C801" s="2" t="s">
        <v>36</v>
      </c>
      <c r="D801" s="2" t="s">
        <v>71</v>
      </c>
      <c r="E801" s="4">
        <v>46167</v>
      </c>
      <c r="F801" s="4">
        <v>46176</v>
      </c>
      <c r="G801" s="5">
        <v>6700</v>
      </c>
      <c r="H801" s="5">
        <v>0</v>
      </c>
      <c r="I801" s="2" t="s">
        <v>31</v>
      </c>
      <c r="J801" s="2" t="s">
        <v>47</v>
      </c>
      <c r="K801" s="2" t="s">
        <v>52</v>
      </c>
    </row>
    <row r="802" spans="1:11" x14ac:dyDescent="0.25">
      <c r="A802" s="2" t="s">
        <v>1278</v>
      </c>
      <c r="B802" s="2" t="s">
        <v>797</v>
      </c>
      <c r="C802" s="2" t="s">
        <v>29</v>
      </c>
      <c r="D802" s="2" t="s">
        <v>55</v>
      </c>
      <c r="E802" s="4">
        <v>46141</v>
      </c>
      <c r="F802" s="4">
        <v>46149</v>
      </c>
      <c r="G802" s="5">
        <v>350</v>
      </c>
      <c r="H802" s="5">
        <v>0</v>
      </c>
      <c r="I802" s="2" t="s">
        <v>31</v>
      </c>
      <c r="J802" s="2" t="s">
        <v>312</v>
      </c>
      <c r="K802" s="2" t="s">
        <v>38</v>
      </c>
    </row>
    <row r="803" spans="1:11" x14ac:dyDescent="0.25">
      <c r="A803" s="2" t="s">
        <v>1279</v>
      </c>
      <c r="B803" s="2" t="s">
        <v>298</v>
      </c>
      <c r="C803" s="2" t="s">
        <v>29</v>
      </c>
      <c r="D803" s="2" t="s">
        <v>41</v>
      </c>
      <c r="E803" s="4">
        <v>46195</v>
      </c>
      <c r="F803" s="4">
        <v>46200</v>
      </c>
      <c r="G803" s="5">
        <v>10525</v>
      </c>
      <c r="H803" s="5"/>
      <c r="I803" s="2" t="s">
        <v>42</v>
      </c>
      <c r="J803" s="2"/>
      <c r="K803" s="2" t="s">
        <v>33</v>
      </c>
    </row>
    <row r="804" spans="1:11" x14ac:dyDescent="0.25">
      <c r="A804" s="2" t="s">
        <v>1280</v>
      </c>
      <c r="B804" s="2" t="s">
        <v>341</v>
      </c>
      <c r="C804" s="2" t="s">
        <v>79</v>
      </c>
      <c r="D804" s="2" t="s">
        <v>80</v>
      </c>
      <c r="E804" s="4">
        <v>46246</v>
      </c>
      <c r="F804" s="4">
        <v>46250</v>
      </c>
      <c r="G804" s="5">
        <v>3400</v>
      </c>
      <c r="H804" s="5">
        <v>2727.06</v>
      </c>
      <c r="I804" s="2" t="s">
        <v>37</v>
      </c>
      <c r="J804" s="2"/>
      <c r="K804" s="2" t="s">
        <v>33</v>
      </c>
    </row>
    <row r="805" spans="1:11" x14ac:dyDescent="0.25">
      <c r="A805" s="2" t="s">
        <v>1281</v>
      </c>
      <c r="B805" s="2" t="s">
        <v>337</v>
      </c>
      <c r="C805" s="2" t="s">
        <v>46</v>
      </c>
      <c r="D805" s="2" t="s">
        <v>68</v>
      </c>
      <c r="E805" s="4">
        <v>46180</v>
      </c>
      <c r="F805" s="4">
        <v>46193</v>
      </c>
      <c r="G805" s="5">
        <v>1625</v>
      </c>
      <c r="H805" s="5">
        <v>1586.54</v>
      </c>
      <c r="I805" s="2" t="s">
        <v>37</v>
      </c>
      <c r="J805" s="2"/>
      <c r="K805" s="2" t="s">
        <v>65</v>
      </c>
    </row>
    <row r="806" spans="1:11" x14ac:dyDescent="0.25">
      <c r="A806" s="2" t="s">
        <v>1282</v>
      </c>
      <c r="B806" s="2" t="s">
        <v>333</v>
      </c>
      <c r="C806" s="2" t="s">
        <v>36</v>
      </c>
      <c r="D806" s="2" t="s">
        <v>41</v>
      </c>
      <c r="E806" s="4">
        <v>46279</v>
      </c>
      <c r="F806" s="4">
        <v>46289</v>
      </c>
      <c r="G806" s="5">
        <v>11575</v>
      </c>
      <c r="H806" s="5"/>
      <c r="I806" s="2" t="s">
        <v>42</v>
      </c>
      <c r="J806" s="2"/>
      <c r="K806" s="2" t="s">
        <v>52</v>
      </c>
    </row>
    <row r="807" spans="1:11" x14ac:dyDescent="0.25">
      <c r="A807" s="2" t="s">
        <v>1283</v>
      </c>
      <c r="B807" s="2" t="s">
        <v>239</v>
      </c>
      <c r="C807" s="2" t="s">
        <v>36</v>
      </c>
      <c r="D807" s="2" t="s">
        <v>30</v>
      </c>
      <c r="E807" s="4">
        <v>46032</v>
      </c>
      <c r="F807" s="4">
        <v>46036</v>
      </c>
      <c r="G807" s="5">
        <v>5350</v>
      </c>
      <c r="H807" s="5">
        <v>5185.8500000000004</v>
      </c>
      <c r="I807" s="2" t="s">
        <v>37</v>
      </c>
      <c r="J807" s="2"/>
      <c r="K807" s="2" t="s">
        <v>62</v>
      </c>
    </row>
    <row r="808" spans="1:11" x14ac:dyDescent="0.25">
      <c r="A808" s="2" t="s">
        <v>1284</v>
      </c>
      <c r="B808" s="2" t="s">
        <v>1285</v>
      </c>
      <c r="C808" s="2" t="s">
        <v>36</v>
      </c>
      <c r="D808" s="2" t="s">
        <v>61</v>
      </c>
      <c r="E808" s="4">
        <v>46050</v>
      </c>
      <c r="F808" s="4">
        <v>46061</v>
      </c>
      <c r="G808" s="5">
        <v>7700</v>
      </c>
      <c r="H808" s="5">
        <v>4282.12</v>
      </c>
      <c r="I808" s="2" t="s">
        <v>299</v>
      </c>
      <c r="J808" s="2"/>
      <c r="K808" s="2" t="s">
        <v>65</v>
      </c>
    </row>
    <row r="809" spans="1:11" x14ac:dyDescent="0.25">
      <c r="A809" s="2" t="s">
        <v>1286</v>
      </c>
      <c r="B809" s="2" t="s">
        <v>797</v>
      </c>
      <c r="C809" s="2" t="s">
        <v>36</v>
      </c>
      <c r="D809" s="2" t="s">
        <v>30</v>
      </c>
      <c r="E809" s="4">
        <v>46188</v>
      </c>
      <c r="F809" s="4">
        <v>46198</v>
      </c>
      <c r="G809" s="5">
        <v>5875</v>
      </c>
      <c r="H809" s="5">
        <v>5527.89</v>
      </c>
      <c r="I809" s="2" t="s">
        <v>37</v>
      </c>
      <c r="J809" s="2"/>
      <c r="K809" s="2" t="s">
        <v>65</v>
      </c>
    </row>
    <row r="810" spans="1:11" x14ac:dyDescent="0.25">
      <c r="A810" s="2" t="s">
        <v>1287</v>
      </c>
      <c r="B810" s="2" t="s">
        <v>594</v>
      </c>
      <c r="C810" s="2" t="s">
        <v>46</v>
      </c>
      <c r="D810" s="2" t="s">
        <v>30</v>
      </c>
      <c r="E810" s="4">
        <v>46164</v>
      </c>
      <c r="F810" s="4">
        <v>46171</v>
      </c>
      <c r="G810" s="5">
        <v>4600</v>
      </c>
      <c r="H810" s="5">
        <v>4400.4799999999996</v>
      </c>
      <c r="I810" s="2" t="s">
        <v>37</v>
      </c>
      <c r="J810" s="2"/>
      <c r="K810" s="2" t="s">
        <v>62</v>
      </c>
    </row>
    <row r="811" spans="1:11" x14ac:dyDescent="0.25">
      <c r="A811" s="2" t="s">
        <v>1288</v>
      </c>
      <c r="B811" s="2" t="s">
        <v>50</v>
      </c>
      <c r="C811" s="2" t="s">
        <v>79</v>
      </c>
      <c r="D811" s="2" t="s">
        <v>68</v>
      </c>
      <c r="E811" s="4">
        <v>46215</v>
      </c>
      <c r="F811" s="4">
        <v>46235</v>
      </c>
      <c r="G811" s="5">
        <v>7225</v>
      </c>
      <c r="H811" s="5"/>
      <c r="I811" s="2" t="s">
        <v>42</v>
      </c>
      <c r="J811" s="2"/>
      <c r="K811" s="2" t="s">
        <v>83</v>
      </c>
    </row>
    <row r="812" spans="1:11" x14ac:dyDescent="0.25">
      <c r="A812" s="2" t="s">
        <v>1289</v>
      </c>
      <c r="B812" s="2" t="s">
        <v>1290</v>
      </c>
      <c r="C812" s="2" t="s">
        <v>36</v>
      </c>
      <c r="D812" s="2" t="s">
        <v>30</v>
      </c>
      <c r="E812" s="4">
        <v>46042</v>
      </c>
      <c r="F812" s="4">
        <v>46062</v>
      </c>
      <c r="G812" s="5">
        <v>13825</v>
      </c>
      <c r="H812" s="5"/>
      <c r="I812" s="2" t="s">
        <v>42</v>
      </c>
      <c r="J812" s="2"/>
      <c r="K812" s="2" t="s">
        <v>65</v>
      </c>
    </row>
    <row r="813" spans="1:11" x14ac:dyDescent="0.25">
      <c r="A813" s="2" t="s">
        <v>1291</v>
      </c>
      <c r="B813" s="2" t="s">
        <v>751</v>
      </c>
      <c r="C813" s="2" t="s">
        <v>29</v>
      </c>
      <c r="D813" s="2" t="s">
        <v>61</v>
      </c>
      <c r="E813" s="4">
        <v>46218</v>
      </c>
      <c r="F813" s="4">
        <v>46236</v>
      </c>
      <c r="G813" s="5">
        <v>11675</v>
      </c>
      <c r="H813" s="5"/>
      <c r="I813" s="2" t="s">
        <v>42</v>
      </c>
      <c r="J813" s="2"/>
      <c r="K813" s="2" t="s">
        <v>56</v>
      </c>
    </row>
    <row r="814" spans="1:11" x14ac:dyDescent="0.25">
      <c r="A814" s="2" t="s">
        <v>1292</v>
      </c>
      <c r="B814" s="2" t="s">
        <v>629</v>
      </c>
      <c r="C814" s="2" t="s">
        <v>79</v>
      </c>
      <c r="D814" s="2" t="s">
        <v>80</v>
      </c>
      <c r="E814" s="4">
        <v>46075</v>
      </c>
      <c r="F814" s="4">
        <v>46084</v>
      </c>
      <c r="G814" s="5">
        <v>10475</v>
      </c>
      <c r="H814" s="5">
        <v>10399.969999999999</v>
      </c>
      <c r="I814" s="2" t="s">
        <v>37</v>
      </c>
      <c r="J814" s="2"/>
      <c r="K814" s="2" t="s">
        <v>62</v>
      </c>
    </row>
    <row r="815" spans="1:11" x14ac:dyDescent="0.25">
      <c r="A815" s="2" t="s">
        <v>1293</v>
      </c>
      <c r="B815" s="2" t="s">
        <v>853</v>
      </c>
      <c r="C815" s="2" t="s">
        <v>36</v>
      </c>
      <c r="D815" s="2" t="s">
        <v>61</v>
      </c>
      <c r="E815" s="4">
        <v>46198</v>
      </c>
      <c r="F815" s="4">
        <v>46210</v>
      </c>
      <c r="G815" s="5">
        <v>7500</v>
      </c>
      <c r="H815" s="5">
        <v>6644.43</v>
      </c>
      <c r="I815" s="2" t="s">
        <v>37</v>
      </c>
      <c r="J815" s="2"/>
      <c r="K815" s="2" t="s">
        <v>109</v>
      </c>
    </row>
    <row r="816" spans="1:11" x14ac:dyDescent="0.25">
      <c r="A816" s="2" t="s">
        <v>1294</v>
      </c>
      <c r="B816" s="2" t="s">
        <v>407</v>
      </c>
      <c r="C816" s="2" t="s">
        <v>46</v>
      </c>
      <c r="D816" s="2" t="s">
        <v>641</v>
      </c>
      <c r="E816" s="4">
        <v>46194</v>
      </c>
      <c r="F816" s="4">
        <v>46202</v>
      </c>
      <c r="G816" s="5">
        <v>10100</v>
      </c>
      <c r="H816" s="5"/>
      <c r="I816" s="2" t="s">
        <v>42</v>
      </c>
      <c r="J816" s="2"/>
      <c r="K816" s="2" t="s">
        <v>48</v>
      </c>
    </row>
    <row r="817" spans="1:11" x14ac:dyDescent="0.25">
      <c r="A817" s="2" t="s">
        <v>1295</v>
      </c>
      <c r="B817" s="2" t="s">
        <v>1296</v>
      </c>
      <c r="C817" s="2" t="s">
        <v>79</v>
      </c>
      <c r="D817" s="2" t="s">
        <v>80</v>
      </c>
      <c r="E817" s="4">
        <v>46092</v>
      </c>
      <c r="F817" s="4">
        <v>46103</v>
      </c>
      <c r="G817" s="5">
        <v>1000</v>
      </c>
      <c r="H817" s="5"/>
      <c r="I817" s="2" t="s">
        <v>42</v>
      </c>
      <c r="J817" s="2"/>
      <c r="K817" s="2" t="s">
        <v>48</v>
      </c>
    </row>
    <row r="818" spans="1:11" x14ac:dyDescent="0.25">
      <c r="A818" s="2" t="s">
        <v>1297</v>
      </c>
      <c r="B818" s="2" t="s">
        <v>925</v>
      </c>
      <c r="C818" s="2" t="s">
        <v>46</v>
      </c>
      <c r="D818" s="2" t="s">
        <v>55</v>
      </c>
      <c r="E818" s="4">
        <v>46062</v>
      </c>
      <c r="F818" s="4">
        <v>46070</v>
      </c>
      <c r="G818" s="5">
        <v>4725</v>
      </c>
      <c r="H818" s="5">
        <v>2742.53</v>
      </c>
      <c r="I818" s="2" t="s">
        <v>37</v>
      </c>
      <c r="J818" s="2"/>
      <c r="K818" s="2" t="s">
        <v>48</v>
      </c>
    </row>
    <row r="819" spans="1:11" x14ac:dyDescent="0.25">
      <c r="A819" s="2" t="s">
        <v>1298</v>
      </c>
      <c r="B819" s="2" t="s">
        <v>1299</v>
      </c>
      <c r="C819" s="2" t="s">
        <v>79</v>
      </c>
      <c r="D819" s="2" t="s">
        <v>30</v>
      </c>
      <c r="E819" s="4">
        <v>46184</v>
      </c>
      <c r="F819" s="4">
        <v>46200</v>
      </c>
      <c r="G819" s="5">
        <v>6425</v>
      </c>
      <c r="H819" s="5">
        <v>3909.53</v>
      </c>
      <c r="I819" s="2" t="s">
        <v>37</v>
      </c>
      <c r="J819" s="2"/>
      <c r="K819" s="2" t="s">
        <v>109</v>
      </c>
    </row>
    <row r="820" spans="1:11" x14ac:dyDescent="0.25">
      <c r="A820" s="2" t="s">
        <v>1300</v>
      </c>
      <c r="B820" s="2" t="s">
        <v>850</v>
      </c>
      <c r="C820" s="2" t="s">
        <v>29</v>
      </c>
      <c r="D820" s="2" t="s">
        <v>94</v>
      </c>
      <c r="E820" s="4">
        <v>46280</v>
      </c>
      <c r="F820" s="4">
        <v>46292</v>
      </c>
      <c r="G820" s="5">
        <v>10825</v>
      </c>
      <c r="H820" s="5"/>
      <c r="I820" s="2" t="s">
        <v>42</v>
      </c>
      <c r="J820" s="2"/>
      <c r="K820" s="2" t="s">
        <v>83</v>
      </c>
    </row>
    <row r="821" spans="1:11" x14ac:dyDescent="0.25">
      <c r="A821" s="2" t="s">
        <v>1301</v>
      </c>
      <c r="B821" s="2" t="s">
        <v>375</v>
      </c>
      <c r="C821" s="2" t="s">
        <v>36</v>
      </c>
      <c r="D821" s="2" t="s">
        <v>30</v>
      </c>
      <c r="E821" s="4">
        <v>46094</v>
      </c>
      <c r="F821" s="4">
        <v>46105</v>
      </c>
      <c r="G821" s="5">
        <v>10900</v>
      </c>
      <c r="H821" s="5">
        <v>9136.06</v>
      </c>
      <c r="I821" s="2" t="s">
        <v>37</v>
      </c>
      <c r="J821" s="2"/>
      <c r="K821" s="2" t="s">
        <v>83</v>
      </c>
    </row>
    <row r="822" spans="1:11" x14ac:dyDescent="0.25">
      <c r="A822" s="2" t="s">
        <v>1302</v>
      </c>
      <c r="B822" s="2" t="s">
        <v>728</v>
      </c>
      <c r="C822" s="2" t="s">
        <v>79</v>
      </c>
      <c r="D822" s="2" t="s">
        <v>71</v>
      </c>
      <c r="E822" s="4">
        <v>46261</v>
      </c>
      <c r="F822" s="4">
        <v>46274</v>
      </c>
      <c r="G822" s="5">
        <v>7400</v>
      </c>
      <c r="H822" s="5"/>
      <c r="I822" s="2" t="s">
        <v>42</v>
      </c>
      <c r="J822" s="2"/>
      <c r="K822" s="2" t="s">
        <v>109</v>
      </c>
    </row>
    <row r="823" spans="1:11" x14ac:dyDescent="0.25">
      <c r="A823" s="2" t="s">
        <v>1303</v>
      </c>
      <c r="B823" s="2" t="s">
        <v>1304</v>
      </c>
      <c r="C823" s="2" t="s">
        <v>79</v>
      </c>
      <c r="D823" s="2" t="s">
        <v>41</v>
      </c>
      <c r="E823" s="4">
        <v>46134</v>
      </c>
      <c r="F823" s="4">
        <v>46140</v>
      </c>
      <c r="G823" s="5">
        <v>10225</v>
      </c>
      <c r="H823" s="5">
        <v>0</v>
      </c>
      <c r="I823" s="2" t="s">
        <v>31</v>
      </c>
      <c r="J823" s="2" t="s">
        <v>72</v>
      </c>
      <c r="K823" s="2" t="s">
        <v>33</v>
      </c>
    </row>
    <row r="824" spans="1:11" x14ac:dyDescent="0.25">
      <c r="A824" s="2" t="s">
        <v>1305</v>
      </c>
      <c r="B824" s="2" t="s">
        <v>208</v>
      </c>
      <c r="C824" s="2" t="s">
        <v>36</v>
      </c>
      <c r="D824" s="2" t="s">
        <v>55</v>
      </c>
      <c r="E824" s="4">
        <v>46102</v>
      </c>
      <c r="F824" s="4">
        <v>46109</v>
      </c>
      <c r="G824" s="5">
        <v>13925</v>
      </c>
      <c r="H824" s="5">
        <v>0</v>
      </c>
      <c r="I824" s="2" t="s">
        <v>31</v>
      </c>
      <c r="J824" s="2" t="s">
        <v>271</v>
      </c>
      <c r="K824" s="2" t="s">
        <v>48</v>
      </c>
    </row>
    <row r="825" spans="1:11" x14ac:dyDescent="0.25">
      <c r="A825" s="2" t="s">
        <v>1306</v>
      </c>
      <c r="B825" s="2" t="s">
        <v>722</v>
      </c>
      <c r="C825" s="2" t="s">
        <v>46</v>
      </c>
      <c r="D825" s="2" t="s">
        <v>80</v>
      </c>
      <c r="E825" s="4">
        <v>46036</v>
      </c>
      <c r="F825" s="4">
        <v>46054</v>
      </c>
      <c r="G825" s="5">
        <v>6025</v>
      </c>
      <c r="H825" s="5">
        <v>0</v>
      </c>
      <c r="I825" s="2" t="s">
        <v>31</v>
      </c>
      <c r="J825" s="2" t="s">
        <v>271</v>
      </c>
      <c r="K825" s="2" t="s">
        <v>83</v>
      </c>
    </row>
    <row r="826" spans="1:11" x14ac:dyDescent="0.25">
      <c r="A826" s="2" t="s">
        <v>1307</v>
      </c>
      <c r="B826" s="2" t="s">
        <v>483</v>
      </c>
      <c r="C826" s="2" t="s">
        <v>36</v>
      </c>
      <c r="D826" s="2" t="s">
        <v>68</v>
      </c>
      <c r="E826" s="4">
        <v>46282</v>
      </c>
      <c r="F826" s="4">
        <v>46300</v>
      </c>
      <c r="G826" s="5">
        <v>11675</v>
      </c>
      <c r="H826" s="5"/>
      <c r="I826" s="2" t="s">
        <v>42</v>
      </c>
      <c r="J826" s="2"/>
      <c r="K826" s="2" t="s">
        <v>43</v>
      </c>
    </row>
    <row r="827" spans="1:11" x14ac:dyDescent="0.25">
      <c r="A827" s="2" t="s">
        <v>1308</v>
      </c>
      <c r="B827" s="2" t="s">
        <v>93</v>
      </c>
      <c r="C827" s="2" t="s">
        <v>79</v>
      </c>
      <c r="D827" s="2" t="s">
        <v>30</v>
      </c>
      <c r="E827" s="4">
        <v>46079</v>
      </c>
      <c r="F827" s="4">
        <v>46085</v>
      </c>
      <c r="G827" s="5">
        <v>13175</v>
      </c>
      <c r="H827" s="5">
        <v>11726.77</v>
      </c>
      <c r="I827" s="2" t="s">
        <v>130</v>
      </c>
      <c r="J827" s="2"/>
      <c r="K827" s="2" t="s">
        <v>33</v>
      </c>
    </row>
    <row r="828" spans="1:11" x14ac:dyDescent="0.25">
      <c r="A828" s="2" t="s">
        <v>1309</v>
      </c>
      <c r="B828" s="2" t="s">
        <v>314</v>
      </c>
      <c r="C828" s="2" t="s">
        <v>46</v>
      </c>
      <c r="D828" s="2" t="s">
        <v>30</v>
      </c>
      <c r="E828" s="4">
        <v>46248</v>
      </c>
      <c r="F828" s="4">
        <v>46261</v>
      </c>
      <c r="G828" s="5">
        <v>7400</v>
      </c>
      <c r="H828" s="5">
        <v>6191.4</v>
      </c>
      <c r="I828" s="2" t="s">
        <v>37</v>
      </c>
      <c r="J828" s="2"/>
      <c r="K828" s="2" t="s">
        <v>65</v>
      </c>
    </row>
    <row r="829" spans="1:11" x14ac:dyDescent="0.25">
      <c r="A829" s="2" t="s">
        <v>1310</v>
      </c>
      <c r="B829" s="2" t="s">
        <v>1311</v>
      </c>
      <c r="C829" s="2" t="s">
        <v>46</v>
      </c>
      <c r="D829" s="2" t="s">
        <v>41</v>
      </c>
      <c r="E829" s="4">
        <v>46220</v>
      </c>
      <c r="F829" s="4">
        <v>46239</v>
      </c>
      <c r="G829" s="5">
        <v>12775</v>
      </c>
      <c r="H829" s="5"/>
      <c r="I829" s="2" t="s">
        <v>42</v>
      </c>
      <c r="J829" s="2"/>
      <c r="K829" s="2" t="s">
        <v>48</v>
      </c>
    </row>
    <row r="830" spans="1:11" x14ac:dyDescent="0.25">
      <c r="A830" s="2" t="s">
        <v>1312</v>
      </c>
      <c r="B830" s="2" t="s">
        <v>1313</v>
      </c>
      <c r="C830" s="2" t="s">
        <v>79</v>
      </c>
      <c r="D830" s="2" t="s">
        <v>30</v>
      </c>
      <c r="E830" s="4">
        <v>46202</v>
      </c>
      <c r="F830" s="4">
        <v>46220</v>
      </c>
      <c r="G830" s="5">
        <v>7175</v>
      </c>
      <c r="H830" s="5">
        <v>6179.74</v>
      </c>
      <c r="I830" s="2" t="s">
        <v>37</v>
      </c>
      <c r="J830" s="2"/>
      <c r="K830" s="2" t="s">
        <v>38</v>
      </c>
    </row>
    <row r="831" spans="1:11" x14ac:dyDescent="0.25">
      <c r="A831" s="2" t="s">
        <v>1314</v>
      </c>
      <c r="B831" s="2" t="s">
        <v>433</v>
      </c>
      <c r="C831" s="2" t="s">
        <v>29</v>
      </c>
      <c r="D831" s="2" t="s">
        <v>30</v>
      </c>
      <c r="E831" s="4">
        <v>46214</v>
      </c>
      <c r="F831" s="4">
        <v>46221</v>
      </c>
      <c r="G831" s="5">
        <v>6825</v>
      </c>
      <c r="H831" s="5"/>
      <c r="I831" s="2" t="s">
        <v>42</v>
      </c>
      <c r="J831" s="2"/>
      <c r="K831" s="2" t="s">
        <v>83</v>
      </c>
    </row>
    <row r="832" spans="1:11" x14ac:dyDescent="0.25">
      <c r="A832" s="2" t="s">
        <v>1315</v>
      </c>
      <c r="B832" s="2" t="s">
        <v>989</v>
      </c>
      <c r="C832" s="2" t="s">
        <v>36</v>
      </c>
      <c r="D832" s="2" t="s">
        <v>68</v>
      </c>
      <c r="E832" s="4">
        <v>46208</v>
      </c>
      <c r="F832" s="4">
        <v>46228</v>
      </c>
      <c r="G832" s="5">
        <v>14125</v>
      </c>
      <c r="H832" s="5"/>
      <c r="I832" s="2" t="s">
        <v>42</v>
      </c>
      <c r="J832" s="2"/>
      <c r="K832" s="2" t="s">
        <v>48</v>
      </c>
    </row>
    <row r="833" spans="1:11" x14ac:dyDescent="0.25">
      <c r="A833" s="2" t="s">
        <v>1316</v>
      </c>
      <c r="B833" s="2" t="s">
        <v>1317</v>
      </c>
      <c r="C833" s="2" t="s">
        <v>36</v>
      </c>
      <c r="D833" s="2" t="s">
        <v>30</v>
      </c>
      <c r="E833" s="4">
        <v>46195</v>
      </c>
      <c r="F833" s="4">
        <v>46213</v>
      </c>
      <c r="G833" s="5">
        <v>8225</v>
      </c>
      <c r="H833" s="5">
        <v>0</v>
      </c>
      <c r="I833" s="2" t="s">
        <v>31</v>
      </c>
      <c r="J833" s="2" t="s">
        <v>312</v>
      </c>
      <c r="K833" s="2" t="s">
        <v>65</v>
      </c>
    </row>
    <row r="834" spans="1:11" x14ac:dyDescent="0.25">
      <c r="A834" s="2" t="s">
        <v>1318</v>
      </c>
      <c r="B834" s="2" t="s">
        <v>436</v>
      </c>
      <c r="C834" s="2" t="s">
        <v>79</v>
      </c>
      <c r="D834" s="2" t="s">
        <v>55</v>
      </c>
      <c r="E834" s="4">
        <v>46271</v>
      </c>
      <c r="F834" s="4">
        <v>46279</v>
      </c>
      <c r="G834" s="5">
        <v>11175</v>
      </c>
      <c r="H834" s="5"/>
      <c r="I834" s="2" t="s">
        <v>42</v>
      </c>
      <c r="J834" s="2"/>
      <c r="K834" s="2" t="s">
        <v>52</v>
      </c>
    </row>
    <row r="835" spans="1:11" x14ac:dyDescent="0.25">
      <c r="A835" s="2" t="s">
        <v>1319</v>
      </c>
      <c r="B835" s="2" t="s">
        <v>1320</v>
      </c>
      <c r="C835" s="2" t="s">
        <v>46</v>
      </c>
      <c r="D835" s="2" t="s">
        <v>68</v>
      </c>
      <c r="E835" s="4">
        <v>46297</v>
      </c>
      <c r="F835" s="4">
        <v>46300</v>
      </c>
      <c r="G835" s="5">
        <v>1325</v>
      </c>
      <c r="H835" s="5">
        <v>0</v>
      </c>
      <c r="I835" s="2" t="s">
        <v>31</v>
      </c>
      <c r="J835" s="2" t="s">
        <v>72</v>
      </c>
      <c r="K835" s="2" t="s">
        <v>56</v>
      </c>
    </row>
    <row r="836" spans="1:11" x14ac:dyDescent="0.25">
      <c r="A836" s="2" t="s">
        <v>1321</v>
      </c>
      <c r="B836" s="2" t="s">
        <v>720</v>
      </c>
      <c r="C836" s="2" t="s">
        <v>46</v>
      </c>
      <c r="D836" s="2" t="s">
        <v>55</v>
      </c>
      <c r="E836" s="4">
        <v>46209</v>
      </c>
      <c r="F836" s="4">
        <v>46216</v>
      </c>
      <c r="G836" s="5">
        <v>5525</v>
      </c>
      <c r="H836" s="5">
        <v>0</v>
      </c>
      <c r="I836" s="2" t="s">
        <v>31</v>
      </c>
      <c r="J836" s="2" t="s">
        <v>347</v>
      </c>
      <c r="K836" s="2" t="s">
        <v>52</v>
      </c>
    </row>
    <row r="837" spans="1:11" x14ac:dyDescent="0.25">
      <c r="A837" s="2" t="s">
        <v>1322</v>
      </c>
      <c r="B837" s="2" t="s">
        <v>387</v>
      </c>
      <c r="C837" s="2" t="s">
        <v>79</v>
      </c>
      <c r="D837" s="2" t="s">
        <v>61</v>
      </c>
      <c r="E837" s="4">
        <v>46161</v>
      </c>
      <c r="F837" s="4">
        <v>46178</v>
      </c>
      <c r="G837" s="5">
        <v>3200</v>
      </c>
      <c r="H837" s="5">
        <v>0</v>
      </c>
      <c r="I837" s="2" t="s">
        <v>31</v>
      </c>
      <c r="J837" s="2" t="s">
        <v>32</v>
      </c>
      <c r="K837" s="2" t="s">
        <v>52</v>
      </c>
    </row>
    <row r="838" spans="1:11" x14ac:dyDescent="0.25">
      <c r="A838" s="2" t="s">
        <v>1323</v>
      </c>
      <c r="B838" s="2" t="s">
        <v>1324</v>
      </c>
      <c r="C838" s="2" t="s">
        <v>36</v>
      </c>
      <c r="D838" s="2" t="s">
        <v>55</v>
      </c>
      <c r="E838" s="4">
        <v>46040</v>
      </c>
      <c r="F838" s="4">
        <v>46055</v>
      </c>
      <c r="G838" s="5">
        <v>5125</v>
      </c>
      <c r="H838" s="5">
        <v>0</v>
      </c>
      <c r="I838" s="2" t="s">
        <v>245</v>
      </c>
      <c r="J838" s="2" t="s">
        <v>72</v>
      </c>
      <c r="K838" s="2" t="s">
        <v>109</v>
      </c>
    </row>
    <row r="839" spans="1:11" x14ac:dyDescent="0.25">
      <c r="A839" s="2" t="s">
        <v>1325</v>
      </c>
      <c r="B839" s="2" t="s">
        <v>720</v>
      </c>
      <c r="C839" s="2" t="s">
        <v>36</v>
      </c>
      <c r="D839" s="2" t="s">
        <v>309</v>
      </c>
      <c r="E839" s="4">
        <v>46225</v>
      </c>
      <c r="F839" s="4">
        <v>46230</v>
      </c>
      <c r="G839" s="5">
        <v>9975</v>
      </c>
      <c r="H839" s="5"/>
      <c r="I839" s="2" t="s">
        <v>42</v>
      </c>
      <c r="J839" s="2"/>
      <c r="K839" s="2" t="s">
        <v>65</v>
      </c>
    </row>
    <row r="840" spans="1:11" x14ac:dyDescent="0.25">
      <c r="A840" s="2" t="s">
        <v>1326</v>
      </c>
      <c r="B840" s="2" t="s">
        <v>1327</v>
      </c>
      <c r="C840" s="2" t="s">
        <v>36</v>
      </c>
      <c r="D840" s="2" t="s">
        <v>80</v>
      </c>
      <c r="E840" s="4">
        <v>46158</v>
      </c>
      <c r="F840" s="4">
        <v>46169</v>
      </c>
      <c r="G840" s="5">
        <v>3700</v>
      </c>
      <c r="H840" s="5">
        <v>2061.06</v>
      </c>
      <c r="I840" s="2" t="s">
        <v>37</v>
      </c>
      <c r="J840" s="2"/>
      <c r="K840" s="2" t="s">
        <v>65</v>
      </c>
    </row>
    <row r="841" spans="1:11" x14ac:dyDescent="0.25">
      <c r="A841" s="2" t="s">
        <v>1328</v>
      </c>
      <c r="B841" s="2" t="s">
        <v>276</v>
      </c>
      <c r="C841" s="2" t="s">
        <v>46</v>
      </c>
      <c r="D841" s="2" t="s">
        <v>80</v>
      </c>
      <c r="E841" s="4">
        <v>46054</v>
      </c>
      <c r="F841" s="4">
        <v>46073</v>
      </c>
      <c r="G841" s="5">
        <v>5925</v>
      </c>
      <c r="H841" s="5">
        <v>3760.68</v>
      </c>
      <c r="I841" s="2" t="s">
        <v>37</v>
      </c>
      <c r="J841" s="2"/>
      <c r="K841" s="2" t="s">
        <v>62</v>
      </c>
    </row>
    <row r="842" spans="1:11" x14ac:dyDescent="0.25">
      <c r="A842" s="2" t="s">
        <v>1329</v>
      </c>
      <c r="B842" s="2" t="s">
        <v>1330</v>
      </c>
      <c r="C842" s="2" t="s">
        <v>79</v>
      </c>
      <c r="D842" s="2" t="s">
        <v>80</v>
      </c>
      <c r="E842" s="4">
        <v>46254</v>
      </c>
      <c r="F842" s="4">
        <v>46258</v>
      </c>
      <c r="G842" s="5">
        <v>6825</v>
      </c>
      <c r="H842" s="5"/>
      <c r="I842" s="2" t="s">
        <v>42</v>
      </c>
      <c r="J842" s="2"/>
      <c r="K842" s="2" t="s">
        <v>52</v>
      </c>
    </row>
    <row r="843" spans="1:11" x14ac:dyDescent="0.25">
      <c r="A843" s="2" t="s">
        <v>1331</v>
      </c>
      <c r="B843" s="2" t="s">
        <v>975</v>
      </c>
      <c r="C843" s="2" t="s">
        <v>46</v>
      </c>
      <c r="D843" s="2" t="s">
        <v>80</v>
      </c>
      <c r="E843" s="4">
        <v>46283</v>
      </c>
      <c r="F843" s="4">
        <v>46295</v>
      </c>
      <c r="G843" s="5">
        <v>7250</v>
      </c>
      <c r="H843" s="5"/>
      <c r="I843" s="2" t="s">
        <v>42</v>
      </c>
      <c r="J843" s="2"/>
      <c r="K843" s="2" t="s">
        <v>33</v>
      </c>
    </row>
    <row r="844" spans="1:11" x14ac:dyDescent="0.25">
      <c r="A844" s="2" t="s">
        <v>1332</v>
      </c>
      <c r="B844" s="2" t="s">
        <v>835</v>
      </c>
      <c r="C844" s="2" t="s">
        <v>36</v>
      </c>
      <c r="D844" s="2" t="s">
        <v>41</v>
      </c>
      <c r="E844" s="4">
        <v>46080</v>
      </c>
      <c r="F844" s="4">
        <v>46096</v>
      </c>
      <c r="G844" s="5">
        <v>10625</v>
      </c>
      <c r="H844" s="5"/>
      <c r="I844" s="2" t="s">
        <v>42</v>
      </c>
      <c r="J844" s="2"/>
      <c r="K844" s="2" t="s">
        <v>83</v>
      </c>
    </row>
    <row r="845" spans="1:11" x14ac:dyDescent="0.25">
      <c r="A845" s="2" t="s">
        <v>1333</v>
      </c>
      <c r="B845" s="2" t="s">
        <v>724</v>
      </c>
      <c r="C845" s="2" t="s">
        <v>36</v>
      </c>
      <c r="D845" s="2" t="s">
        <v>61</v>
      </c>
      <c r="E845" s="4">
        <v>46253</v>
      </c>
      <c r="F845" s="4">
        <v>46265</v>
      </c>
      <c r="G845" s="5">
        <v>14850</v>
      </c>
      <c r="H845" s="5"/>
      <c r="I845" s="2" t="s">
        <v>42</v>
      </c>
      <c r="J845" s="2"/>
      <c r="K845" s="2" t="s">
        <v>56</v>
      </c>
    </row>
    <row r="846" spans="1:11" x14ac:dyDescent="0.25">
      <c r="A846" s="2" t="s">
        <v>1334</v>
      </c>
      <c r="B846" s="2" t="s">
        <v>569</v>
      </c>
      <c r="C846" s="2" t="s">
        <v>46</v>
      </c>
      <c r="D846" s="2" t="s">
        <v>68</v>
      </c>
      <c r="E846" s="4">
        <v>46273</v>
      </c>
      <c r="F846" s="4">
        <v>46282</v>
      </c>
      <c r="G846" s="5">
        <v>12225</v>
      </c>
      <c r="H846" s="5">
        <v>9985.14</v>
      </c>
      <c r="I846" s="2" t="s">
        <v>37</v>
      </c>
      <c r="J846" s="2"/>
      <c r="K846" s="2" t="s">
        <v>62</v>
      </c>
    </row>
    <row r="847" spans="1:11" x14ac:dyDescent="0.25">
      <c r="A847" s="2" t="s">
        <v>1335</v>
      </c>
      <c r="B847" s="2" t="s">
        <v>761</v>
      </c>
      <c r="C847" s="2" t="s">
        <v>46</v>
      </c>
      <c r="D847" s="2" t="s">
        <v>80</v>
      </c>
      <c r="E847" s="4">
        <v>46112</v>
      </c>
      <c r="F847" s="4">
        <v>46123</v>
      </c>
      <c r="G847" s="5">
        <v>12250</v>
      </c>
      <c r="H847" s="5"/>
      <c r="I847" s="2" t="s">
        <v>42</v>
      </c>
      <c r="J847" s="2"/>
      <c r="K847" s="2" t="s">
        <v>43</v>
      </c>
    </row>
    <row r="848" spans="1:11" x14ac:dyDescent="0.25">
      <c r="A848" s="2" t="s">
        <v>1336</v>
      </c>
      <c r="B848" s="2" t="s">
        <v>814</v>
      </c>
      <c r="C848" s="2" t="s">
        <v>79</v>
      </c>
      <c r="D848" s="2" t="s">
        <v>41</v>
      </c>
      <c r="E848" s="4">
        <v>46075</v>
      </c>
      <c r="F848" s="4">
        <v>46088</v>
      </c>
      <c r="G848" s="5">
        <v>11275</v>
      </c>
      <c r="H848" s="5">
        <v>7779.37</v>
      </c>
      <c r="I848" s="2" t="s">
        <v>37</v>
      </c>
      <c r="J848" s="2"/>
      <c r="K848" s="2" t="s">
        <v>62</v>
      </c>
    </row>
    <row r="849" spans="1:11" x14ac:dyDescent="0.25">
      <c r="A849" s="2" t="s">
        <v>1337</v>
      </c>
      <c r="B849" s="2" t="s">
        <v>1269</v>
      </c>
      <c r="C849" s="2" t="s">
        <v>36</v>
      </c>
      <c r="D849" s="2" t="s">
        <v>41</v>
      </c>
      <c r="E849" s="4">
        <v>46065</v>
      </c>
      <c r="F849" s="4">
        <v>46076</v>
      </c>
      <c r="G849" s="5">
        <v>5075</v>
      </c>
      <c r="H849" s="5">
        <v>5074.8599999999997</v>
      </c>
      <c r="I849" s="2" t="s">
        <v>37</v>
      </c>
      <c r="J849" s="2"/>
      <c r="K849" s="2" t="s">
        <v>65</v>
      </c>
    </row>
    <row r="850" spans="1:11" x14ac:dyDescent="0.25">
      <c r="A850" s="2" t="s">
        <v>1338</v>
      </c>
      <c r="B850" s="2" t="s">
        <v>771</v>
      </c>
      <c r="C850" s="2" t="s">
        <v>79</v>
      </c>
      <c r="D850" s="2" t="s">
        <v>30</v>
      </c>
      <c r="E850" s="4">
        <v>46270</v>
      </c>
      <c r="F850" s="4">
        <v>46275</v>
      </c>
      <c r="G850" s="5">
        <v>1825</v>
      </c>
      <c r="H850" s="5"/>
      <c r="I850" s="2" t="s">
        <v>42</v>
      </c>
      <c r="J850" s="2"/>
      <c r="K850" s="2" t="s">
        <v>62</v>
      </c>
    </row>
    <row r="851" spans="1:11" x14ac:dyDescent="0.25">
      <c r="A851" s="2" t="s">
        <v>1339</v>
      </c>
      <c r="B851" s="2" t="s">
        <v>136</v>
      </c>
      <c r="C851" s="2" t="s">
        <v>29</v>
      </c>
      <c r="D851" s="2" t="s">
        <v>94</v>
      </c>
      <c r="E851" s="4">
        <v>46021</v>
      </c>
      <c r="F851" s="4">
        <v>46031</v>
      </c>
      <c r="G851" s="5">
        <v>2425</v>
      </c>
      <c r="H851" s="5">
        <v>2119.0100000000002</v>
      </c>
      <c r="I851" s="2" t="s">
        <v>37</v>
      </c>
      <c r="J851" s="2"/>
      <c r="K851" s="2" t="s">
        <v>83</v>
      </c>
    </row>
    <row r="852" spans="1:11" x14ac:dyDescent="0.25">
      <c r="A852" s="2" t="s">
        <v>1340</v>
      </c>
      <c r="B852" s="2" t="s">
        <v>1341</v>
      </c>
      <c r="C852" s="2" t="s">
        <v>36</v>
      </c>
      <c r="D852" s="2" t="s">
        <v>30</v>
      </c>
      <c r="E852" s="4">
        <v>46183</v>
      </c>
      <c r="F852" s="4">
        <v>46190</v>
      </c>
      <c r="G852" s="5">
        <v>13500</v>
      </c>
      <c r="H852" s="5">
        <v>10229.23</v>
      </c>
      <c r="I852" s="2" t="s">
        <v>37</v>
      </c>
      <c r="J852" s="2"/>
      <c r="K852" s="2" t="s">
        <v>56</v>
      </c>
    </row>
    <row r="853" spans="1:11" x14ac:dyDescent="0.25">
      <c r="A853" s="2" t="s">
        <v>1342</v>
      </c>
      <c r="B853" s="2" t="s">
        <v>549</v>
      </c>
      <c r="C853" s="2" t="s">
        <v>46</v>
      </c>
      <c r="D853" s="2" t="s">
        <v>61</v>
      </c>
      <c r="E853" s="4">
        <v>46078</v>
      </c>
      <c r="F853" s="4">
        <v>46094</v>
      </c>
      <c r="G853" s="5">
        <v>12275</v>
      </c>
      <c r="H853" s="5">
        <v>0</v>
      </c>
      <c r="I853" s="2" t="s">
        <v>31</v>
      </c>
      <c r="J853" s="2" t="s">
        <v>47</v>
      </c>
      <c r="K853" s="2" t="s">
        <v>43</v>
      </c>
    </row>
    <row r="854" spans="1:11" x14ac:dyDescent="0.25">
      <c r="A854" s="2" t="s">
        <v>1343</v>
      </c>
      <c r="B854" s="2" t="s">
        <v>349</v>
      </c>
      <c r="C854" s="2" t="s">
        <v>29</v>
      </c>
      <c r="D854" s="2" t="s">
        <v>61</v>
      </c>
      <c r="E854" s="4">
        <v>46079</v>
      </c>
      <c r="F854" s="4">
        <v>46098</v>
      </c>
      <c r="G854" s="5">
        <v>2625</v>
      </c>
      <c r="H854" s="5"/>
      <c r="I854" s="2" t="s">
        <v>42</v>
      </c>
      <c r="J854" s="2"/>
      <c r="K854" s="2" t="s">
        <v>38</v>
      </c>
    </row>
    <row r="855" spans="1:11" x14ac:dyDescent="0.25">
      <c r="A855" s="2" t="s">
        <v>1344</v>
      </c>
      <c r="B855" s="2" t="s">
        <v>1345</v>
      </c>
      <c r="C855" s="2" t="s">
        <v>36</v>
      </c>
      <c r="D855" s="2" t="s">
        <v>30</v>
      </c>
      <c r="E855" s="4">
        <v>46157</v>
      </c>
      <c r="F855" s="4">
        <v>46171</v>
      </c>
      <c r="G855" s="5">
        <v>7500</v>
      </c>
      <c r="H855" s="5">
        <v>0</v>
      </c>
      <c r="I855" s="2" t="s">
        <v>31</v>
      </c>
      <c r="J855" s="2" t="s">
        <v>116</v>
      </c>
      <c r="K855" s="2" t="s">
        <v>65</v>
      </c>
    </row>
    <row r="856" spans="1:11" x14ac:dyDescent="0.25">
      <c r="A856" s="2" t="s">
        <v>1346</v>
      </c>
      <c r="B856" s="2" t="s">
        <v>1347</v>
      </c>
      <c r="C856" s="2" t="s">
        <v>46</v>
      </c>
      <c r="D856" s="2" t="s">
        <v>94</v>
      </c>
      <c r="E856" s="4">
        <v>46062</v>
      </c>
      <c r="F856" s="4">
        <v>46066</v>
      </c>
      <c r="G856" s="5">
        <v>12400</v>
      </c>
      <c r="H856" s="5">
        <v>7054.01</v>
      </c>
      <c r="I856" s="2" t="s">
        <v>37</v>
      </c>
      <c r="J856" s="2"/>
      <c r="K856" s="2" t="s">
        <v>52</v>
      </c>
    </row>
    <row r="857" spans="1:11" x14ac:dyDescent="0.25">
      <c r="A857" s="2" t="s">
        <v>1348</v>
      </c>
      <c r="B857" s="2" t="s">
        <v>649</v>
      </c>
      <c r="C857" s="2" t="s">
        <v>29</v>
      </c>
      <c r="D857" s="2" t="s">
        <v>80</v>
      </c>
      <c r="E857" s="4">
        <v>46182</v>
      </c>
      <c r="F857" s="4">
        <v>46192</v>
      </c>
      <c r="G857" s="5">
        <v>2700</v>
      </c>
      <c r="H857" s="5">
        <v>0</v>
      </c>
      <c r="I857" s="2" t="s">
        <v>31</v>
      </c>
      <c r="J857" s="2" t="s">
        <v>116</v>
      </c>
      <c r="K857" s="2" t="s">
        <v>38</v>
      </c>
    </row>
    <row r="858" spans="1:11" x14ac:dyDescent="0.25">
      <c r="A858" s="2" t="s">
        <v>1349</v>
      </c>
      <c r="B858" s="2" t="s">
        <v>1202</v>
      </c>
      <c r="C858" s="2" t="s">
        <v>79</v>
      </c>
      <c r="D858" s="2" t="s">
        <v>94</v>
      </c>
      <c r="E858" s="4">
        <v>46064</v>
      </c>
      <c r="F858" s="4">
        <v>46077</v>
      </c>
      <c r="G858" s="5">
        <v>12725</v>
      </c>
      <c r="H858" s="5">
        <v>8099.71</v>
      </c>
      <c r="I858" s="2" t="s">
        <v>37</v>
      </c>
      <c r="J858" s="2"/>
      <c r="K858" s="2" t="s">
        <v>48</v>
      </c>
    </row>
    <row r="859" spans="1:11" x14ac:dyDescent="0.25">
      <c r="A859" s="2" t="s">
        <v>1350</v>
      </c>
      <c r="B859" s="2" t="s">
        <v>749</v>
      </c>
      <c r="C859" s="2" t="s">
        <v>29</v>
      </c>
      <c r="D859" s="2" t="s">
        <v>55</v>
      </c>
      <c r="E859" s="4">
        <v>46090</v>
      </c>
      <c r="F859" s="4">
        <v>46101</v>
      </c>
      <c r="G859" s="5">
        <v>6475</v>
      </c>
      <c r="H859" s="5">
        <v>4902.2700000000004</v>
      </c>
      <c r="I859" s="2" t="s">
        <v>37</v>
      </c>
      <c r="J859" s="2"/>
      <c r="K859" s="2" t="s">
        <v>43</v>
      </c>
    </row>
    <row r="860" spans="1:11" x14ac:dyDescent="0.25">
      <c r="A860" s="2" t="s">
        <v>1351</v>
      </c>
      <c r="B860" s="2" t="s">
        <v>1352</v>
      </c>
      <c r="C860" s="2" t="s">
        <v>36</v>
      </c>
      <c r="D860" s="2" t="s">
        <v>71</v>
      </c>
      <c r="E860" s="4">
        <v>46197</v>
      </c>
      <c r="F860" s="4">
        <v>46215</v>
      </c>
      <c r="G860" s="5">
        <v>4125</v>
      </c>
      <c r="H860" s="5"/>
      <c r="I860" s="2" t="s">
        <v>42</v>
      </c>
      <c r="J860" s="2"/>
      <c r="K860" s="2" t="s">
        <v>56</v>
      </c>
    </row>
    <row r="861" spans="1:11" x14ac:dyDescent="0.25">
      <c r="A861" s="2" t="s">
        <v>1353</v>
      </c>
      <c r="B861" s="2" t="s">
        <v>617</v>
      </c>
      <c r="C861" s="2" t="s">
        <v>36</v>
      </c>
      <c r="D861" s="2" t="s">
        <v>30</v>
      </c>
      <c r="E861" s="4">
        <v>46170</v>
      </c>
      <c r="F861" s="4">
        <v>46181</v>
      </c>
      <c r="G861" s="5">
        <v>9575</v>
      </c>
      <c r="H861" s="5">
        <v>8674.99</v>
      </c>
      <c r="I861" s="2" t="s">
        <v>37</v>
      </c>
      <c r="J861" s="2"/>
      <c r="K861" s="2" t="s">
        <v>83</v>
      </c>
    </row>
    <row r="862" spans="1:11" x14ac:dyDescent="0.25">
      <c r="A862" s="2" t="s">
        <v>1354</v>
      </c>
      <c r="B862" s="2" t="s">
        <v>1355</v>
      </c>
      <c r="C862" s="2" t="s">
        <v>29</v>
      </c>
      <c r="D862" s="2" t="s">
        <v>30</v>
      </c>
      <c r="E862" s="4">
        <v>46071</v>
      </c>
      <c r="F862" s="4">
        <v>46091</v>
      </c>
      <c r="G862" s="5">
        <v>4425</v>
      </c>
      <c r="H862" s="5">
        <v>4363.6899999999996</v>
      </c>
      <c r="I862" s="2" t="s">
        <v>37</v>
      </c>
      <c r="J862" s="2"/>
      <c r="K862" s="2" t="s">
        <v>48</v>
      </c>
    </row>
    <row r="863" spans="1:11" x14ac:dyDescent="0.25">
      <c r="A863" s="2" t="s">
        <v>1356</v>
      </c>
      <c r="B863" s="2" t="s">
        <v>1345</v>
      </c>
      <c r="C863" s="2" t="s">
        <v>79</v>
      </c>
      <c r="D863" s="2" t="s">
        <v>68</v>
      </c>
      <c r="E863" s="4">
        <v>46012</v>
      </c>
      <c r="F863" s="4">
        <v>46032</v>
      </c>
      <c r="G863" s="5">
        <v>1425</v>
      </c>
      <c r="H863" s="5">
        <v>923.17</v>
      </c>
      <c r="I863" s="2" t="s">
        <v>394</v>
      </c>
      <c r="J863" s="2"/>
      <c r="K863" s="2" t="s">
        <v>83</v>
      </c>
    </row>
    <row r="864" spans="1:11" x14ac:dyDescent="0.25">
      <c r="A864" s="2" t="s">
        <v>1357</v>
      </c>
      <c r="B864" s="2" t="s">
        <v>493</v>
      </c>
      <c r="C864" s="2" t="s">
        <v>29</v>
      </c>
      <c r="D864" s="2" t="s">
        <v>30</v>
      </c>
      <c r="E864" s="4">
        <v>46226</v>
      </c>
      <c r="F864" s="4">
        <v>46246</v>
      </c>
      <c r="G864" s="5">
        <v>3350</v>
      </c>
      <c r="H864" s="5">
        <v>2251.8200000000002</v>
      </c>
      <c r="I864" s="2" t="s">
        <v>37</v>
      </c>
      <c r="J864" s="2"/>
      <c r="K864" s="2" t="s">
        <v>52</v>
      </c>
    </row>
    <row r="865" spans="1:11" x14ac:dyDescent="0.25">
      <c r="A865" s="2" t="s">
        <v>1358</v>
      </c>
      <c r="B865" s="2" t="s">
        <v>237</v>
      </c>
      <c r="C865" s="2" t="s">
        <v>29</v>
      </c>
      <c r="D865" s="2" t="s">
        <v>41</v>
      </c>
      <c r="E865" s="4">
        <v>46201</v>
      </c>
      <c r="F865" s="4">
        <v>46215</v>
      </c>
      <c r="G865" s="5">
        <v>325</v>
      </c>
      <c r="H865" s="5">
        <v>236.8</v>
      </c>
      <c r="I865" s="2" t="s">
        <v>299</v>
      </c>
      <c r="J865" s="2"/>
      <c r="K865" s="2" t="s">
        <v>62</v>
      </c>
    </row>
    <row r="866" spans="1:11" x14ac:dyDescent="0.25">
      <c r="A866" s="2" t="s">
        <v>1359</v>
      </c>
      <c r="B866" s="2" t="s">
        <v>1360</v>
      </c>
      <c r="C866" s="2" t="s">
        <v>46</v>
      </c>
      <c r="D866" s="2" t="s">
        <v>55</v>
      </c>
      <c r="E866" s="4">
        <v>46065</v>
      </c>
      <c r="F866" s="4">
        <v>46068</v>
      </c>
      <c r="G866" s="5">
        <v>4175</v>
      </c>
      <c r="H866" s="5">
        <v>3286.42</v>
      </c>
      <c r="I866" s="2" t="s">
        <v>37</v>
      </c>
      <c r="J866" s="2"/>
      <c r="K866" s="2" t="s">
        <v>33</v>
      </c>
    </row>
    <row r="867" spans="1:11" x14ac:dyDescent="0.25">
      <c r="A867" s="2" t="s">
        <v>1361</v>
      </c>
      <c r="B867" s="2" t="s">
        <v>409</v>
      </c>
      <c r="C867" s="2" t="s">
        <v>36</v>
      </c>
      <c r="D867" s="2" t="s">
        <v>30</v>
      </c>
      <c r="E867" s="4">
        <v>46033</v>
      </c>
      <c r="F867" s="4">
        <v>46044</v>
      </c>
      <c r="G867" s="5">
        <v>5675</v>
      </c>
      <c r="H867" s="5"/>
      <c r="I867" s="2" t="s">
        <v>42</v>
      </c>
      <c r="J867" s="2"/>
      <c r="K867" s="2" t="s">
        <v>83</v>
      </c>
    </row>
    <row r="868" spans="1:11" x14ac:dyDescent="0.25">
      <c r="A868" s="2" t="s">
        <v>1362</v>
      </c>
      <c r="B868" s="2" t="s">
        <v>1363</v>
      </c>
      <c r="C868" s="2" t="s">
        <v>79</v>
      </c>
      <c r="D868" s="2" t="s">
        <v>61</v>
      </c>
      <c r="E868" s="4">
        <v>46200</v>
      </c>
      <c r="F868" s="4">
        <v>46217</v>
      </c>
      <c r="G868" s="5">
        <v>14450</v>
      </c>
      <c r="H868" s="5">
        <v>10776.45</v>
      </c>
      <c r="I868" s="2" t="s">
        <v>37</v>
      </c>
      <c r="J868" s="2"/>
      <c r="K868" s="2" t="s">
        <v>52</v>
      </c>
    </row>
    <row r="869" spans="1:11" x14ac:dyDescent="0.25">
      <c r="A869" s="2" t="s">
        <v>1364</v>
      </c>
      <c r="B869" s="2" t="s">
        <v>1365</v>
      </c>
      <c r="C869" s="2" t="s">
        <v>46</v>
      </c>
      <c r="D869" s="2" t="s">
        <v>94</v>
      </c>
      <c r="E869" s="4">
        <v>46193</v>
      </c>
      <c r="F869" s="4">
        <v>46211</v>
      </c>
      <c r="G869" s="5">
        <v>4275</v>
      </c>
      <c r="H869" s="5">
        <v>4159.72</v>
      </c>
      <c r="I869" s="2" t="s">
        <v>37</v>
      </c>
      <c r="J869" s="2"/>
      <c r="K869" s="2" t="s">
        <v>65</v>
      </c>
    </row>
    <row r="870" spans="1:11" x14ac:dyDescent="0.25">
      <c r="A870" s="2" t="s">
        <v>1366</v>
      </c>
      <c r="B870" s="2" t="s">
        <v>138</v>
      </c>
      <c r="C870" s="2" t="s">
        <v>46</v>
      </c>
      <c r="D870" s="2" t="s">
        <v>41</v>
      </c>
      <c r="E870" s="4">
        <v>46178</v>
      </c>
      <c r="F870" s="4">
        <v>46192</v>
      </c>
      <c r="G870" s="5">
        <v>3300</v>
      </c>
      <c r="H870" s="5">
        <v>1863.82</v>
      </c>
      <c r="I870" s="2" t="s">
        <v>130</v>
      </c>
      <c r="J870" s="2"/>
      <c r="K870" s="2" t="s">
        <v>83</v>
      </c>
    </row>
    <row r="871" spans="1:11" x14ac:dyDescent="0.25">
      <c r="A871" s="2" t="s">
        <v>1367</v>
      </c>
      <c r="B871" s="2" t="s">
        <v>290</v>
      </c>
      <c r="C871" s="2" t="s">
        <v>36</v>
      </c>
      <c r="D871" s="2" t="s">
        <v>61</v>
      </c>
      <c r="E871" s="4">
        <v>46089</v>
      </c>
      <c r="F871" s="4">
        <v>46103</v>
      </c>
      <c r="G871" s="5">
        <v>14700</v>
      </c>
      <c r="H871" s="5">
        <v>13771.23</v>
      </c>
      <c r="I871" s="2" t="s">
        <v>37</v>
      </c>
      <c r="J871" s="2"/>
      <c r="K871" s="2" t="s">
        <v>83</v>
      </c>
    </row>
    <row r="872" spans="1:11" x14ac:dyDescent="0.25">
      <c r="A872" s="2" t="s">
        <v>1368</v>
      </c>
      <c r="B872" s="2" t="s">
        <v>1183</v>
      </c>
      <c r="C872" s="2" t="s">
        <v>79</v>
      </c>
      <c r="D872" s="2" t="s">
        <v>94</v>
      </c>
      <c r="E872" s="4">
        <v>46221</v>
      </c>
      <c r="F872" s="4">
        <v>46230</v>
      </c>
      <c r="G872" s="5">
        <v>6875</v>
      </c>
      <c r="H872" s="5">
        <v>5847.86</v>
      </c>
      <c r="I872" s="2" t="s">
        <v>37</v>
      </c>
      <c r="J872" s="2"/>
      <c r="K872" s="2" t="s">
        <v>65</v>
      </c>
    </row>
    <row r="873" spans="1:11" x14ac:dyDescent="0.25">
      <c r="A873" s="2" t="s">
        <v>1369</v>
      </c>
      <c r="B873" s="2" t="s">
        <v>1370</v>
      </c>
      <c r="C873" s="2" t="s">
        <v>46</v>
      </c>
      <c r="D873" s="2" t="s">
        <v>41</v>
      </c>
      <c r="E873" s="4">
        <v>46293</v>
      </c>
      <c r="F873" s="4">
        <v>46297</v>
      </c>
      <c r="G873" s="5">
        <v>13875</v>
      </c>
      <c r="H873" s="5">
        <v>10991.45</v>
      </c>
      <c r="I873" s="2" t="s">
        <v>37</v>
      </c>
      <c r="J873" s="2"/>
      <c r="K873" s="2" t="s">
        <v>56</v>
      </c>
    </row>
    <row r="874" spans="1:11" x14ac:dyDescent="0.25">
      <c r="A874" s="2" t="s">
        <v>1371</v>
      </c>
      <c r="B874" s="2" t="s">
        <v>1317</v>
      </c>
      <c r="C874" s="2" t="s">
        <v>29</v>
      </c>
      <c r="D874" s="2" t="s">
        <v>61</v>
      </c>
      <c r="E874" s="4">
        <v>46042</v>
      </c>
      <c r="F874" s="4">
        <v>46056</v>
      </c>
      <c r="G874" s="5">
        <v>4375</v>
      </c>
      <c r="H874" s="5">
        <v>4300.63</v>
      </c>
      <c r="I874" s="2" t="s">
        <v>37</v>
      </c>
      <c r="J874" s="2"/>
      <c r="K874" s="2" t="s">
        <v>33</v>
      </c>
    </row>
    <row r="875" spans="1:11" x14ac:dyDescent="0.25">
      <c r="A875" s="2" t="s">
        <v>1372</v>
      </c>
      <c r="B875" s="2" t="s">
        <v>513</v>
      </c>
      <c r="C875" s="2" t="s">
        <v>46</v>
      </c>
      <c r="D875" s="2" t="s">
        <v>61</v>
      </c>
      <c r="E875" s="4">
        <v>46041</v>
      </c>
      <c r="F875" s="4">
        <v>46053</v>
      </c>
      <c r="G875" s="5">
        <v>14825</v>
      </c>
      <c r="H875" s="5">
        <v>11148.76</v>
      </c>
      <c r="I875" s="2" t="s">
        <v>37</v>
      </c>
      <c r="J875" s="2"/>
      <c r="K875" s="2" t="s">
        <v>62</v>
      </c>
    </row>
    <row r="876" spans="1:11" x14ac:dyDescent="0.25">
      <c r="A876" s="2" t="s">
        <v>1373</v>
      </c>
      <c r="B876" s="2" t="s">
        <v>89</v>
      </c>
      <c r="C876" s="2" t="s">
        <v>29</v>
      </c>
      <c r="D876" s="2" t="s">
        <v>30</v>
      </c>
      <c r="E876" s="4">
        <v>46178</v>
      </c>
      <c r="F876" s="4">
        <v>46186</v>
      </c>
      <c r="G876" s="5">
        <v>3550</v>
      </c>
      <c r="H876" s="5">
        <v>0</v>
      </c>
      <c r="I876" s="2" t="s">
        <v>31</v>
      </c>
      <c r="J876" s="2" t="s">
        <v>32</v>
      </c>
      <c r="K876" s="2" t="s">
        <v>52</v>
      </c>
    </row>
    <row r="877" spans="1:11" x14ac:dyDescent="0.25">
      <c r="A877" s="2" t="s">
        <v>1374</v>
      </c>
      <c r="B877" s="2" t="s">
        <v>679</v>
      </c>
      <c r="C877" s="2" t="s">
        <v>46</v>
      </c>
      <c r="D877" s="2" t="s">
        <v>80</v>
      </c>
      <c r="E877" s="4">
        <v>46221</v>
      </c>
      <c r="F877" s="4">
        <v>46235</v>
      </c>
      <c r="G877" s="5">
        <v>5800</v>
      </c>
      <c r="H877" s="5"/>
      <c r="I877" s="2" t="s">
        <v>42</v>
      </c>
      <c r="J877" s="2"/>
      <c r="K877" s="2" t="s">
        <v>65</v>
      </c>
    </row>
    <row r="878" spans="1:11" x14ac:dyDescent="0.25">
      <c r="A878" s="2" t="s">
        <v>1375</v>
      </c>
      <c r="B878" s="2" t="s">
        <v>1376</v>
      </c>
      <c r="C878" s="2" t="s">
        <v>46</v>
      </c>
      <c r="D878" s="2" t="s">
        <v>41</v>
      </c>
      <c r="E878" s="4">
        <v>46167</v>
      </c>
      <c r="F878" s="4">
        <v>46171</v>
      </c>
      <c r="G878" s="5">
        <v>4100</v>
      </c>
      <c r="H878" s="5">
        <v>0</v>
      </c>
      <c r="I878" s="2" t="s">
        <v>31</v>
      </c>
      <c r="J878" s="2" t="s">
        <v>47</v>
      </c>
      <c r="K878" s="2" t="s">
        <v>33</v>
      </c>
    </row>
    <row r="879" spans="1:11" x14ac:dyDescent="0.25">
      <c r="A879" s="2" t="s">
        <v>1377</v>
      </c>
      <c r="B879" s="2" t="s">
        <v>894</v>
      </c>
      <c r="C879" s="2" t="s">
        <v>79</v>
      </c>
      <c r="D879" s="2" t="s">
        <v>80</v>
      </c>
      <c r="E879" s="4">
        <v>46075</v>
      </c>
      <c r="F879" s="4">
        <v>46084</v>
      </c>
      <c r="G879" s="5">
        <v>8000</v>
      </c>
      <c r="H879" s="5">
        <v>5718.28</v>
      </c>
      <c r="I879" s="2" t="s">
        <v>37</v>
      </c>
      <c r="J879" s="2"/>
      <c r="K879" s="2" t="s">
        <v>338</v>
      </c>
    </row>
    <row r="880" spans="1:11" x14ac:dyDescent="0.25">
      <c r="A880" s="2" t="s">
        <v>1378</v>
      </c>
      <c r="B880" s="2" t="s">
        <v>803</v>
      </c>
      <c r="C880" s="2" t="s">
        <v>79</v>
      </c>
      <c r="D880" s="2" t="s">
        <v>94</v>
      </c>
      <c r="E880" s="4">
        <v>46034</v>
      </c>
      <c r="F880" s="4">
        <v>46053</v>
      </c>
      <c r="G880" s="5">
        <v>12075</v>
      </c>
      <c r="H880" s="5">
        <v>6657.32</v>
      </c>
      <c r="I880" s="2" t="s">
        <v>37</v>
      </c>
      <c r="J880" s="2"/>
      <c r="K880" s="2" t="s">
        <v>56</v>
      </c>
    </row>
    <row r="881" spans="1:11" x14ac:dyDescent="0.25">
      <c r="A881" s="2" t="s">
        <v>1379</v>
      </c>
      <c r="B881" s="2" t="s">
        <v>894</v>
      </c>
      <c r="C881" s="2" t="s">
        <v>79</v>
      </c>
      <c r="D881" s="2" t="s">
        <v>41</v>
      </c>
      <c r="E881" s="4">
        <v>46224</v>
      </c>
      <c r="F881" s="4">
        <v>46237</v>
      </c>
      <c r="G881" s="5">
        <v>3575</v>
      </c>
      <c r="H881" s="5">
        <v>0</v>
      </c>
      <c r="I881" s="2" t="s">
        <v>31</v>
      </c>
      <c r="J881" s="2" t="s">
        <v>72</v>
      </c>
      <c r="K881" s="2" t="s">
        <v>56</v>
      </c>
    </row>
    <row r="882" spans="1:11" x14ac:dyDescent="0.25">
      <c r="A882" s="2" t="s">
        <v>1380</v>
      </c>
      <c r="B882" s="2" t="s">
        <v>460</v>
      </c>
      <c r="C882" s="2" t="s">
        <v>36</v>
      </c>
      <c r="D882" s="2" t="s">
        <v>80</v>
      </c>
      <c r="E882" s="4">
        <v>46092</v>
      </c>
      <c r="F882" s="4">
        <v>46096</v>
      </c>
      <c r="G882" s="5">
        <v>2575</v>
      </c>
      <c r="H882" s="5">
        <v>2090.37</v>
      </c>
      <c r="I882" s="2" t="s">
        <v>37</v>
      </c>
      <c r="J882" s="2"/>
      <c r="K882" s="2" t="s">
        <v>43</v>
      </c>
    </row>
    <row r="883" spans="1:11" x14ac:dyDescent="0.25">
      <c r="A883" s="2" t="s">
        <v>1381</v>
      </c>
      <c r="B883" s="2" t="s">
        <v>316</v>
      </c>
      <c r="C883" s="2" t="s">
        <v>79</v>
      </c>
      <c r="D883" s="2" t="s">
        <v>41</v>
      </c>
      <c r="E883" s="4">
        <v>46030</v>
      </c>
      <c r="F883" s="4">
        <v>46042</v>
      </c>
      <c r="G883" s="5">
        <v>5325</v>
      </c>
      <c r="H883" s="5">
        <v>3243.34</v>
      </c>
      <c r="I883" s="2" t="s">
        <v>37</v>
      </c>
      <c r="J883" s="2"/>
      <c r="K883" s="2" t="s">
        <v>33</v>
      </c>
    </row>
    <row r="884" spans="1:11" x14ac:dyDescent="0.25">
      <c r="A884" s="2" t="s">
        <v>1382</v>
      </c>
      <c r="B884" s="2" t="s">
        <v>100</v>
      </c>
      <c r="C884" s="2" t="s">
        <v>29</v>
      </c>
      <c r="D884" s="2" t="s">
        <v>41</v>
      </c>
      <c r="E884" s="4">
        <v>46022</v>
      </c>
      <c r="F884" s="4">
        <v>46028</v>
      </c>
      <c r="G884" s="5">
        <v>8700</v>
      </c>
      <c r="H884" s="5">
        <v>5980.2</v>
      </c>
      <c r="I884" s="2" t="s">
        <v>37</v>
      </c>
      <c r="J884" s="2"/>
      <c r="K884" s="2" t="s">
        <v>109</v>
      </c>
    </row>
    <row r="885" spans="1:11" x14ac:dyDescent="0.25">
      <c r="A885" s="2" t="s">
        <v>1383</v>
      </c>
      <c r="B885" s="2" t="s">
        <v>557</v>
      </c>
      <c r="C885" s="2" t="s">
        <v>46</v>
      </c>
      <c r="D885" s="2" t="s">
        <v>55</v>
      </c>
      <c r="E885" s="4">
        <v>46099</v>
      </c>
      <c r="F885" s="4">
        <v>46103</v>
      </c>
      <c r="G885" s="5">
        <v>4275</v>
      </c>
      <c r="H885" s="5">
        <v>2423.31</v>
      </c>
      <c r="I885" s="2" t="s">
        <v>37</v>
      </c>
      <c r="J885" s="2"/>
      <c r="K885" s="2" t="s">
        <v>38</v>
      </c>
    </row>
    <row r="886" spans="1:11" x14ac:dyDescent="0.25">
      <c r="A886" s="2" t="s">
        <v>1384</v>
      </c>
      <c r="B886" s="2" t="s">
        <v>259</v>
      </c>
      <c r="C886" s="2" t="s">
        <v>46</v>
      </c>
      <c r="D886" s="2" t="s">
        <v>30</v>
      </c>
      <c r="E886" s="4">
        <v>46226</v>
      </c>
      <c r="F886" s="4">
        <v>46242</v>
      </c>
      <c r="G886" s="5">
        <v>2500</v>
      </c>
      <c r="H886" s="5"/>
      <c r="I886" s="2" t="s">
        <v>42</v>
      </c>
      <c r="J886" s="2"/>
      <c r="K886" s="2" t="s">
        <v>1385</v>
      </c>
    </row>
    <row r="887" spans="1:11" x14ac:dyDescent="0.25">
      <c r="A887" s="2" t="s">
        <v>1386</v>
      </c>
      <c r="B887" s="2" t="s">
        <v>89</v>
      </c>
      <c r="C887" s="2" t="s">
        <v>79</v>
      </c>
      <c r="D887" s="2" t="s">
        <v>71</v>
      </c>
      <c r="E887" s="4">
        <v>46159</v>
      </c>
      <c r="F887" s="4">
        <v>46178</v>
      </c>
      <c r="G887" s="5">
        <v>11625</v>
      </c>
      <c r="H887" s="5">
        <v>9827.57</v>
      </c>
      <c r="I887" s="2" t="s">
        <v>37</v>
      </c>
      <c r="J887" s="2"/>
      <c r="K887" s="2" t="s">
        <v>38</v>
      </c>
    </row>
    <row r="888" spans="1:11" x14ac:dyDescent="0.25">
      <c r="A888" s="2" t="s">
        <v>1387</v>
      </c>
      <c r="B888" s="2" t="s">
        <v>1388</v>
      </c>
      <c r="C888" s="2" t="s">
        <v>79</v>
      </c>
      <c r="D888" s="2" t="s">
        <v>61</v>
      </c>
      <c r="E888" s="4">
        <v>46106</v>
      </c>
      <c r="F888" s="4">
        <v>46119</v>
      </c>
      <c r="G888" s="5">
        <v>7000</v>
      </c>
      <c r="H888" s="5">
        <v>6293.38</v>
      </c>
      <c r="I888" s="2" t="s">
        <v>37</v>
      </c>
      <c r="J888" s="2"/>
      <c r="K888" s="2" t="s">
        <v>109</v>
      </c>
    </row>
    <row r="889" spans="1:11" x14ac:dyDescent="0.25">
      <c r="A889" s="2" t="s">
        <v>1389</v>
      </c>
      <c r="B889" s="2" t="s">
        <v>925</v>
      </c>
      <c r="C889" s="2" t="s">
        <v>79</v>
      </c>
      <c r="D889" s="2" t="s">
        <v>80</v>
      </c>
      <c r="E889" s="4">
        <v>46114</v>
      </c>
      <c r="F889" s="4">
        <v>46131</v>
      </c>
      <c r="G889" s="5">
        <v>12375</v>
      </c>
      <c r="H889" s="5">
        <v>8737.06</v>
      </c>
      <c r="I889" s="2" t="s">
        <v>299</v>
      </c>
      <c r="J889" s="2"/>
      <c r="K889" s="2" t="s">
        <v>43</v>
      </c>
    </row>
    <row r="890" spans="1:11" x14ac:dyDescent="0.25">
      <c r="A890" s="2" t="s">
        <v>1390</v>
      </c>
      <c r="B890" s="2" t="s">
        <v>835</v>
      </c>
      <c r="C890" s="2" t="s">
        <v>46</v>
      </c>
      <c r="D890" s="2" t="s">
        <v>30</v>
      </c>
      <c r="E890" s="4">
        <v>46275</v>
      </c>
      <c r="F890" s="4">
        <v>46288</v>
      </c>
      <c r="G890" s="5">
        <v>5575</v>
      </c>
      <c r="H890" s="5">
        <v>5276.24</v>
      </c>
      <c r="I890" s="2" t="s">
        <v>37</v>
      </c>
      <c r="J890" s="2"/>
      <c r="K890" s="2" t="s">
        <v>43</v>
      </c>
    </row>
    <row r="891" spans="1:11" x14ac:dyDescent="0.25">
      <c r="A891" s="2" t="s">
        <v>1391</v>
      </c>
      <c r="B891" s="2" t="s">
        <v>899</v>
      </c>
      <c r="C891" s="2" t="s">
        <v>46</v>
      </c>
      <c r="D891" s="2" t="s">
        <v>61</v>
      </c>
      <c r="E891" s="4">
        <v>46032</v>
      </c>
      <c r="F891" s="4">
        <v>46046</v>
      </c>
      <c r="G891" s="5">
        <v>8125</v>
      </c>
      <c r="H891" s="5"/>
      <c r="I891" s="2" t="s">
        <v>42</v>
      </c>
      <c r="J891" s="2"/>
      <c r="K891" s="2" t="s">
        <v>65</v>
      </c>
    </row>
    <row r="892" spans="1:11" x14ac:dyDescent="0.25">
      <c r="A892" s="2" t="s">
        <v>1392</v>
      </c>
      <c r="B892" s="2" t="s">
        <v>978</v>
      </c>
      <c r="C892" s="2" t="s">
        <v>46</v>
      </c>
      <c r="D892" s="2" t="s">
        <v>30</v>
      </c>
      <c r="E892" s="4">
        <v>46177</v>
      </c>
      <c r="F892" s="4">
        <v>46194</v>
      </c>
      <c r="G892" s="5">
        <v>7850</v>
      </c>
      <c r="H892" s="5">
        <v>5635.58</v>
      </c>
      <c r="I892" s="2" t="s">
        <v>37</v>
      </c>
      <c r="J892" s="2"/>
      <c r="K892" s="2" t="s">
        <v>56</v>
      </c>
    </row>
    <row r="893" spans="1:11" x14ac:dyDescent="0.25">
      <c r="A893" s="2" t="s">
        <v>1393</v>
      </c>
      <c r="B893" s="2" t="s">
        <v>1394</v>
      </c>
      <c r="C893" s="2" t="s">
        <v>46</v>
      </c>
      <c r="D893" s="2" t="s">
        <v>41</v>
      </c>
      <c r="E893" s="4">
        <v>46083</v>
      </c>
      <c r="F893" s="4">
        <v>46097</v>
      </c>
      <c r="G893" s="5">
        <v>9650</v>
      </c>
      <c r="H893" s="5">
        <v>9023.26</v>
      </c>
      <c r="I893" s="2" t="s">
        <v>130</v>
      </c>
      <c r="J893" s="2"/>
      <c r="K893" s="2" t="s">
        <v>56</v>
      </c>
    </row>
    <row r="894" spans="1:11" x14ac:dyDescent="0.25">
      <c r="A894" s="2" t="s">
        <v>1395</v>
      </c>
      <c r="B894" s="2" t="s">
        <v>759</v>
      </c>
      <c r="C894" s="2" t="s">
        <v>36</v>
      </c>
      <c r="D894" s="2" t="s">
        <v>41</v>
      </c>
      <c r="E894" s="4">
        <v>46162</v>
      </c>
      <c r="F894" s="4">
        <v>46176</v>
      </c>
      <c r="G894" s="5">
        <v>13275</v>
      </c>
      <c r="H894" s="5">
        <v>11963.53</v>
      </c>
      <c r="I894" s="2" t="s">
        <v>37</v>
      </c>
      <c r="J894" s="2"/>
      <c r="K894" s="2" t="s">
        <v>56</v>
      </c>
    </row>
    <row r="895" spans="1:11" x14ac:dyDescent="0.25">
      <c r="A895" s="2" t="s">
        <v>1396</v>
      </c>
      <c r="B895" s="2" t="s">
        <v>50</v>
      </c>
      <c r="C895" s="2" t="s">
        <v>46</v>
      </c>
      <c r="D895" s="2" t="s">
        <v>68</v>
      </c>
      <c r="E895" s="4">
        <v>46230</v>
      </c>
      <c r="F895" s="4">
        <v>46248</v>
      </c>
      <c r="G895" s="5">
        <v>5650</v>
      </c>
      <c r="H895" s="5">
        <v>5542.24</v>
      </c>
      <c r="I895" s="2" t="s">
        <v>37</v>
      </c>
      <c r="J895" s="2"/>
      <c r="K895" s="2" t="s">
        <v>33</v>
      </c>
    </row>
    <row r="896" spans="1:11" x14ac:dyDescent="0.25">
      <c r="A896" s="2" t="s">
        <v>1397</v>
      </c>
      <c r="B896" s="2" t="s">
        <v>1226</v>
      </c>
      <c r="C896" s="2" t="s">
        <v>46</v>
      </c>
      <c r="D896" s="2" t="s">
        <v>591</v>
      </c>
      <c r="E896" s="4">
        <v>46191</v>
      </c>
      <c r="F896" s="4">
        <v>46196</v>
      </c>
      <c r="G896" s="5">
        <v>9125</v>
      </c>
      <c r="H896" s="5">
        <v>0</v>
      </c>
      <c r="I896" s="2" t="s">
        <v>31</v>
      </c>
      <c r="J896" s="2" t="s">
        <v>347</v>
      </c>
      <c r="K896" s="2" t="s">
        <v>109</v>
      </c>
    </row>
    <row r="897" spans="1:11" x14ac:dyDescent="0.25">
      <c r="A897" s="2" t="s">
        <v>1398</v>
      </c>
      <c r="B897" s="2" t="s">
        <v>452</v>
      </c>
      <c r="C897" s="2" t="s">
        <v>36</v>
      </c>
      <c r="D897" s="2" t="s">
        <v>41</v>
      </c>
      <c r="E897" s="4">
        <v>46177</v>
      </c>
      <c r="F897" s="4">
        <v>46193</v>
      </c>
      <c r="G897" s="5">
        <v>13875</v>
      </c>
      <c r="H897" s="5">
        <v>0</v>
      </c>
      <c r="I897" s="2" t="s">
        <v>31</v>
      </c>
      <c r="J897" s="2" t="s">
        <v>32</v>
      </c>
      <c r="K897" s="2" t="s">
        <v>38</v>
      </c>
    </row>
    <row r="898" spans="1:11" x14ac:dyDescent="0.25">
      <c r="A898" s="2" t="s">
        <v>1399</v>
      </c>
      <c r="B898" s="2" t="s">
        <v>480</v>
      </c>
      <c r="C898" s="2" t="s">
        <v>46</v>
      </c>
      <c r="D898" s="2" t="s">
        <v>80</v>
      </c>
      <c r="E898" s="4">
        <v>46160</v>
      </c>
      <c r="F898" s="4">
        <v>46174</v>
      </c>
      <c r="G898" s="5">
        <v>11900</v>
      </c>
      <c r="H898" s="5">
        <v>11786.6</v>
      </c>
      <c r="I898" s="2" t="s">
        <v>37</v>
      </c>
      <c r="J898" s="2"/>
      <c r="K898" s="2" t="s">
        <v>38</v>
      </c>
    </row>
    <row r="899" spans="1:11" x14ac:dyDescent="0.25">
      <c r="A899" s="2" t="s">
        <v>1400</v>
      </c>
      <c r="B899" s="2" t="s">
        <v>779</v>
      </c>
      <c r="C899" s="2" t="s">
        <v>46</v>
      </c>
      <c r="D899" s="2" t="s">
        <v>68</v>
      </c>
      <c r="E899" s="4">
        <v>46246</v>
      </c>
      <c r="F899" s="4">
        <v>46264</v>
      </c>
      <c r="G899" s="5">
        <v>14875</v>
      </c>
      <c r="H899" s="5"/>
      <c r="I899" s="2" t="s">
        <v>42</v>
      </c>
      <c r="J899" s="2"/>
      <c r="K899" s="2" t="s">
        <v>43</v>
      </c>
    </row>
    <row r="900" spans="1:11" x14ac:dyDescent="0.25">
      <c r="A900" s="2" t="s">
        <v>1401</v>
      </c>
      <c r="B900" s="2" t="s">
        <v>349</v>
      </c>
      <c r="C900" s="2" t="s">
        <v>29</v>
      </c>
      <c r="D900" s="2" t="s">
        <v>68</v>
      </c>
      <c r="E900" s="4">
        <v>46078</v>
      </c>
      <c r="F900" s="4">
        <v>46085</v>
      </c>
      <c r="G900" s="5">
        <v>5575</v>
      </c>
      <c r="H900" s="5">
        <v>3102.83</v>
      </c>
      <c r="I900" s="2" t="s">
        <v>37</v>
      </c>
      <c r="J900" s="2"/>
      <c r="K900" s="2" t="s">
        <v>1402</v>
      </c>
    </row>
    <row r="901" spans="1:11" x14ac:dyDescent="0.25">
      <c r="A901" s="2" t="s">
        <v>1403</v>
      </c>
      <c r="B901" s="2" t="s">
        <v>93</v>
      </c>
      <c r="C901" s="2" t="s">
        <v>29</v>
      </c>
      <c r="D901" s="2" t="s">
        <v>30</v>
      </c>
      <c r="E901" s="4">
        <v>46163</v>
      </c>
      <c r="F901" s="4">
        <v>46183</v>
      </c>
      <c r="G901" s="5">
        <v>14400</v>
      </c>
      <c r="H901" s="5"/>
      <c r="I901" s="2" t="s">
        <v>42</v>
      </c>
      <c r="J901" s="2"/>
      <c r="K901" s="2" t="s">
        <v>83</v>
      </c>
    </row>
    <row r="902" spans="1:11" x14ac:dyDescent="0.25">
      <c r="A902" s="2" t="s">
        <v>1404</v>
      </c>
      <c r="B902" s="2" t="s">
        <v>220</v>
      </c>
      <c r="C902" s="2" t="s">
        <v>79</v>
      </c>
      <c r="D902" s="2" t="s">
        <v>68</v>
      </c>
      <c r="E902" s="4">
        <v>46089</v>
      </c>
      <c r="F902" s="4">
        <v>46100</v>
      </c>
      <c r="G902" s="5">
        <v>1150</v>
      </c>
      <c r="H902" s="5">
        <v>1132.0899999999999</v>
      </c>
      <c r="I902" s="2" t="s">
        <v>37</v>
      </c>
      <c r="J902" s="2"/>
      <c r="K902" s="2" t="s">
        <v>43</v>
      </c>
    </row>
    <row r="903" spans="1:11" x14ac:dyDescent="0.25">
      <c r="A903" s="2" t="s">
        <v>1405</v>
      </c>
      <c r="B903" s="2" t="s">
        <v>316</v>
      </c>
      <c r="C903" s="2" t="s">
        <v>46</v>
      </c>
      <c r="D903" s="2" t="s">
        <v>41</v>
      </c>
      <c r="E903" s="4">
        <v>46168</v>
      </c>
      <c r="F903" s="4">
        <v>46188</v>
      </c>
      <c r="G903" s="5">
        <v>1000</v>
      </c>
      <c r="H903" s="5">
        <v>869.72</v>
      </c>
      <c r="I903" s="2" t="s">
        <v>37</v>
      </c>
      <c r="J903" s="2"/>
      <c r="K903" s="2" t="s">
        <v>52</v>
      </c>
    </row>
    <row r="904" spans="1:11" x14ac:dyDescent="0.25">
      <c r="A904" s="2" t="s">
        <v>1406</v>
      </c>
      <c r="B904" s="2" t="s">
        <v>946</v>
      </c>
      <c r="C904" s="2" t="s">
        <v>79</v>
      </c>
      <c r="D904" s="2" t="s">
        <v>30</v>
      </c>
      <c r="E904" s="4">
        <v>46185</v>
      </c>
      <c r="F904" s="4">
        <v>46194</v>
      </c>
      <c r="G904" s="5">
        <v>4650</v>
      </c>
      <c r="H904" s="5"/>
      <c r="I904" s="2" t="s">
        <v>42</v>
      </c>
      <c r="J904" s="2"/>
      <c r="K904" s="2" t="s">
        <v>33</v>
      </c>
    </row>
    <row r="905" spans="1:11" x14ac:dyDescent="0.25">
      <c r="A905" s="2" t="s">
        <v>1407</v>
      </c>
      <c r="B905" s="2" t="s">
        <v>1240</v>
      </c>
      <c r="C905" s="2" t="s">
        <v>29</v>
      </c>
      <c r="D905" s="2" t="s">
        <v>41</v>
      </c>
      <c r="E905" s="4">
        <v>46094</v>
      </c>
      <c r="F905" s="4">
        <v>46103</v>
      </c>
      <c r="G905" s="5">
        <v>5725</v>
      </c>
      <c r="H905" s="5"/>
      <c r="I905" s="2" t="s">
        <v>42</v>
      </c>
      <c r="J905" s="2"/>
      <c r="K905" s="2" t="s">
        <v>1408</v>
      </c>
    </row>
    <row r="906" spans="1:11" x14ac:dyDescent="0.25">
      <c r="A906" s="2" t="s">
        <v>1409</v>
      </c>
      <c r="B906" s="2" t="s">
        <v>35</v>
      </c>
      <c r="C906" s="2" t="s">
        <v>36</v>
      </c>
      <c r="D906" s="2" t="s">
        <v>55</v>
      </c>
      <c r="E906" s="4">
        <v>46076</v>
      </c>
      <c r="F906" s="4">
        <v>46094</v>
      </c>
      <c r="G906" s="5">
        <v>4850</v>
      </c>
      <c r="H906" s="5">
        <v>4307.18</v>
      </c>
      <c r="I906" s="2" t="s">
        <v>37</v>
      </c>
      <c r="J906" s="2"/>
      <c r="K906" s="2" t="s">
        <v>48</v>
      </c>
    </row>
    <row r="907" spans="1:11" x14ac:dyDescent="0.25">
      <c r="A907" s="2" t="s">
        <v>1410</v>
      </c>
      <c r="B907" s="2" t="s">
        <v>452</v>
      </c>
      <c r="C907" s="2" t="s">
        <v>29</v>
      </c>
      <c r="D907" s="2" t="s">
        <v>41</v>
      </c>
      <c r="E907" s="4">
        <v>46259</v>
      </c>
      <c r="F907" s="4">
        <v>46277</v>
      </c>
      <c r="G907" s="5">
        <v>3650</v>
      </c>
      <c r="H907" s="5">
        <v>3606.55</v>
      </c>
      <c r="I907" s="2" t="s">
        <v>37</v>
      </c>
      <c r="J907" s="2"/>
      <c r="K907" s="2" t="s">
        <v>43</v>
      </c>
    </row>
    <row r="908" spans="1:11" x14ac:dyDescent="0.25">
      <c r="A908" s="2" t="s">
        <v>1411</v>
      </c>
      <c r="B908" s="2" t="s">
        <v>918</v>
      </c>
      <c r="C908" s="2" t="s">
        <v>29</v>
      </c>
      <c r="D908" s="2" t="s">
        <v>94</v>
      </c>
      <c r="E908" s="4">
        <v>46104</v>
      </c>
      <c r="F908" s="4">
        <v>46107</v>
      </c>
      <c r="G908" s="5">
        <v>2425</v>
      </c>
      <c r="H908" s="5">
        <v>2290.85</v>
      </c>
      <c r="I908" s="2" t="s">
        <v>37</v>
      </c>
      <c r="J908" s="2"/>
      <c r="K908" s="2" t="s">
        <v>52</v>
      </c>
    </row>
    <row r="909" spans="1:11" x14ac:dyDescent="0.25">
      <c r="A909" s="2" t="s">
        <v>1412</v>
      </c>
      <c r="B909" s="2" t="s">
        <v>1413</v>
      </c>
      <c r="C909" s="2" t="s">
        <v>79</v>
      </c>
      <c r="D909" s="2" t="s">
        <v>30</v>
      </c>
      <c r="E909" s="4">
        <v>46253</v>
      </c>
      <c r="F909" s="4">
        <v>46270</v>
      </c>
      <c r="G909" s="5">
        <v>7200</v>
      </c>
      <c r="H909" s="5"/>
      <c r="I909" s="2" t="s">
        <v>42</v>
      </c>
      <c r="J909" s="2"/>
      <c r="K909" s="2" t="s">
        <v>38</v>
      </c>
    </row>
    <row r="910" spans="1:11" x14ac:dyDescent="0.25">
      <c r="A910" s="2" t="s">
        <v>1414</v>
      </c>
      <c r="B910" s="2" t="s">
        <v>1415</v>
      </c>
      <c r="C910" s="2" t="s">
        <v>36</v>
      </c>
      <c r="D910" s="2" t="s">
        <v>41</v>
      </c>
      <c r="E910" s="4">
        <v>46034</v>
      </c>
      <c r="F910" s="4">
        <v>46047</v>
      </c>
      <c r="G910" s="5">
        <v>10575</v>
      </c>
      <c r="H910" s="5"/>
      <c r="I910" s="2" t="s">
        <v>42</v>
      </c>
      <c r="J910" s="2"/>
      <c r="K910" s="2" t="s">
        <v>33</v>
      </c>
    </row>
    <row r="911" spans="1:11" x14ac:dyDescent="0.25">
      <c r="A911" s="2" t="s">
        <v>1416</v>
      </c>
      <c r="B911" s="2" t="s">
        <v>672</v>
      </c>
      <c r="C911" s="2" t="s">
        <v>29</v>
      </c>
      <c r="D911" s="2" t="s">
        <v>30</v>
      </c>
      <c r="E911" s="4">
        <v>46152</v>
      </c>
      <c r="F911" s="4">
        <v>46165</v>
      </c>
      <c r="G911" s="5">
        <v>2175</v>
      </c>
      <c r="H911" s="5">
        <v>2116.62</v>
      </c>
      <c r="I911" s="2" t="s">
        <v>37</v>
      </c>
      <c r="J911" s="2"/>
      <c r="K911" s="2" t="s">
        <v>83</v>
      </c>
    </row>
    <row r="912" spans="1:11" x14ac:dyDescent="0.25">
      <c r="A912" s="2" t="s">
        <v>1417</v>
      </c>
      <c r="B912" s="2" t="s">
        <v>1418</v>
      </c>
      <c r="C912" s="2" t="s">
        <v>79</v>
      </c>
      <c r="D912" s="2" t="s">
        <v>80</v>
      </c>
      <c r="E912" s="4">
        <v>46137</v>
      </c>
      <c r="F912" s="4">
        <v>46154</v>
      </c>
      <c r="G912" s="5">
        <v>11000</v>
      </c>
      <c r="H912" s="5">
        <v>6923.9</v>
      </c>
      <c r="I912" s="2" t="s">
        <v>37</v>
      </c>
      <c r="J912" s="2"/>
      <c r="K912" s="2" t="s">
        <v>56</v>
      </c>
    </row>
    <row r="913" spans="1:11" x14ac:dyDescent="0.25">
      <c r="A913" s="2" t="s">
        <v>1419</v>
      </c>
      <c r="B913" s="2" t="s">
        <v>1311</v>
      </c>
      <c r="C913" s="2" t="s">
        <v>46</v>
      </c>
      <c r="D913" s="2" t="s">
        <v>55</v>
      </c>
      <c r="E913" s="4">
        <v>46096</v>
      </c>
      <c r="F913" s="4">
        <v>46105</v>
      </c>
      <c r="G913" s="5">
        <v>14600</v>
      </c>
      <c r="H913" s="5"/>
      <c r="I913" s="2" t="s">
        <v>42</v>
      </c>
      <c r="J913" s="2"/>
      <c r="K913" s="2" t="s">
        <v>52</v>
      </c>
    </row>
    <row r="914" spans="1:11" x14ac:dyDescent="0.25">
      <c r="A914" s="2" t="s">
        <v>1420</v>
      </c>
      <c r="B914" s="2" t="s">
        <v>1083</v>
      </c>
      <c r="C914" s="2" t="s">
        <v>46</v>
      </c>
      <c r="D914" s="2" t="s">
        <v>41</v>
      </c>
      <c r="E914" s="4">
        <v>46063</v>
      </c>
      <c r="F914" s="4">
        <v>46079</v>
      </c>
      <c r="G914" s="5">
        <v>4675</v>
      </c>
      <c r="H914" s="5">
        <v>3458.54</v>
      </c>
      <c r="I914" s="2" t="s">
        <v>37</v>
      </c>
      <c r="J914" s="2"/>
      <c r="K914" s="2" t="s">
        <v>43</v>
      </c>
    </row>
    <row r="915" spans="1:11" x14ac:dyDescent="0.25">
      <c r="A915" s="2" t="s">
        <v>1421</v>
      </c>
      <c r="B915" s="2" t="s">
        <v>142</v>
      </c>
      <c r="C915" s="2" t="s">
        <v>36</v>
      </c>
      <c r="D915" s="2" t="s">
        <v>55</v>
      </c>
      <c r="E915" s="4">
        <v>46146</v>
      </c>
      <c r="F915" s="4">
        <v>46165</v>
      </c>
      <c r="G915" s="5">
        <v>6675</v>
      </c>
      <c r="H915" s="5">
        <v>0</v>
      </c>
      <c r="I915" s="2" t="s">
        <v>31</v>
      </c>
      <c r="J915" s="2" t="s">
        <v>271</v>
      </c>
      <c r="K915" s="2" t="s">
        <v>33</v>
      </c>
    </row>
    <row r="916" spans="1:11" x14ac:dyDescent="0.25">
      <c r="A916" s="2" t="s">
        <v>1422</v>
      </c>
      <c r="B916" s="2" t="s">
        <v>1423</v>
      </c>
      <c r="C916" s="2" t="s">
        <v>36</v>
      </c>
      <c r="D916" s="2" t="s">
        <v>94</v>
      </c>
      <c r="E916" s="4">
        <v>46031</v>
      </c>
      <c r="F916" s="4">
        <v>46035</v>
      </c>
      <c r="G916" s="5">
        <v>13500</v>
      </c>
      <c r="H916" s="5">
        <v>11425.11</v>
      </c>
      <c r="I916" s="2" t="s">
        <v>37</v>
      </c>
      <c r="J916" s="2"/>
      <c r="K916" s="2" t="s">
        <v>43</v>
      </c>
    </row>
    <row r="917" spans="1:11" x14ac:dyDescent="0.25">
      <c r="A917" s="2" t="s">
        <v>1424</v>
      </c>
      <c r="B917" s="2" t="s">
        <v>803</v>
      </c>
      <c r="C917" s="2" t="s">
        <v>36</v>
      </c>
      <c r="D917" s="2" t="s">
        <v>68</v>
      </c>
      <c r="E917" s="4">
        <v>46275</v>
      </c>
      <c r="F917" s="4">
        <v>46295</v>
      </c>
      <c r="G917" s="5">
        <v>5100</v>
      </c>
      <c r="H917" s="5">
        <v>3043.72</v>
      </c>
      <c r="I917" s="2" t="s">
        <v>37</v>
      </c>
      <c r="J917" s="2"/>
      <c r="K917" s="2" t="s">
        <v>109</v>
      </c>
    </row>
    <row r="918" spans="1:11" x14ac:dyDescent="0.25">
      <c r="A918" s="2" t="s">
        <v>1425</v>
      </c>
      <c r="B918" s="2" t="s">
        <v>1240</v>
      </c>
      <c r="C918" s="2" t="s">
        <v>36</v>
      </c>
      <c r="D918" s="2" t="s">
        <v>41</v>
      </c>
      <c r="E918" s="4">
        <v>46118</v>
      </c>
      <c r="F918" s="4">
        <v>46137</v>
      </c>
      <c r="G918" s="5">
        <v>975</v>
      </c>
      <c r="H918" s="5"/>
      <c r="I918" s="2" t="s">
        <v>42</v>
      </c>
      <c r="J918" s="2"/>
      <c r="K918" s="2" t="s">
        <v>65</v>
      </c>
    </row>
    <row r="919" spans="1:11" x14ac:dyDescent="0.25">
      <c r="A919" s="2" t="s">
        <v>1426</v>
      </c>
      <c r="B919" s="2" t="s">
        <v>564</v>
      </c>
      <c r="C919" s="2" t="s">
        <v>46</v>
      </c>
      <c r="D919" s="2" t="s">
        <v>41</v>
      </c>
      <c r="E919" s="4">
        <v>46094</v>
      </c>
      <c r="F919" s="4">
        <v>46101</v>
      </c>
      <c r="G919" s="5">
        <v>12350</v>
      </c>
      <c r="H919" s="5">
        <v>10022.16</v>
      </c>
      <c r="I919" s="2" t="s">
        <v>37</v>
      </c>
      <c r="J919" s="2"/>
      <c r="K919" s="2" t="s">
        <v>56</v>
      </c>
    </row>
    <row r="920" spans="1:11" x14ac:dyDescent="0.25">
      <c r="A920" s="2" t="s">
        <v>1427</v>
      </c>
      <c r="B920" s="2" t="s">
        <v>417</v>
      </c>
      <c r="C920" s="2" t="s">
        <v>36</v>
      </c>
      <c r="D920" s="2" t="s">
        <v>61</v>
      </c>
      <c r="E920" s="4">
        <v>46086</v>
      </c>
      <c r="F920" s="4">
        <v>46103</v>
      </c>
      <c r="G920" s="5">
        <v>13300</v>
      </c>
      <c r="H920" s="5"/>
      <c r="I920" s="2" t="s">
        <v>42</v>
      </c>
      <c r="J920" s="2"/>
      <c r="K920" s="2" t="s">
        <v>56</v>
      </c>
    </row>
    <row r="921" spans="1:11" x14ac:dyDescent="0.25">
      <c r="A921" s="2" t="s">
        <v>1428</v>
      </c>
      <c r="B921" s="2" t="s">
        <v>523</v>
      </c>
      <c r="C921" s="2" t="s">
        <v>46</v>
      </c>
      <c r="D921" s="2" t="s">
        <v>61</v>
      </c>
      <c r="E921" s="4">
        <v>46233</v>
      </c>
      <c r="F921" s="4">
        <v>46248</v>
      </c>
      <c r="G921" s="5">
        <v>11700</v>
      </c>
      <c r="H921" s="5"/>
      <c r="I921" s="2" t="s">
        <v>42</v>
      </c>
      <c r="J921" s="2"/>
      <c r="K921" s="2" t="s">
        <v>38</v>
      </c>
    </row>
    <row r="922" spans="1:11" x14ac:dyDescent="0.25">
      <c r="A922" s="2" t="s">
        <v>1429</v>
      </c>
      <c r="B922" s="2" t="s">
        <v>228</v>
      </c>
      <c r="C922" s="2" t="s">
        <v>79</v>
      </c>
      <c r="D922" s="2" t="s">
        <v>41</v>
      </c>
      <c r="E922" s="4">
        <v>46068</v>
      </c>
      <c r="F922" s="4">
        <v>46077</v>
      </c>
      <c r="G922" s="5">
        <v>2050</v>
      </c>
      <c r="H922" s="5">
        <v>1552.65</v>
      </c>
      <c r="I922" s="2" t="s">
        <v>37</v>
      </c>
      <c r="J922" s="2"/>
      <c r="K922" s="2" t="s">
        <v>109</v>
      </c>
    </row>
    <row r="923" spans="1:11" x14ac:dyDescent="0.25">
      <c r="A923" s="2" t="s">
        <v>1430</v>
      </c>
      <c r="B923" s="2" t="s">
        <v>1030</v>
      </c>
      <c r="C923" s="2" t="s">
        <v>36</v>
      </c>
      <c r="D923" s="2" t="s">
        <v>94</v>
      </c>
      <c r="E923" s="4">
        <v>46091</v>
      </c>
      <c r="F923" s="4">
        <v>46105</v>
      </c>
      <c r="G923" s="5">
        <v>3600</v>
      </c>
      <c r="H923" s="5">
        <v>0</v>
      </c>
      <c r="I923" s="2" t="s">
        <v>31</v>
      </c>
      <c r="J923" s="2" t="s">
        <v>47</v>
      </c>
      <c r="K923" s="2" t="s">
        <v>109</v>
      </c>
    </row>
    <row r="924" spans="1:11" x14ac:dyDescent="0.25">
      <c r="A924" s="2" t="s">
        <v>1431</v>
      </c>
      <c r="B924" s="2" t="s">
        <v>1226</v>
      </c>
      <c r="C924" s="2" t="s">
        <v>46</v>
      </c>
      <c r="D924" s="2" t="s">
        <v>68</v>
      </c>
      <c r="E924" s="4">
        <v>46048</v>
      </c>
      <c r="F924" s="4">
        <v>46067</v>
      </c>
      <c r="G924" s="5">
        <v>8650</v>
      </c>
      <c r="H924" s="5">
        <v>6173.82</v>
      </c>
      <c r="I924" s="2" t="s">
        <v>37</v>
      </c>
      <c r="J924" s="2"/>
      <c r="K924" s="2" t="s">
        <v>48</v>
      </c>
    </row>
    <row r="925" spans="1:11" x14ac:dyDescent="0.25">
      <c r="A925" s="2" t="s">
        <v>1432</v>
      </c>
      <c r="B925" s="2" t="s">
        <v>413</v>
      </c>
      <c r="C925" s="2" t="s">
        <v>79</v>
      </c>
      <c r="D925" s="2" t="s">
        <v>94</v>
      </c>
      <c r="E925" s="4">
        <v>46181</v>
      </c>
      <c r="F925" s="4">
        <v>46197</v>
      </c>
      <c r="G925" s="5">
        <v>14400</v>
      </c>
      <c r="H925" s="5"/>
      <c r="I925" s="2" t="s">
        <v>42</v>
      </c>
      <c r="J925" s="2"/>
      <c r="K925" s="2" t="s">
        <v>48</v>
      </c>
    </row>
    <row r="926" spans="1:11" x14ac:dyDescent="0.25">
      <c r="A926" s="2" t="s">
        <v>1433</v>
      </c>
      <c r="B926" s="2" t="s">
        <v>1159</v>
      </c>
      <c r="C926" s="2" t="s">
        <v>79</v>
      </c>
      <c r="D926" s="2" t="s">
        <v>30</v>
      </c>
      <c r="E926" s="4">
        <v>46051</v>
      </c>
      <c r="F926" s="4">
        <v>46065</v>
      </c>
      <c r="G926" s="5">
        <v>3825</v>
      </c>
      <c r="H926" s="5"/>
      <c r="I926" s="2" t="s">
        <v>42</v>
      </c>
      <c r="J926" s="2"/>
      <c r="K926" s="2" t="s">
        <v>62</v>
      </c>
    </row>
    <row r="927" spans="1:11" x14ac:dyDescent="0.25">
      <c r="A927" s="2" t="s">
        <v>1433</v>
      </c>
      <c r="B927" s="2" t="s">
        <v>1159</v>
      </c>
      <c r="C927" s="2" t="s">
        <v>79</v>
      </c>
      <c r="D927" s="2" t="s">
        <v>30</v>
      </c>
      <c r="E927" s="4">
        <v>46051</v>
      </c>
      <c r="F927" s="4">
        <v>46065</v>
      </c>
      <c r="G927" s="5">
        <v>3825</v>
      </c>
      <c r="H927" s="5"/>
      <c r="I927" s="2" t="s">
        <v>42</v>
      </c>
      <c r="J927" s="2"/>
      <c r="K927" s="2" t="s">
        <v>62</v>
      </c>
    </row>
    <row r="928" spans="1:11" x14ac:dyDescent="0.25">
      <c r="A928" s="2" t="s">
        <v>1434</v>
      </c>
      <c r="B928" s="2" t="s">
        <v>1370</v>
      </c>
      <c r="C928" s="2" t="s">
        <v>79</v>
      </c>
      <c r="D928" s="2" t="s">
        <v>30</v>
      </c>
      <c r="E928" s="4">
        <v>46088</v>
      </c>
      <c r="F928" s="4">
        <v>46095</v>
      </c>
      <c r="G928" s="5">
        <v>12975</v>
      </c>
      <c r="H928" s="5">
        <v>12189</v>
      </c>
      <c r="I928" s="2" t="s">
        <v>37</v>
      </c>
      <c r="J928" s="2"/>
      <c r="K928" s="2" t="s">
        <v>52</v>
      </c>
    </row>
    <row r="929" spans="1:11" x14ac:dyDescent="0.25">
      <c r="A929" s="2" t="s">
        <v>1435</v>
      </c>
      <c r="B929" s="2" t="s">
        <v>1085</v>
      </c>
      <c r="C929" s="2" t="s">
        <v>46</v>
      </c>
      <c r="D929" s="2" t="s">
        <v>41</v>
      </c>
      <c r="E929" s="4">
        <v>46230</v>
      </c>
      <c r="F929" s="4">
        <v>46238</v>
      </c>
      <c r="G929" s="5">
        <v>1950</v>
      </c>
      <c r="H929" s="5">
        <v>1728.06</v>
      </c>
      <c r="I929" s="2" t="s">
        <v>37</v>
      </c>
      <c r="J929" s="2"/>
      <c r="K929" s="2" t="s">
        <v>62</v>
      </c>
    </row>
    <row r="930" spans="1:11" x14ac:dyDescent="0.25">
      <c r="A930" s="2" t="s">
        <v>1436</v>
      </c>
      <c r="B930" s="2" t="s">
        <v>1181</v>
      </c>
      <c r="C930" s="2" t="s">
        <v>29</v>
      </c>
      <c r="D930" s="2" t="s">
        <v>1437</v>
      </c>
      <c r="E930" s="4">
        <v>46120</v>
      </c>
      <c r="F930" s="4">
        <v>46140</v>
      </c>
      <c r="G930" s="5">
        <v>10825</v>
      </c>
      <c r="H930" s="5"/>
      <c r="I930" s="2" t="s">
        <v>42</v>
      </c>
      <c r="J930" s="2"/>
      <c r="K930" s="2" t="s">
        <v>109</v>
      </c>
    </row>
    <row r="931" spans="1:11" x14ac:dyDescent="0.25">
      <c r="A931" s="2" t="s">
        <v>1438</v>
      </c>
      <c r="B931" s="2" t="s">
        <v>1439</v>
      </c>
      <c r="C931" s="2" t="s">
        <v>36</v>
      </c>
      <c r="D931" s="2" t="s">
        <v>41</v>
      </c>
      <c r="E931" s="4">
        <v>46262</v>
      </c>
      <c r="F931" s="4">
        <v>46265</v>
      </c>
      <c r="G931" s="5">
        <v>13275</v>
      </c>
      <c r="H931" s="5"/>
      <c r="I931" s="2" t="s">
        <v>42</v>
      </c>
      <c r="J931" s="2"/>
      <c r="K931" s="2" t="s">
        <v>38</v>
      </c>
    </row>
    <row r="932" spans="1:11" x14ac:dyDescent="0.25">
      <c r="A932" s="2" t="s">
        <v>1440</v>
      </c>
      <c r="B932" s="2" t="s">
        <v>999</v>
      </c>
      <c r="C932" s="2" t="s">
        <v>29</v>
      </c>
      <c r="D932" s="2" t="s">
        <v>94</v>
      </c>
      <c r="E932" s="4">
        <v>46182</v>
      </c>
      <c r="F932" s="4">
        <v>46197</v>
      </c>
      <c r="G932" s="5">
        <v>5625</v>
      </c>
      <c r="H932" s="5">
        <v>3836.94</v>
      </c>
      <c r="I932" s="2" t="s">
        <v>37</v>
      </c>
      <c r="J932" s="2"/>
      <c r="K932" s="2" t="s">
        <v>52</v>
      </c>
    </row>
    <row r="933" spans="1:11" x14ac:dyDescent="0.25">
      <c r="A933" s="2" t="s">
        <v>1441</v>
      </c>
      <c r="B933" s="2" t="s">
        <v>423</v>
      </c>
      <c r="C933" s="2" t="s">
        <v>79</v>
      </c>
      <c r="D933" s="2" t="s">
        <v>30</v>
      </c>
      <c r="E933" s="4">
        <v>46081</v>
      </c>
      <c r="F933" s="4">
        <v>46093</v>
      </c>
      <c r="G933" s="5">
        <v>1100</v>
      </c>
      <c r="H933" s="5">
        <v>0</v>
      </c>
      <c r="I933" s="2" t="s">
        <v>31</v>
      </c>
      <c r="J933" s="2" t="s">
        <v>116</v>
      </c>
      <c r="K933" s="2" t="s">
        <v>43</v>
      </c>
    </row>
    <row r="934" spans="1:11" x14ac:dyDescent="0.25">
      <c r="A934" s="2" t="s">
        <v>1442</v>
      </c>
      <c r="B934" s="2" t="s">
        <v>396</v>
      </c>
      <c r="C934" s="2" t="s">
        <v>36</v>
      </c>
      <c r="D934" s="2" t="s">
        <v>68</v>
      </c>
      <c r="E934" s="4">
        <v>46113</v>
      </c>
      <c r="F934" s="4">
        <v>46131</v>
      </c>
      <c r="G934" s="5">
        <v>5625</v>
      </c>
      <c r="H934" s="5">
        <v>3492.55</v>
      </c>
      <c r="I934" s="2" t="s">
        <v>37</v>
      </c>
      <c r="J934" s="2"/>
      <c r="K934" s="2" t="s">
        <v>567</v>
      </c>
    </row>
    <row r="935" spans="1:11" x14ac:dyDescent="0.25">
      <c r="A935" s="2" t="s">
        <v>1443</v>
      </c>
      <c r="B935" s="2" t="s">
        <v>330</v>
      </c>
      <c r="C935" s="2" t="s">
        <v>29</v>
      </c>
      <c r="D935" s="2" t="s">
        <v>80</v>
      </c>
      <c r="E935" s="4">
        <v>46097</v>
      </c>
      <c r="F935" s="4">
        <v>46115</v>
      </c>
      <c r="G935" s="5">
        <v>14675</v>
      </c>
      <c r="H935" s="5">
        <v>12120.34</v>
      </c>
      <c r="I935" s="2" t="s">
        <v>37</v>
      </c>
      <c r="J935" s="2"/>
      <c r="K935" s="2" t="s">
        <v>62</v>
      </c>
    </row>
    <row r="936" spans="1:11" x14ac:dyDescent="0.25">
      <c r="A936" s="2" t="s">
        <v>1444</v>
      </c>
      <c r="B936" s="2" t="s">
        <v>326</v>
      </c>
      <c r="C936" s="2" t="s">
        <v>46</v>
      </c>
      <c r="D936" s="2" t="s">
        <v>80</v>
      </c>
      <c r="E936" s="4">
        <v>46113</v>
      </c>
      <c r="F936" s="4">
        <v>46122</v>
      </c>
      <c r="G936" s="5">
        <v>11350</v>
      </c>
      <c r="H936" s="5">
        <v>9674.01</v>
      </c>
      <c r="I936" s="2" t="s">
        <v>37</v>
      </c>
      <c r="J936" s="2"/>
      <c r="K936" s="2" t="s">
        <v>62</v>
      </c>
    </row>
    <row r="937" spans="1:11" x14ac:dyDescent="0.25">
      <c r="A937" s="2" t="s">
        <v>1445</v>
      </c>
      <c r="B937" s="2" t="s">
        <v>562</v>
      </c>
      <c r="C937" s="2" t="s">
        <v>79</v>
      </c>
      <c r="D937" s="2" t="s">
        <v>55</v>
      </c>
      <c r="E937" s="4">
        <v>46155</v>
      </c>
      <c r="F937" s="4">
        <v>46161</v>
      </c>
      <c r="G937" s="5">
        <v>750</v>
      </c>
      <c r="H937" s="5">
        <v>638.25</v>
      </c>
      <c r="I937" s="2" t="s">
        <v>37</v>
      </c>
      <c r="J937" s="2"/>
      <c r="K937" s="2" t="s">
        <v>109</v>
      </c>
    </row>
    <row r="938" spans="1:11" x14ac:dyDescent="0.25">
      <c r="A938" s="2" t="s">
        <v>1445</v>
      </c>
      <c r="B938" s="2" t="s">
        <v>562</v>
      </c>
      <c r="C938" s="2" t="s">
        <v>79</v>
      </c>
      <c r="D938" s="2" t="s">
        <v>55</v>
      </c>
      <c r="E938" s="4">
        <v>46155</v>
      </c>
      <c r="F938" s="4">
        <v>46161</v>
      </c>
      <c r="G938" s="5">
        <v>750</v>
      </c>
      <c r="H938" s="5">
        <v>638.25</v>
      </c>
      <c r="I938" s="2" t="s">
        <v>37</v>
      </c>
      <c r="J938" s="2"/>
      <c r="K938" s="2" t="s">
        <v>109</v>
      </c>
    </row>
    <row r="939" spans="1:11" x14ac:dyDescent="0.25">
      <c r="A939" s="2" t="s">
        <v>1446</v>
      </c>
      <c r="B939" s="2" t="s">
        <v>1231</v>
      </c>
      <c r="C939" s="2" t="s">
        <v>36</v>
      </c>
      <c r="D939" s="2" t="s">
        <v>68</v>
      </c>
      <c r="E939" s="4">
        <v>46029</v>
      </c>
      <c r="F939" s="4">
        <v>46048</v>
      </c>
      <c r="G939" s="5">
        <v>8450</v>
      </c>
      <c r="H939" s="5">
        <v>7510.44</v>
      </c>
      <c r="I939" s="2" t="s">
        <v>37</v>
      </c>
      <c r="J939" s="2"/>
      <c r="K939" s="2" t="s">
        <v>65</v>
      </c>
    </row>
    <row r="940" spans="1:11" x14ac:dyDescent="0.25">
      <c r="A940" s="2" t="s">
        <v>1447</v>
      </c>
      <c r="B940" s="2" t="s">
        <v>405</v>
      </c>
      <c r="C940" s="2" t="s">
        <v>79</v>
      </c>
      <c r="D940" s="2" t="s">
        <v>30</v>
      </c>
      <c r="E940" s="4">
        <v>46083</v>
      </c>
      <c r="F940" s="4">
        <v>46086</v>
      </c>
      <c r="G940" s="5">
        <v>12775</v>
      </c>
      <c r="H940" s="5">
        <v>10055.59</v>
      </c>
      <c r="I940" s="2" t="s">
        <v>37</v>
      </c>
      <c r="J940" s="2"/>
      <c r="K940" s="2" t="s">
        <v>52</v>
      </c>
    </row>
    <row r="941" spans="1:11" x14ac:dyDescent="0.25">
      <c r="A941" s="2" t="s">
        <v>1448</v>
      </c>
      <c r="B941" s="2" t="s">
        <v>1313</v>
      </c>
      <c r="C941" s="2" t="s">
        <v>46</v>
      </c>
      <c r="D941" s="2" t="s">
        <v>61</v>
      </c>
      <c r="E941" s="4">
        <v>46186</v>
      </c>
      <c r="F941" s="4">
        <v>46195</v>
      </c>
      <c r="G941" s="5">
        <v>6675</v>
      </c>
      <c r="H941" s="5">
        <v>4190.4799999999996</v>
      </c>
      <c r="I941" s="2" t="s">
        <v>37</v>
      </c>
      <c r="J941" s="2"/>
      <c r="K941" s="2" t="s">
        <v>48</v>
      </c>
    </row>
    <row r="942" spans="1:11" x14ac:dyDescent="0.25">
      <c r="A942" s="2" t="s">
        <v>1449</v>
      </c>
      <c r="B942" s="2" t="s">
        <v>1202</v>
      </c>
      <c r="C942" s="2" t="s">
        <v>46</v>
      </c>
      <c r="D942" s="2" t="s">
        <v>51</v>
      </c>
      <c r="E942" s="4">
        <v>46251</v>
      </c>
      <c r="F942" s="4">
        <v>46270</v>
      </c>
      <c r="G942" s="5">
        <v>6050</v>
      </c>
      <c r="H942" s="5">
        <v>0</v>
      </c>
      <c r="I942" s="2" t="s">
        <v>31</v>
      </c>
      <c r="J942" s="2" t="s">
        <v>347</v>
      </c>
      <c r="K942" s="2" t="s">
        <v>38</v>
      </c>
    </row>
    <row r="943" spans="1:11" x14ac:dyDescent="0.25">
      <c r="A943" s="2" t="s">
        <v>1450</v>
      </c>
      <c r="B943" s="2" t="s">
        <v>343</v>
      </c>
      <c r="C943" s="2" t="s">
        <v>46</v>
      </c>
      <c r="D943" s="2" t="s">
        <v>68</v>
      </c>
      <c r="E943" s="4">
        <v>46068</v>
      </c>
      <c r="F943" s="4">
        <v>46073</v>
      </c>
      <c r="G943" s="5">
        <v>1725</v>
      </c>
      <c r="H943" s="5">
        <v>1162.3399999999999</v>
      </c>
      <c r="I943" s="2" t="s">
        <v>37</v>
      </c>
      <c r="J943" s="2"/>
      <c r="K943" s="2" t="s">
        <v>48</v>
      </c>
    </row>
    <row r="944" spans="1:11" x14ac:dyDescent="0.25">
      <c r="A944" s="2" t="s">
        <v>1451</v>
      </c>
      <c r="B944" s="2" t="s">
        <v>282</v>
      </c>
      <c r="C944" s="2" t="s">
        <v>29</v>
      </c>
      <c r="D944" s="2" t="s">
        <v>41</v>
      </c>
      <c r="E944" s="4">
        <v>46086</v>
      </c>
      <c r="F944" s="4">
        <v>46096</v>
      </c>
      <c r="G944" s="5">
        <v>6325</v>
      </c>
      <c r="H944" s="5"/>
      <c r="I944" s="2" t="s">
        <v>42</v>
      </c>
      <c r="J944" s="2"/>
      <c r="K944" s="2" t="s">
        <v>38</v>
      </c>
    </row>
    <row r="945" spans="1:11" x14ac:dyDescent="0.25">
      <c r="A945" s="2" t="s">
        <v>1452</v>
      </c>
      <c r="B945" s="2" t="s">
        <v>1453</v>
      </c>
      <c r="C945" s="2" t="s">
        <v>36</v>
      </c>
      <c r="D945" s="2" t="s">
        <v>68</v>
      </c>
      <c r="E945" s="4">
        <v>46142</v>
      </c>
      <c r="F945" s="4">
        <v>46156</v>
      </c>
      <c r="G945" s="5">
        <v>7050</v>
      </c>
      <c r="H945" s="5">
        <v>6440.9</v>
      </c>
      <c r="I945" s="2" t="s">
        <v>37</v>
      </c>
      <c r="J945" s="2"/>
      <c r="K945" s="2" t="s">
        <v>52</v>
      </c>
    </row>
    <row r="946" spans="1:11" x14ac:dyDescent="0.25">
      <c r="A946" s="2" t="s">
        <v>1454</v>
      </c>
      <c r="B946" s="2" t="s">
        <v>615</v>
      </c>
      <c r="C946" s="2" t="s">
        <v>36</v>
      </c>
      <c r="D946" s="2"/>
      <c r="E946" s="4">
        <v>46226</v>
      </c>
      <c r="F946" s="4">
        <v>46239</v>
      </c>
      <c r="G946" s="5">
        <v>11825</v>
      </c>
      <c r="H946" s="5"/>
      <c r="I946" s="2" t="s">
        <v>42</v>
      </c>
      <c r="J946" s="2"/>
      <c r="K946" s="2" t="s">
        <v>33</v>
      </c>
    </row>
    <row r="947" spans="1:11" x14ac:dyDescent="0.25">
      <c r="A947" s="2" t="s">
        <v>1455</v>
      </c>
      <c r="B947" s="2" t="s">
        <v>571</v>
      </c>
      <c r="C947" s="2" t="s">
        <v>29</v>
      </c>
      <c r="D947" s="2" t="s">
        <v>61</v>
      </c>
      <c r="E947" s="4">
        <v>46215</v>
      </c>
      <c r="F947" s="4">
        <v>46224</v>
      </c>
      <c r="G947" s="5">
        <v>4075</v>
      </c>
      <c r="H947" s="5"/>
      <c r="I947" s="2" t="s">
        <v>42</v>
      </c>
      <c r="J947" s="2"/>
      <c r="K947" s="2" t="s">
        <v>56</v>
      </c>
    </row>
    <row r="948" spans="1:11" x14ac:dyDescent="0.25">
      <c r="A948" s="2" t="s">
        <v>1456</v>
      </c>
      <c r="B948" s="2" t="s">
        <v>197</v>
      </c>
      <c r="C948" s="2" t="s">
        <v>79</v>
      </c>
      <c r="D948" s="2" t="s">
        <v>80</v>
      </c>
      <c r="E948" s="4">
        <v>46103</v>
      </c>
      <c r="F948" s="4">
        <v>46120</v>
      </c>
      <c r="G948" s="5">
        <v>14950</v>
      </c>
      <c r="H948" s="5"/>
      <c r="I948" s="2" t="s">
        <v>42</v>
      </c>
      <c r="J948" s="2"/>
      <c r="K948" s="2" t="s">
        <v>38</v>
      </c>
    </row>
    <row r="949" spans="1:11" x14ac:dyDescent="0.25">
      <c r="A949" s="2" t="s">
        <v>1457</v>
      </c>
      <c r="B949" s="2" t="s">
        <v>156</v>
      </c>
      <c r="C949" s="2" t="s">
        <v>79</v>
      </c>
      <c r="D949" s="2" t="s">
        <v>41</v>
      </c>
      <c r="E949" s="4">
        <v>46028</v>
      </c>
      <c r="F949" s="4">
        <v>46036</v>
      </c>
      <c r="G949" s="5">
        <v>10700</v>
      </c>
      <c r="H949" s="5">
        <v>9231.33</v>
      </c>
      <c r="I949" s="2" t="s">
        <v>37</v>
      </c>
      <c r="J949" s="2"/>
      <c r="K949" s="2" t="s">
        <v>48</v>
      </c>
    </row>
    <row r="950" spans="1:11" x14ac:dyDescent="0.25">
      <c r="A950" s="2" t="s">
        <v>1458</v>
      </c>
      <c r="B950" s="2" t="s">
        <v>243</v>
      </c>
      <c r="C950" s="2" t="s">
        <v>29</v>
      </c>
      <c r="D950" s="2" t="s">
        <v>41</v>
      </c>
      <c r="E950" s="4">
        <v>46259</v>
      </c>
      <c r="F950" s="4">
        <v>46268</v>
      </c>
      <c r="G950" s="5">
        <v>5200</v>
      </c>
      <c r="H950" s="5"/>
      <c r="I950" s="2" t="s">
        <v>42</v>
      </c>
      <c r="J950" s="2"/>
      <c r="K950" s="2" t="s">
        <v>65</v>
      </c>
    </row>
    <row r="951" spans="1:11" x14ac:dyDescent="0.25">
      <c r="A951" s="2" t="s">
        <v>1458</v>
      </c>
      <c r="B951" s="2" t="s">
        <v>243</v>
      </c>
      <c r="C951" s="2" t="s">
        <v>29</v>
      </c>
      <c r="D951" s="2" t="s">
        <v>41</v>
      </c>
      <c r="E951" s="4">
        <v>46259</v>
      </c>
      <c r="F951" s="4">
        <v>46268</v>
      </c>
      <c r="G951" s="5">
        <v>5200</v>
      </c>
      <c r="H951" s="5"/>
      <c r="I951" s="2" t="s">
        <v>42</v>
      </c>
      <c r="J951" s="2"/>
      <c r="K951" s="2" t="s">
        <v>65</v>
      </c>
    </row>
    <row r="952" spans="1:11" x14ac:dyDescent="0.25">
      <c r="A952" s="2" t="s">
        <v>1459</v>
      </c>
      <c r="B952" s="2" t="s">
        <v>858</v>
      </c>
      <c r="C952" s="2" t="s">
        <v>79</v>
      </c>
      <c r="D952" s="2" t="s">
        <v>55</v>
      </c>
      <c r="E952" s="4">
        <v>46258</v>
      </c>
      <c r="F952" s="4">
        <v>46277</v>
      </c>
      <c r="G952" s="5">
        <v>2325</v>
      </c>
      <c r="H952" s="5"/>
      <c r="I952" s="2" t="s">
        <v>42</v>
      </c>
      <c r="J952" s="2"/>
      <c r="K952" s="2" t="s">
        <v>33</v>
      </c>
    </row>
    <row r="953" spans="1:11" x14ac:dyDescent="0.25">
      <c r="A953" s="2" t="s">
        <v>1460</v>
      </c>
      <c r="B953" s="2" t="s">
        <v>362</v>
      </c>
      <c r="C953" s="2" t="s">
        <v>36</v>
      </c>
      <c r="D953" s="2" t="s">
        <v>55</v>
      </c>
      <c r="E953" s="4">
        <v>46194</v>
      </c>
      <c r="F953" s="4">
        <v>46211</v>
      </c>
      <c r="G953" s="5">
        <v>2100</v>
      </c>
      <c r="H953" s="5"/>
      <c r="I953" s="2" t="s">
        <v>42</v>
      </c>
      <c r="J953" s="2"/>
      <c r="K953" s="2" t="s">
        <v>52</v>
      </c>
    </row>
    <row r="954" spans="1:11" x14ac:dyDescent="0.25">
      <c r="A954" s="2" t="s">
        <v>1461</v>
      </c>
      <c r="B954" s="2" t="s">
        <v>1240</v>
      </c>
      <c r="C954" s="2" t="s">
        <v>29</v>
      </c>
      <c r="D954" s="2" t="s">
        <v>80</v>
      </c>
      <c r="E954" s="4">
        <v>46257</v>
      </c>
      <c r="F954" s="4">
        <v>46260</v>
      </c>
      <c r="G954" s="5">
        <v>1900</v>
      </c>
      <c r="H954" s="5"/>
      <c r="I954" s="2" t="s">
        <v>42</v>
      </c>
      <c r="J954" s="2"/>
      <c r="K954" s="2" t="s">
        <v>62</v>
      </c>
    </row>
    <row r="955" spans="1:11" x14ac:dyDescent="0.25">
      <c r="A955" s="2" t="s">
        <v>1462</v>
      </c>
      <c r="B955" s="2" t="s">
        <v>896</v>
      </c>
      <c r="C955" s="2" t="s">
        <v>29</v>
      </c>
      <c r="D955" s="2" t="s">
        <v>71</v>
      </c>
      <c r="E955" s="4">
        <v>46125</v>
      </c>
      <c r="F955" s="4">
        <v>46139</v>
      </c>
      <c r="G955" s="5">
        <v>1625</v>
      </c>
      <c r="H955" s="5">
        <v>1187.83</v>
      </c>
      <c r="I955" s="2" t="s">
        <v>37</v>
      </c>
      <c r="J955" s="2"/>
      <c r="K955" s="2" t="s">
        <v>109</v>
      </c>
    </row>
    <row r="956" spans="1:11" x14ac:dyDescent="0.25">
      <c r="A956" s="2" t="s">
        <v>1463</v>
      </c>
      <c r="B956" s="2" t="s">
        <v>703</v>
      </c>
      <c r="C956" s="2" t="s">
        <v>36</v>
      </c>
      <c r="D956" s="2" t="s">
        <v>41</v>
      </c>
      <c r="E956" s="4">
        <v>46205</v>
      </c>
      <c r="F956" s="4">
        <v>46219</v>
      </c>
      <c r="G956" s="5">
        <v>5575</v>
      </c>
      <c r="H956" s="5">
        <v>5250.56</v>
      </c>
      <c r="I956" s="2" t="s">
        <v>37</v>
      </c>
      <c r="J956" s="2"/>
      <c r="K956" s="2" t="s">
        <v>109</v>
      </c>
    </row>
    <row r="957" spans="1:11" x14ac:dyDescent="0.25">
      <c r="A957" s="2" t="s">
        <v>1464</v>
      </c>
      <c r="B957" s="2" t="s">
        <v>838</v>
      </c>
      <c r="C957" s="2" t="s">
        <v>29</v>
      </c>
      <c r="D957" s="2" t="s">
        <v>30</v>
      </c>
      <c r="E957" s="4">
        <v>46137</v>
      </c>
      <c r="F957" s="4">
        <v>46144</v>
      </c>
      <c r="G957" s="5">
        <v>3075</v>
      </c>
      <c r="H957" s="5">
        <v>2385.85</v>
      </c>
      <c r="I957" s="2" t="s">
        <v>37</v>
      </c>
      <c r="J957" s="2"/>
      <c r="K957" s="2" t="s">
        <v>48</v>
      </c>
    </row>
    <row r="958" spans="1:11" x14ac:dyDescent="0.25">
      <c r="A958" s="2" t="s">
        <v>1465</v>
      </c>
      <c r="B958" s="2" t="s">
        <v>387</v>
      </c>
      <c r="C958" s="2" t="s">
        <v>36</v>
      </c>
      <c r="D958" s="2" t="s">
        <v>80</v>
      </c>
      <c r="E958" s="4">
        <v>46060</v>
      </c>
      <c r="F958" s="4">
        <v>46079</v>
      </c>
      <c r="G958" s="5">
        <v>2200</v>
      </c>
      <c r="H958" s="5">
        <v>1809.4</v>
      </c>
      <c r="I958" s="2" t="s">
        <v>37</v>
      </c>
      <c r="J958" s="2"/>
      <c r="K958" s="2" t="s">
        <v>52</v>
      </c>
    </row>
    <row r="959" spans="1:11" x14ac:dyDescent="0.25">
      <c r="A959" s="2" t="s">
        <v>1466</v>
      </c>
      <c r="B959" s="2" t="s">
        <v>831</v>
      </c>
      <c r="C959" s="2" t="s">
        <v>29</v>
      </c>
      <c r="D959" s="2" t="s">
        <v>41</v>
      </c>
      <c r="E959" s="4">
        <v>46067</v>
      </c>
      <c r="F959" s="4">
        <v>46084</v>
      </c>
      <c r="G959" s="5">
        <v>12125</v>
      </c>
      <c r="H959" s="5">
        <v>7282.91</v>
      </c>
      <c r="I959" s="2" t="s">
        <v>37</v>
      </c>
      <c r="J959" s="2"/>
      <c r="K959" s="2" t="s">
        <v>48</v>
      </c>
    </row>
    <row r="960" spans="1:11" x14ac:dyDescent="0.25">
      <c r="A960" s="2" t="s">
        <v>1467</v>
      </c>
      <c r="B960" s="2" t="s">
        <v>1181</v>
      </c>
      <c r="C960" s="2" t="s">
        <v>29</v>
      </c>
      <c r="D960" s="2" t="s">
        <v>55</v>
      </c>
      <c r="E960" s="4">
        <v>46246</v>
      </c>
      <c r="F960" s="4">
        <v>46257</v>
      </c>
      <c r="G960" s="5">
        <v>9275</v>
      </c>
      <c r="H960" s="5"/>
      <c r="I960" s="2" t="s">
        <v>429</v>
      </c>
      <c r="J960" s="2"/>
      <c r="K960" s="2" t="s">
        <v>33</v>
      </c>
    </row>
    <row r="961" spans="1:11" x14ac:dyDescent="0.25">
      <c r="A961" s="2" t="s">
        <v>1468</v>
      </c>
      <c r="B961" s="2" t="s">
        <v>411</v>
      </c>
      <c r="C961" s="2" t="s">
        <v>79</v>
      </c>
      <c r="D961" s="2" t="s">
        <v>41</v>
      </c>
      <c r="E961" s="4">
        <v>46285</v>
      </c>
      <c r="F961" s="4">
        <v>46296</v>
      </c>
      <c r="G961" s="5">
        <v>6075</v>
      </c>
      <c r="H961" s="5">
        <v>5190.4799999999996</v>
      </c>
      <c r="I961" s="2" t="s">
        <v>37</v>
      </c>
      <c r="J961" s="2"/>
      <c r="K961" s="2" t="s">
        <v>52</v>
      </c>
    </row>
    <row r="962" spans="1:11" x14ac:dyDescent="0.25">
      <c r="A962" s="2" t="s">
        <v>1469</v>
      </c>
      <c r="B962" s="2" t="s">
        <v>433</v>
      </c>
      <c r="C962" s="2" t="s">
        <v>46</v>
      </c>
      <c r="D962" s="2" t="s">
        <v>80</v>
      </c>
      <c r="E962" s="4">
        <v>46209</v>
      </c>
      <c r="F962" s="4">
        <v>46222</v>
      </c>
      <c r="G962" s="5">
        <v>3300</v>
      </c>
      <c r="H962" s="5"/>
      <c r="I962" s="2" t="s">
        <v>42</v>
      </c>
      <c r="J962" s="2"/>
      <c r="K962" s="2" t="s">
        <v>38</v>
      </c>
    </row>
    <row r="963" spans="1:11" x14ac:dyDescent="0.25">
      <c r="A963" s="2" t="s">
        <v>1470</v>
      </c>
      <c r="B963" s="2" t="s">
        <v>722</v>
      </c>
      <c r="C963" s="2" t="s">
        <v>46</v>
      </c>
      <c r="D963" s="2" t="s">
        <v>80</v>
      </c>
      <c r="E963" s="4">
        <v>46258</v>
      </c>
      <c r="F963" s="4">
        <v>46268</v>
      </c>
      <c r="G963" s="5">
        <v>2500</v>
      </c>
      <c r="H963" s="5"/>
      <c r="I963" s="2" t="s">
        <v>42</v>
      </c>
      <c r="J963" s="2"/>
      <c r="K963" s="2" t="s">
        <v>109</v>
      </c>
    </row>
    <row r="964" spans="1:11" x14ac:dyDescent="0.25">
      <c r="A964" s="2" t="s">
        <v>1471</v>
      </c>
      <c r="B964" s="2" t="s">
        <v>168</v>
      </c>
      <c r="C964" s="2" t="s">
        <v>46</v>
      </c>
      <c r="D964" s="2" t="s">
        <v>71</v>
      </c>
      <c r="E964" s="4">
        <v>46086</v>
      </c>
      <c r="F964" s="4">
        <v>46098</v>
      </c>
      <c r="G964" s="5">
        <v>11300</v>
      </c>
      <c r="H964" s="5"/>
      <c r="I964" s="2" t="s">
        <v>42</v>
      </c>
      <c r="J964" s="2"/>
      <c r="K964" s="2" t="s">
        <v>83</v>
      </c>
    </row>
    <row r="965" spans="1:11" x14ac:dyDescent="0.25">
      <c r="A965" s="2" t="s">
        <v>1472</v>
      </c>
      <c r="B965" s="2" t="s">
        <v>425</v>
      </c>
      <c r="C965" s="2" t="s">
        <v>79</v>
      </c>
      <c r="D965" s="2" t="s">
        <v>41</v>
      </c>
      <c r="E965" s="4">
        <v>46158</v>
      </c>
      <c r="F965" s="4">
        <v>46174</v>
      </c>
      <c r="G965" s="5">
        <v>13025</v>
      </c>
      <c r="H965" s="5">
        <v>11269.74</v>
      </c>
      <c r="I965" s="2" t="s">
        <v>37</v>
      </c>
      <c r="J965" s="2"/>
      <c r="K965" s="2" t="s">
        <v>109</v>
      </c>
    </row>
    <row r="966" spans="1:11" x14ac:dyDescent="0.25">
      <c r="A966" s="2" t="s">
        <v>1473</v>
      </c>
      <c r="B966" s="2" t="s">
        <v>1324</v>
      </c>
      <c r="C966" s="2" t="s">
        <v>79</v>
      </c>
      <c r="D966" s="2" t="s">
        <v>94</v>
      </c>
      <c r="E966" s="4">
        <v>46175</v>
      </c>
      <c r="F966" s="4">
        <v>46181</v>
      </c>
      <c r="G966" s="5">
        <v>8300</v>
      </c>
      <c r="H966" s="5">
        <v>7963.09</v>
      </c>
      <c r="I966" s="2" t="s">
        <v>37</v>
      </c>
      <c r="J966" s="2"/>
      <c r="K966" s="2" t="s">
        <v>52</v>
      </c>
    </row>
    <row r="967" spans="1:11" x14ac:dyDescent="0.25">
      <c r="A967" s="2" t="s">
        <v>1474</v>
      </c>
      <c r="B967" s="2" t="s">
        <v>337</v>
      </c>
      <c r="C967" s="2" t="s">
        <v>36</v>
      </c>
      <c r="D967" s="2" t="s">
        <v>94</v>
      </c>
      <c r="E967" s="4">
        <v>46177</v>
      </c>
      <c r="F967" s="4">
        <v>46188</v>
      </c>
      <c r="G967" s="5">
        <v>3600</v>
      </c>
      <c r="H967" s="5">
        <v>2898.72</v>
      </c>
      <c r="I967" s="2" t="s">
        <v>37</v>
      </c>
      <c r="J967" s="2"/>
      <c r="K967" s="2" t="s">
        <v>43</v>
      </c>
    </row>
    <row r="968" spans="1:11" x14ac:dyDescent="0.25">
      <c r="A968" s="2" t="s">
        <v>1475</v>
      </c>
      <c r="B968" s="2" t="s">
        <v>308</v>
      </c>
      <c r="C968" s="2" t="s">
        <v>79</v>
      </c>
      <c r="D968" s="2" t="s">
        <v>41</v>
      </c>
      <c r="E968" s="4">
        <v>46241</v>
      </c>
      <c r="F968" s="4">
        <v>46259</v>
      </c>
      <c r="G968" s="5">
        <v>7375</v>
      </c>
      <c r="H968" s="5"/>
      <c r="I968" s="2" t="s">
        <v>42</v>
      </c>
      <c r="J968" s="2"/>
      <c r="K968" s="2" t="s">
        <v>38</v>
      </c>
    </row>
    <row r="969" spans="1:11" x14ac:dyDescent="0.25">
      <c r="A969" s="2" t="s">
        <v>1476</v>
      </c>
      <c r="B969" s="2" t="s">
        <v>703</v>
      </c>
      <c r="C969" s="2" t="s">
        <v>79</v>
      </c>
      <c r="D969" s="2" t="s">
        <v>80</v>
      </c>
      <c r="E969" s="4">
        <v>46074</v>
      </c>
      <c r="F969" s="4">
        <v>46082</v>
      </c>
      <c r="G969" s="5">
        <v>1550</v>
      </c>
      <c r="H969" s="5">
        <v>864.69</v>
      </c>
      <c r="I969" s="2" t="s">
        <v>37</v>
      </c>
      <c r="J969" s="2"/>
      <c r="K969" s="2" t="s">
        <v>43</v>
      </c>
    </row>
    <row r="970" spans="1:11" x14ac:dyDescent="0.25">
      <c r="A970" s="2" t="s">
        <v>1477</v>
      </c>
      <c r="B970" s="2" t="s">
        <v>1478</v>
      </c>
      <c r="C970" s="2" t="s">
        <v>29</v>
      </c>
      <c r="D970" s="2" t="s">
        <v>30</v>
      </c>
      <c r="E970" s="4">
        <v>46184</v>
      </c>
      <c r="F970" s="4">
        <v>46201</v>
      </c>
      <c r="G970" s="5">
        <v>1550</v>
      </c>
      <c r="H970" s="5">
        <v>1142.74</v>
      </c>
      <c r="I970" s="2" t="s">
        <v>37</v>
      </c>
      <c r="J970" s="2"/>
      <c r="K970" s="2" t="s">
        <v>38</v>
      </c>
    </row>
    <row r="971" spans="1:11" x14ac:dyDescent="0.25">
      <c r="A971" s="2" t="s">
        <v>1479</v>
      </c>
      <c r="B971" s="2" t="s">
        <v>1092</v>
      </c>
      <c r="C971" s="2" t="s">
        <v>79</v>
      </c>
      <c r="D971" s="2" t="s">
        <v>30</v>
      </c>
      <c r="E971" s="4">
        <v>46132</v>
      </c>
      <c r="F971" s="4">
        <v>46139</v>
      </c>
      <c r="G971" s="5">
        <v>13100</v>
      </c>
      <c r="H971" s="5">
        <v>11706.86</v>
      </c>
      <c r="I971" s="2" t="s">
        <v>37</v>
      </c>
      <c r="J971" s="2"/>
      <c r="K971" s="2" t="s">
        <v>43</v>
      </c>
    </row>
    <row r="972" spans="1:11" x14ac:dyDescent="0.25">
      <c r="A972" s="2" t="s">
        <v>1480</v>
      </c>
      <c r="B972" s="2" t="s">
        <v>1076</v>
      </c>
      <c r="C972" s="2" t="s">
        <v>46</v>
      </c>
      <c r="D972" s="2" t="s">
        <v>80</v>
      </c>
      <c r="E972" s="4">
        <v>46063</v>
      </c>
      <c r="F972" s="4">
        <v>46083</v>
      </c>
      <c r="G972" s="5">
        <v>13100</v>
      </c>
      <c r="H972" s="5">
        <v>0</v>
      </c>
      <c r="I972" s="2" t="s">
        <v>31</v>
      </c>
      <c r="J972" s="2" t="s">
        <v>72</v>
      </c>
      <c r="K972" s="2" t="s">
        <v>43</v>
      </c>
    </row>
    <row r="973" spans="1:11" x14ac:dyDescent="0.25">
      <c r="A973" s="2" t="s">
        <v>1481</v>
      </c>
      <c r="B973" s="2" t="s">
        <v>547</v>
      </c>
      <c r="C973" s="2" t="s">
        <v>46</v>
      </c>
      <c r="D973" s="2" t="s">
        <v>30</v>
      </c>
      <c r="E973" s="4">
        <v>46155</v>
      </c>
      <c r="F973" s="4">
        <v>46165</v>
      </c>
      <c r="G973" s="5">
        <v>14700</v>
      </c>
      <c r="H973" s="5">
        <v>11192.65</v>
      </c>
      <c r="I973" s="2" t="s">
        <v>37</v>
      </c>
      <c r="J973" s="2"/>
      <c r="K973" s="2" t="s">
        <v>83</v>
      </c>
    </row>
    <row r="974" spans="1:11" x14ac:dyDescent="0.25">
      <c r="A974" s="2" t="s">
        <v>1482</v>
      </c>
      <c r="B974" s="2" t="s">
        <v>489</v>
      </c>
      <c r="C974" s="2" t="s">
        <v>36</v>
      </c>
      <c r="D974" s="2" t="s">
        <v>30</v>
      </c>
      <c r="E974" s="4">
        <v>46215</v>
      </c>
      <c r="F974" s="4">
        <v>46219</v>
      </c>
      <c r="G974" s="5">
        <v>9525</v>
      </c>
      <c r="H974" s="5">
        <v>5728.88</v>
      </c>
      <c r="I974" s="2" t="s">
        <v>37</v>
      </c>
      <c r="J974" s="2"/>
      <c r="K974" s="2" t="s">
        <v>48</v>
      </c>
    </row>
    <row r="975" spans="1:11" x14ac:dyDescent="0.25">
      <c r="A975" s="2" t="s">
        <v>1483</v>
      </c>
      <c r="B975" s="2" t="s">
        <v>631</v>
      </c>
      <c r="C975" s="2" t="s">
        <v>79</v>
      </c>
      <c r="D975" s="2" t="s">
        <v>61</v>
      </c>
      <c r="E975" s="4">
        <v>46272</v>
      </c>
      <c r="F975" s="4">
        <v>46287</v>
      </c>
      <c r="G975" s="5">
        <v>13750</v>
      </c>
      <c r="H975" s="5">
        <v>0</v>
      </c>
      <c r="I975" s="2" t="s">
        <v>31</v>
      </c>
      <c r="J975" s="2" t="s">
        <v>116</v>
      </c>
      <c r="K975" s="2" t="s">
        <v>48</v>
      </c>
    </row>
    <row r="976" spans="1:11" x14ac:dyDescent="0.25">
      <c r="A976" s="2" t="s">
        <v>1484</v>
      </c>
      <c r="B976" s="2" t="s">
        <v>1290</v>
      </c>
      <c r="C976" s="2" t="s">
        <v>79</v>
      </c>
      <c r="D976" s="2" t="s">
        <v>41</v>
      </c>
      <c r="E976" s="4">
        <v>46042</v>
      </c>
      <c r="F976" s="4">
        <v>46060</v>
      </c>
      <c r="G976" s="5">
        <v>8675</v>
      </c>
      <c r="H976" s="5">
        <v>7723.79</v>
      </c>
      <c r="I976" s="2" t="s">
        <v>37</v>
      </c>
      <c r="J976" s="2"/>
      <c r="K976" s="2" t="s">
        <v>83</v>
      </c>
    </row>
    <row r="977" spans="1:11" x14ac:dyDescent="0.25">
      <c r="A977" s="2" t="s">
        <v>1485</v>
      </c>
      <c r="B977" s="2" t="s">
        <v>276</v>
      </c>
      <c r="C977" s="2" t="s">
        <v>36</v>
      </c>
      <c r="D977" s="2" t="s">
        <v>1486</v>
      </c>
      <c r="E977" s="4">
        <v>46025</v>
      </c>
      <c r="F977" s="4">
        <v>46041</v>
      </c>
      <c r="G977" s="5">
        <v>14775</v>
      </c>
      <c r="H977" s="5">
        <v>12363.2</v>
      </c>
      <c r="I977" s="2" t="s">
        <v>37</v>
      </c>
      <c r="J977" s="2"/>
      <c r="K977" s="2" t="s">
        <v>43</v>
      </c>
    </row>
    <row r="978" spans="1:11" x14ac:dyDescent="0.25">
      <c r="A978" s="2" t="s">
        <v>1487</v>
      </c>
      <c r="B978" s="2" t="s">
        <v>892</v>
      </c>
      <c r="C978" s="2" t="s">
        <v>46</v>
      </c>
      <c r="D978" s="2" t="s">
        <v>30</v>
      </c>
      <c r="E978" s="4">
        <v>46067</v>
      </c>
      <c r="F978" s="4">
        <v>46074</v>
      </c>
      <c r="G978" s="5">
        <v>2925</v>
      </c>
      <c r="H978" s="5"/>
      <c r="I978" s="2" t="s">
        <v>42</v>
      </c>
      <c r="J978" s="2"/>
      <c r="K978" s="2" t="s">
        <v>48</v>
      </c>
    </row>
    <row r="979" spans="1:11" x14ac:dyDescent="0.25">
      <c r="A979" s="2" t="s">
        <v>1488</v>
      </c>
      <c r="B979" s="2" t="s">
        <v>1018</v>
      </c>
      <c r="C979" s="2" t="s">
        <v>29</v>
      </c>
      <c r="D979" s="2" t="s">
        <v>41</v>
      </c>
      <c r="E979" s="4">
        <v>46134</v>
      </c>
      <c r="F979" s="4">
        <v>46140</v>
      </c>
      <c r="G979" s="5">
        <v>9950</v>
      </c>
      <c r="H979" s="5">
        <v>6349.17</v>
      </c>
      <c r="I979" s="2" t="s">
        <v>37</v>
      </c>
      <c r="J979" s="2"/>
      <c r="K979" s="2" t="s">
        <v>109</v>
      </c>
    </row>
    <row r="980" spans="1:11" x14ac:dyDescent="0.25">
      <c r="A980" s="2" t="s">
        <v>1489</v>
      </c>
      <c r="B980" s="2" t="s">
        <v>214</v>
      </c>
      <c r="C980" s="2" t="s">
        <v>46</v>
      </c>
      <c r="D980" s="2" t="s">
        <v>30</v>
      </c>
      <c r="E980" s="4">
        <v>46029</v>
      </c>
      <c r="F980" s="4">
        <v>46034</v>
      </c>
      <c r="G980" s="5">
        <v>10775</v>
      </c>
      <c r="H980" s="5">
        <v>8975.9</v>
      </c>
      <c r="I980" s="2" t="s">
        <v>37</v>
      </c>
      <c r="J980" s="2"/>
      <c r="K980" s="2" t="s">
        <v>83</v>
      </c>
    </row>
    <row r="981" spans="1:11" x14ac:dyDescent="0.25">
      <c r="A981" s="2" t="s">
        <v>1490</v>
      </c>
      <c r="B981" s="2" t="s">
        <v>391</v>
      </c>
      <c r="C981" s="2" t="s">
        <v>29</v>
      </c>
      <c r="D981" s="2" t="s">
        <v>61</v>
      </c>
      <c r="E981" s="4">
        <v>46083</v>
      </c>
      <c r="F981" s="4">
        <v>46096</v>
      </c>
      <c r="G981" s="5">
        <v>13425</v>
      </c>
      <c r="H981" s="5">
        <v>8666.9500000000007</v>
      </c>
      <c r="I981" s="2" t="s">
        <v>37</v>
      </c>
      <c r="J981" s="2"/>
      <c r="K981" s="2" t="s">
        <v>43</v>
      </c>
    </row>
    <row r="982" spans="1:11" x14ac:dyDescent="0.25">
      <c r="A982" s="2" t="s">
        <v>1491</v>
      </c>
      <c r="B982" s="2" t="s">
        <v>697</v>
      </c>
      <c r="C982" s="2" t="s">
        <v>29</v>
      </c>
      <c r="D982" s="2" t="s">
        <v>68</v>
      </c>
      <c r="E982" s="4">
        <v>46121</v>
      </c>
      <c r="F982" s="4">
        <v>46130</v>
      </c>
      <c r="G982" s="5">
        <v>10250</v>
      </c>
      <c r="H982" s="5">
        <v>9687.32</v>
      </c>
      <c r="I982" s="2" t="s">
        <v>37</v>
      </c>
      <c r="J982" s="2"/>
      <c r="K982" s="2" t="s">
        <v>43</v>
      </c>
    </row>
    <row r="983" spans="1:11" x14ac:dyDescent="0.25">
      <c r="A983" s="2" t="s">
        <v>1492</v>
      </c>
      <c r="B983" s="2" t="s">
        <v>1493</v>
      </c>
      <c r="C983" s="2" t="s">
        <v>36</v>
      </c>
      <c r="D983" s="2" t="s">
        <v>80</v>
      </c>
      <c r="E983" s="4">
        <v>46188</v>
      </c>
      <c r="F983" s="4">
        <v>46203</v>
      </c>
      <c r="G983" s="5">
        <v>10600</v>
      </c>
      <c r="H983" s="5">
        <v>8645.41</v>
      </c>
      <c r="I983" s="2" t="s">
        <v>37</v>
      </c>
      <c r="J983" s="2"/>
      <c r="K983" s="2" t="s">
        <v>43</v>
      </c>
    </row>
    <row r="984" spans="1:11" x14ac:dyDescent="0.25">
      <c r="A984" s="2" t="s">
        <v>1494</v>
      </c>
      <c r="B984" s="2" t="s">
        <v>761</v>
      </c>
      <c r="C984" s="2" t="s">
        <v>29</v>
      </c>
      <c r="D984" s="2" t="s">
        <v>80</v>
      </c>
      <c r="E984" s="4">
        <v>46214</v>
      </c>
      <c r="F984" s="4">
        <v>46226</v>
      </c>
      <c r="G984" s="5">
        <v>9950</v>
      </c>
      <c r="H984" s="5"/>
      <c r="I984" s="2" t="s">
        <v>42</v>
      </c>
      <c r="J984" s="2"/>
      <c r="K984" s="2" t="s">
        <v>83</v>
      </c>
    </row>
    <row r="985" spans="1:11" x14ac:dyDescent="0.25">
      <c r="A985" s="2" t="s">
        <v>1495</v>
      </c>
      <c r="B985" s="2" t="s">
        <v>96</v>
      </c>
      <c r="C985" s="2" t="s">
        <v>79</v>
      </c>
      <c r="D985" s="2" t="s">
        <v>41</v>
      </c>
      <c r="E985" s="4">
        <v>46165</v>
      </c>
      <c r="F985" s="4">
        <v>46174</v>
      </c>
      <c r="G985" s="5">
        <v>4575</v>
      </c>
      <c r="H985" s="5">
        <v>2979.49</v>
      </c>
      <c r="I985" s="2" t="s">
        <v>37</v>
      </c>
      <c r="J985" s="2"/>
      <c r="K985" s="2" t="s">
        <v>56</v>
      </c>
    </row>
    <row r="986" spans="1:11" x14ac:dyDescent="0.25">
      <c r="A986" s="2" t="s">
        <v>1496</v>
      </c>
      <c r="B986" s="2" t="s">
        <v>1018</v>
      </c>
      <c r="C986" s="2" t="s">
        <v>29</v>
      </c>
      <c r="D986" s="2" t="s">
        <v>61</v>
      </c>
      <c r="E986" s="4">
        <v>46162</v>
      </c>
      <c r="F986" s="4">
        <v>46165</v>
      </c>
      <c r="G986" s="5">
        <v>3775</v>
      </c>
      <c r="H986" s="5">
        <v>2970.61</v>
      </c>
      <c r="I986" s="2" t="s">
        <v>37</v>
      </c>
      <c r="J986" s="2"/>
      <c r="K986" s="2" t="s">
        <v>38</v>
      </c>
    </row>
    <row r="987" spans="1:11" x14ac:dyDescent="0.25">
      <c r="A987" s="2" t="s">
        <v>1497</v>
      </c>
      <c r="B987" s="2" t="s">
        <v>1498</v>
      </c>
      <c r="C987" s="2" t="s">
        <v>29</v>
      </c>
      <c r="D987" s="2" t="s">
        <v>61</v>
      </c>
      <c r="E987" s="4">
        <v>46100</v>
      </c>
      <c r="F987" s="4">
        <v>46106</v>
      </c>
      <c r="G987" s="5">
        <v>6625</v>
      </c>
      <c r="H987" s="5">
        <v>6013.01</v>
      </c>
      <c r="I987" s="2" t="s">
        <v>299</v>
      </c>
      <c r="J987" s="2"/>
      <c r="K987" s="2" t="s">
        <v>48</v>
      </c>
    </row>
    <row r="988" spans="1:11" x14ac:dyDescent="0.25">
      <c r="A988" s="2" t="s">
        <v>1499</v>
      </c>
      <c r="B988" s="2" t="s">
        <v>308</v>
      </c>
      <c r="C988" s="2" t="s">
        <v>36</v>
      </c>
      <c r="D988" s="2" t="s">
        <v>30</v>
      </c>
      <c r="E988" s="4">
        <v>46028</v>
      </c>
      <c r="F988" s="4">
        <v>46039</v>
      </c>
      <c r="G988" s="5">
        <v>9575</v>
      </c>
      <c r="H988" s="5">
        <v>0</v>
      </c>
      <c r="I988" s="2" t="s">
        <v>31</v>
      </c>
      <c r="J988" s="2" t="s">
        <v>312</v>
      </c>
      <c r="K988" s="2" t="s">
        <v>48</v>
      </c>
    </row>
    <row r="989" spans="1:11" x14ac:dyDescent="0.25">
      <c r="A989" s="2" t="s">
        <v>1500</v>
      </c>
      <c r="B989" s="2" t="s">
        <v>1501</v>
      </c>
      <c r="C989" s="2" t="s">
        <v>29</v>
      </c>
      <c r="D989" s="2" t="s">
        <v>41</v>
      </c>
      <c r="E989" s="4">
        <v>46029</v>
      </c>
      <c r="F989" s="4">
        <v>46034</v>
      </c>
      <c r="G989" s="5">
        <v>7675</v>
      </c>
      <c r="H989" s="5">
        <v>4472.6099999999997</v>
      </c>
      <c r="I989" s="2" t="s">
        <v>37</v>
      </c>
      <c r="J989" s="2"/>
      <c r="K989" s="2" t="s">
        <v>109</v>
      </c>
    </row>
    <row r="990" spans="1:11" x14ac:dyDescent="0.25">
      <c r="A990" s="2" t="s">
        <v>1502</v>
      </c>
      <c r="B990" s="2" t="s">
        <v>1036</v>
      </c>
      <c r="C990" s="2" t="s">
        <v>36</v>
      </c>
      <c r="D990" s="2" t="s">
        <v>41</v>
      </c>
      <c r="E990" s="4">
        <v>46092</v>
      </c>
      <c r="F990" s="4">
        <v>46098</v>
      </c>
      <c r="G990" s="5">
        <v>11775</v>
      </c>
      <c r="H990" s="5">
        <v>0</v>
      </c>
      <c r="I990" s="2" t="s">
        <v>31</v>
      </c>
      <c r="J990" s="2" t="s">
        <v>72</v>
      </c>
      <c r="K990" s="2" t="s">
        <v>38</v>
      </c>
    </row>
    <row r="991" spans="1:11" x14ac:dyDescent="0.25">
      <c r="A991" s="2" t="s">
        <v>1503</v>
      </c>
      <c r="B991" s="2" t="s">
        <v>759</v>
      </c>
      <c r="C991" s="2" t="s">
        <v>29</v>
      </c>
      <c r="D991" s="2" t="s">
        <v>41</v>
      </c>
      <c r="E991" s="4">
        <v>46270</v>
      </c>
      <c r="F991" s="4">
        <v>46275</v>
      </c>
      <c r="G991" s="5">
        <v>10925</v>
      </c>
      <c r="H991" s="5"/>
      <c r="I991" s="2" t="s">
        <v>42</v>
      </c>
      <c r="J991" s="2"/>
      <c r="K991" s="2" t="s">
        <v>43</v>
      </c>
    </row>
    <row r="992" spans="1:11" x14ac:dyDescent="0.25">
      <c r="A992" s="2" t="s">
        <v>1504</v>
      </c>
      <c r="B992" s="2" t="s">
        <v>1505</v>
      </c>
      <c r="C992" s="2" t="s">
        <v>46</v>
      </c>
      <c r="D992" s="2" t="s">
        <v>61</v>
      </c>
      <c r="E992" s="4">
        <v>46197</v>
      </c>
      <c r="F992" s="4">
        <v>46200</v>
      </c>
      <c r="G992" s="5">
        <v>2525</v>
      </c>
      <c r="H992" s="5"/>
      <c r="I992" s="2" t="s">
        <v>42</v>
      </c>
      <c r="J992" s="2"/>
      <c r="K992" s="2" t="s">
        <v>38</v>
      </c>
    </row>
    <row r="993" spans="1:11" x14ac:dyDescent="0.25">
      <c r="A993" s="2" t="s">
        <v>1506</v>
      </c>
      <c r="B993" s="2" t="s">
        <v>677</v>
      </c>
      <c r="C993" s="2" t="s">
        <v>46</v>
      </c>
      <c r="D993" s="2"/>
      <c r="E993" s="4">
        <v>46125</v>
      </c>
      <c r="F993" s="4">
        <v>46144</v>
      </c>
      <c r="G993" s="5">
        <v>3675</v>
      </c>
      <c r="H993" s="5">
        <v>2266.71</v>
      </c>
      <c r="I993" s="2" t="s">
        <v>37</v>
      </c>
      <c r="J993" s="2"/>
      <c r="K993" s="2" t="s">
        <v>62</v>
      </c>
    </row>
    <row r="994" spans="1:11" x14ac:dyDescent="0.25">
      <c r="A994" s="2" t="s">
        <v>1507</v>
      </c>
      <c r="B994" s="2" t="s">
        <v>1259</v>
      </c>
      <c r="C994" s="2" t="s">
        <v>29</v>
      </c>
      <c r="D994" s="2" t="s">
        <v>41</v>
      </c>
      <c r="E994" s="4">
        <v>46277</v>
      </c>
      <c r="F994" s="4">
        <v>46291</v>
      </c>
      <c r="G994" s="5">
        <v>11775</v>
      </c>
      <c r="H994" s="5"/>
      <c r="I994" s="2" t="s">
        <v>42</v>
      </c>
      <c r="J994" s="2"/>
      <c r="K994" s="2" t="s">
        <v>43</v>
      </c>
    </row>
    <row r="995" spans="1:11" x14ac:dyDescent="0.25">
      <c r="A995" s="2" t="s">
        <v>1508</v>
      </c>
      <c r="B995" s="2" t="s">
        <v>247</v>
      </c>
      <c r="C995" s="2" t="s">
        <v>79</v>
      </c>
      <c r="D995" s="2" t="s">
        <v>61</v>
      </c>
      <c r="E995" s="4">
        <v>46140</v>
      </c>
      <c r="F995" s="4">
        <v>46156</v>
      </c>
      <c r="G995" s="5">
        <v>11850</v>
      </c>
      <c r="H995" s="5"/>
      <c r="I995" s="2" t="s">
        <v>42</v>
      </c>
      <c r="J995" s="2"/>
      <c r="K995" s="2" t="s">
        <v>48</v>
      </c>
    </row>
    <row r="996" spans="1:11" x14ac:dyDescent="0.25">
      <c r="A996" s="2" t="s">
        <v>1509</v>
      </c>
      <c r="B996" s="2" t="s">
        <v>125</v>
      </c>
      <c r="C996" s="2" t="s">
        <v>29</v>
      </c>
      <c r="D996" s="2" t="s">
        <v>30</v>
      </c>
      <c r="E996" s="4">
        <v>46123</v>
      </c>
      <c r="F996" s="4">
        <v>46126</v>
      </c>
      <c r="G996" s="5">
        <v>4600</v>
      </c>
      <c r="H996" s="5">
        <v>0</v>
      </c>
      <c r="I996" s="2" t="s">
        <v>31</v>
      </c>
      <c r="J996" s="2" t="s">
        <v>347</v>
      </c>
      <c r="K996" s="2" t="s">
        <v>65</v>
      </c>
    </row>
    <row r="997" spans="1:11" x14ac:dyDescent="0.25">
      <c r="A997" s="2" t="s">
        <v>1510</v>
      </c>
      <c r="B997" s="2" t="s">
        <v>1394</v>
      </c>
      <c r="C997" s="2" t="s">
        <v>29</v>
      </c>
      <c r="D997" s="2" t="s">
        <v>30</v>
      </c>
      <c r="E997" s="4">
        <v>46110</v>
      </c>
      <c r="F997" s="4">
        <v>46120</v>
      </c>
      <c r="G997" s="5">
        <v>4400</v>
      </c>
      <c r="H997" s="5"/>
      <c r="I997" s="2" t="s">
        <v>42</v>
      </c>
      <c r="J997" s="2"/>
      <c r="K997" s="2" t="s">
        <v>83</v>
      </c>
    </row>
    <row r="998" spans="1:11" x14ac:dyDescent="0.25">
      <c r="A998" s="2" t="s">
        <v>1511</v>
      </c>
      <c r="B998" s="2" t="s">
        <v>617</v>
      </c>
      <c r="C998" s="2" t="s">
        <v>79</v>
      </c>
      <c r="D998" s="2" t="s">
        <v>61</v>
      </c>
      <c r="E998" s="4">
        <v>46067</v>
      </c>
      <c r="F998" s="4">
        <v>46070</v>
      </c>
      <c r="G998" s="5">
        <v>1100</v>
      </c>
      <c r="H998" s="5">
        <v>0</v>
      </c>
      <c r="I998" s="2" t="s">
        <v>31</v>
      </c>
      <c r="J998" s="2" t="s">
        <v>271</v>
      </c>
      <c r="K998" s="2" t="s">
        <v>43</v>
      </c>
    </row>
    <row r="999" spans="1:11" x14ac:dyDescent="0.25">
      <c r="A999" s="2" t="s">
        <v>1512</v>
      </c>
      <c r="B999" s="2" t="s">
        <v>1124</v>
      </c>
      <c r="C999" s="2" t="s">
        <v>79</v>
      </c>
      <c r="D999" s="2" t="s">
        <v>41</v>
      </c>
      <c r="E999" s="4">
        <v>46081</v>
      </c>
      <c r="F999" s="4">
        <v>46092</v>
      </c>
      <c r="G999" s="5">
        <v>12200</v>
      </c>
      <c r="H999" s="5">
        <v>0</v>
      </c>
      <c r="I999" s="2" t="s">
        <v>31</v>
      </c>
      <c r="J999" s="2" t="s">
        <v>271</v>
      </c>
      <c r="K999" s="2" t="s">
        <v>43</v>
      </c>
    </row>
    <row r="1000" spans="1:11" x14ac:dyDescent="0.25">
      <c r="A1000" s="2" t="s">
        <v>1513</v>
      </c>
      <c r="B1000" s="2" t="s">
        <v>452</v>
      </c>
      <c r="C1000" s="2" t="s">
        <v>46</v>
      </c>
      <c r="D1000" s="2" t="s">
        <v>309</v>
      </c>
      <c r="E1000" s="4">
        <v>46014</v>
      </c>
      <c r="F1000" s="4">
        <v>46026</v>
      </c>
      <c r="G1000" s="5">
        <v>14600</v>
      </c>
      <c r="H1000" s="5">
        <v>12010.52</v>
      </c>
      <c r="I1000" s="2" t="s">
        <v>37</v>
      </c>
      <c r="J1000" s="2"/>
      <c r="K1000" s="2" t="s">
        <v>38</v>
      </c>
    </row>
    <row r="1001" spans="1:11" x14ac:dyDescent="0.25">
      <c r="A1001" s="2" t="s">
        <v>1514</v>
      </c>
      <c r="B1001" s="2" t="s">
        <v>557</v>
      </c>
      <c r="C1001" s="2" t="s">
        <v>79</v>
      </c>
      <c r="D1001" s="2" t="s">
        <v>41</v>
      </c>
      <c r="E1001" s="4">
        <v>46156</v>
      </c>
      <c r="F1001" s="4">
        <v>46160</v>
      </c>
      <c r="G1001" s="5">
        <v>13425</v>
      </c>
      <c r="H1001" s="5"/>
      <c r="I1001" s="2" t="s">
        <v>42</v>
      </c>
      <c r="J1001" s="2"/>
      <c r="K1001" s="2" t="s">
        <v>38</v>
      </c>
    </row>
    <row r="1002" spans="1:11" x14ac:dyDescent="0.25">
      <c r="A1002" s="2" t="s">
        <v>1515</v>
      </c>
      <c r="B1002" s="2" t="s">
        <v>337</v>
      </c>
      <c r="C1002" s="2" t="s">
        <v>29</v>
      </c>
      <c r="D1002" s="2" t="s">
        <v>80</v>
      </c>
      <c r="E1002" s="4">
        <v>46239</v>
      </c>
      <c r="F1002" s="4">
        <v>46242</v>
      </c>
      <c r="G1002" s="5">
        <v>2350</v>
      </c>
      <c r="H1002" s="5">
        <v>1945.94</v>
      </c>
      <c r="I1002" s="2" t="s">
        <v>37</v>
      </c>
      <c r="J1002" s="2"/>
      <c r="K1002" s="2" t="s">
        <v>109</v>
      </c>
    </row>
    <row r="1003" spans="1:11" x14ac:dyDescent="0.25">
      <c r="A1003" s="2" t="s">
        <v>1516</v>
      </c>
      <c r="B1003" s="2" t="s">
        <v>1517</v>
      </c>
      <c r="C1003" s="2" t="s">
        <v>36</v>
      </c>
      <c r="D1003" s="2" t="s">
        <v>55</v>
      </c>
      <c r="E1003" s="4">
        <v>46153</v>
      </c>
      <c r="F1003" s="4">
        <v>46162</v>
      </c>
      <c r="G1003" s="5">
        <v>10150</v>
      </c>
      <c r="H1003" s="5">
        <v>8605.6</v>
      </c>
      <c r="I1003" s="2" t="s">
        <v>37</v>
      </c>
      <c r="J1003" s="2"/>
      <c r="K1003" s="2" t="s">
        <v>52</v>
      </c>
    </row>
    <row r="1004" spans="1:11" x14ac:dyDescent="0.25">
      <c r="A1004" s="2" t="s">
        <v>1518</v>
      </c>
      <c r="B1004" s="2" t="s">
        <v>552</v>
      </c>
      <c r="C1004" s="2" t="s">
        <v>29</v>
      </c>
      <c r="D1004" s="2" t="s">
        <v>55</v>
      </c>
      <c r="E1004" s="4">
        <v>46109</v>
      </c>
      <c r="F1004" s="4">
        <v>46120</v>
      </c>
      <c r="G1004" s="5">
        <v>7225</v>
      </c>
      <c r="H1004" s="5">
        <v>6980.14</v>
      </c>
      <c r="I1004" s="2" t="s">
        <v>37</v>
      </c>
      <c r="J1004" s="2"/>
      <c r="K1004" s="2" t="s">
        <v>62</v>
      </c>
    </row>
    <row r="1005" spans="1:11" x14ac:dyDescent="0.25">
      <c r="A1005" s="2" t="s">
        <v>1519</v>
      </c>
      <c r="B1005" s="2" t="s">
        <v>1520</v>
      </c>
      <c r="C1005" s="2" t="s">
        <v>29</v>
      </c>
      <c r="D1005" s="2" t="s">
        <v>68</v>
      </c>
      <c r="E1005" s="4">
        <v>46125</v>
      </c>
      <c r="F1005" s="4">
        <v>46133</v>
      </c>
      <c r="G1005" s="5">
        <v>10675</v>
      </c>
      <c r="H1005" s="5"/>
      <c r="I1005" s="2" t="s">
        <v>42</v>
      </c>
      <c r="J1005" s="2"/>
      <c r="K1005" s="2" t="s">
        <v>56</v>
      </c>
    </row>
    <row r="1006" spans="1:11" x14ac:dyDescent="0.25">
      <c r="A1006" s="2" t="s">
        <v>1521</v>
      </c>
      <c r="B1006" s="2" t="s">
        <v>885</v>
      </c>
      <c r="C1006" s="2" t="s">
        <v>36</v>
      </c>
      <c r="D1006" s="2" t="s">
        <v>61</v>
      </c>
      <c r="E1006" s="4">
        <v>46219</v>
      </c>
      <c r="F1006" s="4">
        <v>46230</v>
      </c>
      <c r="G1006" s="5">
        <v>3375</v>
      </c>
      <c r="H1006" s="5"/>
      <c r="I1006" s="2" t="s">
        <v>42</v>
      </c>
      <c r="J1006" s="2"/>
      <c r="K1006" s="2" t="s">
        <v>52</v>
      </c>
    </row>
    <row r="1007" spans="1:11" x14ac:dyDescent="0.25">
      <c r="A1007" s="2" t="s">
        <v>1522</v>
      </c>
      <c r="B1007" s="2" t="s">
        <v>909</v>
      </c>
      <c r="C1007" s="2" t="s">
        <v>36</v>
      </c>
      <c r="D1007" s="2" t="s">
        <v>1437</v>
      </c>
      <c r="E1007" s="4">
        <v>46094</v>
      </c>
      <c r="F1007" s="4">
        <v>46103</v>
      </c>
      <c r="G1007" s="5">
        <v>13125</v>
      </c>
      <c r="H1007" s="5"/>
      <c r="I1007" s="2" t="s">
        <v>42</v>
      </c>
      <c r="J1007" s="2"/>
      <c r="K1007" s="2" t="s">
        <v>33</v>
      </c>
    </row>
    <row r="1008" spans="1:11" x14ac:dyDescent="0.25">
      <c r="A1008" s="2" t="s">
        <v>1523</v>
      </c>
      <c r="B1008" s="2" t="s">
        <v>724</v>
      </c>
      <c r="C1008" s="2" t="s">
        <v>79</v>
      </c>
      <c r="D1008" s="2" t="s">
        <v>41</v>
      </c>
      <c r="E1008" s="4">
        <v>46237</v>
      </c>
      <c r="F1008" s="4">
        <v>46240</v>
      </c>
      <c r="G1008" s="5">
        <v>2125</v>
      </c>
      <c r="H1008" s="5"/>
      <c r="I1008" s="2" t="s">
        <v>42</v>
      </c>
      <c r="J1008" s="2"/>
      <c r="K1008" s="2" t="s">
        <v>62</v>
      </c>
    </row>
    <row r="1009" spans="1:11" x14ac:dyDescent="0.25">
      <c r="A1009" s="2" t="s">
        <v>1524</v>
      </c>
      <c r="B1009" s="2" t="s">
        <v>1036</v>
      </c>
      <c r="C1009" s="2" t="s">
        <v>46</v>
      </c>
      <c r="D1009" s="2" t="s">
        <v>80</v>
      </c>
      <c r="E1009" s="4">
        <v>46081</v>
      </c>
      <c r="F1009" s="4">
        <v>46099</v>
      </c>
      <c r="G1009" s="5">
        <v>14550</v>
      </c>
      <c r="H1009" s="5">
        <v>0</v>
      </c>
      <c r="I1009" s="2" t="s">
        <v>31</v>
      </c>
      <c r="J1009" s="2" t="s">
        <v>312</v>
      </c>
      <c r="K1009" s="2" t="s">
        <v>33</v>
      </c>
    </row>
    <row r="1010" spans="1:11" x14ac:dyDescent="0.25">
      <c r="A1010" s="2" t="s">
        <v>1525</v>
      </c>
      <c r="B1010" s="2" t="s">
        <v>460</v>
      </c>
      <c r="C1010" s="2" t="s">
        <v>29</v>
      </c>
      <c r="D1010" s="2" t="s">
        <v>30</v>
      </c>
      <c r="E1010" s="4">
        <v>46037</v>
      </c>
      <c r="F1010" s="4">
        <v>46053</v>
      </c>
      <c r="G1010" s="5">
        <v>8075</v>
      </c>
      <c r="H1010" s="5">
        <v>5615.26</v>
      </c>
      <c r="I1010" s="2" t="s">
        <v>37</v>
      </c>
      <c r="J1010" s="2"/>
      <c r="K1010" s="2" t="s">
        <v>33</v>
      </c>
    </row>
    <row r="1011" spans="1:11" x14ac:dyDescent="0.25">
      <c r="A1011" s="2" t="s">
        <v>1526</v>
      </c>
      <c r="B1011" s="2" t="s">
        <v>853</v>
      </c>
      <c r="C1011" s="2" t="s">
        <v>46</v>
      </c>
      <c r="D1011" s="2" t="s">
        <v>68</v>
      </c>
      <c r="E1011" s="4">
        <v>46282</v>
      </c>
      <c r="F1011" s="4">
        <v>46291</v>
      </c>
      <c r="G1011" s="5">
        <v>5800</v>
      </c>
      <c r="H1011" s="5">
        <v>4717.97</v>
      </c>
      <c r="I1011" s="2" t="s">
        <v>37</v>
      </c>
      <c r="J1011" s="2"/>
      <c r="K1011" s="2" t="s">
        <v>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18C6C-3910-4F54-8D46-D41FFD739D65}">
  <dimension ref="A1:B12"/>
  <sheetViews>
    <sheetView workbookViewId="0">
      <selection activeCell="A12" sqref="A12"/>
    </sheetView>
  </sheetViews>
  <sheetFormatPr defaultRowHeight="15" x14ac:dyDescent="0.25"/>
  <cols>
    <col min="1" max="1" width="19.85546875" bestFit="1" customWidth="1"/>
    <col min="2" max="2" width="12.5703125" bestFit="1" customWidth="1"/>
  </cols>
  <sheetData>
    <row r="1" spans="1:2" x14ac:dyDescent="0.25">
      <c r="A1" s="6" t="s">
        <v>1542</v>
      </c>
      <c r="B1" s="6" t="s">
        <v>1543</v>
      </c>
    </row>
    <row r="2" spans="1:2" x14ac:dyDescent="0.25">
      <c r="B2" s="10">
        <v>46310</v>
      </c>
    </row>
    <row r="3" spans="1:2" x14ac:dyDescent="0.25">
      <c r="A3" s="21" t="s">
        <v>1568</v>
      </c>
      <c r="B3" s="21" t="s">
        <v>1569</v>
      </c>
    </row>
    <row r="4" spans="1:2" x14ac:dyDescent="0.25">
      <c r="A4" t="s">
        <v>1570</v>
      </c>
      <c r="B4">
        <f>COUNTA(Claims_Clean!A:A)-1</f>
        <v>1000</v>
      </c>
    </row>
    <row r="5" spans="1:2" x14ac:dyDescent="0.25">
      <c r="A5" t="s">
        <v>1571</v>
      </c>
      <c r="B5" s="12">
        <f>SUM(Claims_Clean!G2:G1001)</f>
        <v>7777300</v>
      </c>
    </row>
    <row r="6" spans="1:2" x14ac:dyDescent="0.25">
      <c r="A6" t="s">
        <v>1572</v>
      </c>
      <c r="B6" s="23">
        <f>SUM(Claims_Clean!H:H)</f>
        <v>3373662.040000001</v>
      </c>
    </row>
    <row r="7" spans="1:2" x14ac:dyDescent="0.25">
      <c r="A7" t="s">
        <v>1573</v>
      </c>
      <c r="B7" s="22">
        <f>SUM(Claims_Clean!N2:N1001)</f>
        <v>2534725</v>
      </c>
    </row>
    <row r="8" spans="1:2" x14ac:dyDescent="0.25">
      <c r="A8" t="s">
        <v>1574</v>
      </c>
      <c r="B8">
        <f>COUNTIF(Claims_Clean!I2:I1001,"Denied")</f>
        <v>114</v>
      </c>
    </row>
    <row r="9" spans="1:2" x14ac:dyDescent="0.25">
      <c r="A9" t="s">
        <v>1575</v>
      </c>
      <c r="B9" s="15">
        <f>B8/B4</f>
        <v>0.114</v>
      </c>
    </row>
    <row r="10" spans="1:2" x14ac:dyDescent="0.25">
      <c r="A10" t="s">
        <v>1576</v>
      </c>
      <c r="B10" s="15">
        <f>B6/B5</f>
        <v>0.43378319468195914</v>
      </c>
    </row>
    <row r="11" spans="1:2" x14ac:dyDescent="0.25">
      <c r="A11" t="s">
        <v>1577</v>
      </c>
      <c r="B11" s="22">
        <f>SUMIF(Claims_Clean!M2:M1001,"90+",Claims_Clean!N2:N1001)</f>
        <v>1287000</v>
      </c>
    </row>
    <row r="12" spans="1:2" x14ac:dyDescent="0.25">
      <c r="A12" t="s">
        <v>1578</v>
      </c>
      <c r="B12" s="15">
        <f>B11/B7</f>
        <v>0.50774738876998493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6" customWidth="1"/>
    <col min="3" max="3" width="22" customWidth="1"/>
  </cols>
  <sheetData>
    <row r="1" spans="1:3" x14ac:dyDescent="0.25">
      <c r="A1" s="3" t="s">
        <v>1527</v>
      </c>
      <c r="B1" s="3" t="s">
        <v>1528</v>
      </c>
      <c r="C1" s="3" t="s">
        <v>1529</v>
      </c>
    </row>
    <row r="2" spans="1:3" x14ac:dyDescent="0.25">
      <c r="A2" s="2" t="s">
        <v>56</v>
      </c>
      <c r="B2" s="2" t="s">
        <v>1530</v>
      </c>
      <c r="C2" s="2">
        <v>45</v>
      </c>
    </row>
    <row r="3" spans="1:3" x14ac:dyDescent="0.25">
      <c r="A3" s="2" t="s">
        <v>48</v>
      </c>
      <c r="B3" s="2" t="s">
        <v>1530</v>
      </c>
      <c r="C3" s="2">
        <v>50</v>
      </c>
    </row>
    <row r="4" spans="1:3" x14ac:dyDescent="0.25">
      <c r="A4" s="2" t="s">
        <v>33</v>
      </c>
      <c r="B4" s="2" t="s">
        <v>1530</v>
      </c>
      <c r="C4" s="2">
        <v>40</v>
      </c>
    </row>
    <row r="5" spans="1:3" x14ac:dyDescent="0.25">
      <c r="A5" s="2" t="s">
        <v>43</v>
      </c>
      <c r="B5" s="2" t="s">
        <v>1530</v>
      </c>
      <c r="C5" s="2">
        <v>45</v>
      </c>
    </row>
    <row r="6" spans="1:3" x14ac:dyDescent="0.25">
      <c r="A6" s="2" t="s">
        <v>62</v>
      </c>
      <c r="B6" s="2" t="s">
        <v>1531</v>
      </c>
      <c r="C6" s="2">
        <v>50</v>
      </c>
    </row>
    <row r="7" spans="1:3" x14ac:dyDescent="0.25">
      <c r="A7" s="2" t="s">
        <v>52</v>
      </c>
      <c r="B7" s="2" t="s">
        <v>1531</v>
      </c>
      <c r="C7" s="2">
        <v>45</v>
      </c>
    </row>
    <row r="8" spans="1:3" x14ac:dyDescent="0.25">
      <c r="A8" s="2" t="s">
        <v>38</v>
      </c>
      <c r="B8" s="2" t="s">
        <v>1531</v>
      </c>
      <c r="C8" s="2">
        <v>40</v>
      </c>
    </row>
    <row r="9" spans="1:3" x14ac:dyDescent="0.25">
      <c r="A9" s="2" t="s">
        <v>65</v>
      </c>
      <c r="B9" s="2" t="s">
        <v>1532</v>
      </c>
      <c r="C9" s="2">
        <v>50</v>
      </c>
    </row>
    <row r="10" spans="1:3" x14ac:dyDescent="0.25">
      <c r="A10" s="2" t="s">
        <v>83</v>
      </c>
      <c r="B10" s="2" t="s">
        <v>1532</v>
      </c>
      <c r="C10" s="2">
        <v>45</v>
      </c>
    </row>
    <row r="11" spans="1:3" x14ac:dyDescent="0.25">
      <c r="A11" s="2" t="s">
        <v>109</v>
      </c>
      <c r="B11" s="2" t="s">
        <v>1532</v>
      </c>
      <c r="C11" s="2">
        <v>40</v>
      </c>
    </row>
  </sheetData>
  <autoFilter ref="A1:C11" xr:uid="{00000000-0009-0000-0000-000002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15"/>
  <sheetViews>
    <sheetView workbookViewId="0">
      <pane ySplit="1" topLeftCell="A295" activePane="bottomLeft" state="frozen"/>
      <selection pane="bottomLeft" activeCell="H23" sqref="H23"/>
    </sheetView>
  </sheetViews>
  <sheetFormatPr defaultRowHeight="15" x14ac:dyDescent="0.25"/>
  <cols>
    <col min="1" max="1" width="13" customWidth="1"/>
    <col min="2" max="2" width="14" customWidth="1"/>
    <col min="3" max="3" width="16" customWidth="1"/>
    <col min="4" max="4" width="14" customWidth="1"/>
    <col min="5" max="5" width="11" customWidth="1"/>
  </cols>
  <sheetData>
    <row r="1" spans="1:5" x14ac:dyDescent="0.25">
      <c r="A1" s="3" t="s">
        <v>1533</v>
      </c>
      <c r="B1" s="3" t="s">
        <v>1527</v>
      </c>
      <c r="C1" s="3" t="s">
        <v>1534</v>
      </c>
      <c r="D1" s="3" t="s">
        <v>1535</v>
      </c>
      <c r="E1" s="3" t="s">
        <v>1536</v>
      </c>
    </row>
    <row r="2" spans="1:5" x14ac:dyDescent="0.25">
      <c r="A2" s="4">
        <v>46266</v>
      </c>
      <c r="B2" s="2" t="s">
        <v>56</v>
      </c>
      <c r="C2" s="2">
        <v>37</v>
      </c>
      <c r="D2" s="2">
        <v>7.8</v>
      </c>
      <c r="E2" s="2">
        <v>91</v>
      </c>
    </row>
    <row r="3" spans="1:5" x14ac:dyDescent="0.25">
      <c r="A3" s="4">
        <v>46266</v>
      </c>
      <c r="B3" s="2" t="s">
        <v>48</v>
      </c>
      <c r="C3" s="2">
        <v>46</v>
      </c>
      <c r="D3" s="2">
        <v>8.1</v>
      </c>
      <c r="E3" s="2">
        <v>90.2</v>
      </c>
    </row>
    <row r="4" spans="1:5" x14ac:dyDescent="0.25">
      <c r="A4" s="4">
        <v>46266</v>
      </c>
      <c r="B4" s="2" t="s">
        <v>33</v>
      </c>
      <c r="C4" s="2">
        <v>34</v>
      </c>
      <c r="D4" s="2">
        <v>8.1999999999999993</v>
      </c>
      <c r="E4" s="2">
        <v>98.5</v>
      </c>
    </row>
    <row r="5" spans="1:5" x14ac:dyDescent="0.25">
      <c r="A5" s="4">
        <v>46266</v>
      </c>
      <c r="B5" s="2" t="s">
        <v>43</v>
      </c>
      <c r="C5" s="2">
        <v>47</v>
      </c>
      <c r="D5" s="2">
        <v>7.3</v>
      </c>
      <c r="E5" s="2">
        <v>90.4</v>
      </c>
    </row>
    <row r="6" spans="1:5" x14ac:dyDescent="0.25">
      <c r="A6" s="4">
        <v>46266</v>
      </c>
      <c r="B6" s="2" t="s">
        <v>62</v>
      </c>
      <c r="C6" s="2">
        <v>49</v>
      </c>
      <c r="D6" s="2">
        <v>7.9</v>
      </c>
      <c r="E6" s="2">
        <v>94.9</v>
      </c>
    </row>
    <row r="7" spans="1:5" x14ac:dyDescent="0.25">
      <c r="A7" s="4">
        <v>46266</v>
      </c>
      <c r="B7" s="2" t="s">
        <v>52</v>
      </c>
      <c r="C7" s="2">
        <v>47</v>
      </c>
      <c r="D7" s="2">
        <v>8.1</v>
      </c>
      <c r="E7" s="2">
        <v>95.9</v>
      </c>
    </row>
    <row r="8" spans="1:5" x14ac:dyDescent="0.25">
      <c r="A8" s="4">
        <v>46266</v>
      </c>
      <c r="B8" s="2" t="s">
        <v>38</v>
      </c>
      <c r="C8" s="2">
        <v>33</v>
      </c>
      <c r="D8" s="2">
        <v>8.9</v>
      </c>
      <c r="E8" s="2">
        <v>92.1</v>
      </c>
    </row>
    <row r="9" spans="1:5" x14ac:dyDescent="0.25">
      <c r="A9" s="4">
        <v>46266</v>
      </c>
      <c r="B9" s="2" t="s">
        <v>65</v>
      </c>
      <c r="C9" s="2">
        <v>49</v>
      </c>
      <c r="D9" s="2">
        <v>7.7</v>
      </c>
      <c r="E9" s="2">
        <v>98</v>
      </c>
    </row>
    <row r="10" spans="1:5" x14ac:dyDescent="0.25">
      <c r="A10" s="4">
        <v>46266</v>
      </c>
      <c r="B10" s="2" t="s">
        <v>83</v>
      </c>
      <c r="C10" s="2">
        <v>48</v>
      </c>
      <c r="D10" s="2">
        <v>8.8000000000000007</v>
      </c>
      <c r="E10" s="2">
        <v>95.4</v>
      </c>
    </row>
    <row r="11" spans="1:5" x14ac:dyDescent="0.25">
      <c r="A11" s="4">
        <v>46266</v>
      </c>
      <c r="B11" s="2" t="s">
        <v>109</v>
      </c>
      <c r="C11" s="2">
        <v>48</v>
      </c>
      <c r="D11" s="2">
        <v>8.1</v>
      </c>
      <c r="E11" s="2">
        <v>91.7</v>
      </c>
    </row>
    <row r="12" spans="1:5" x14ac:dyDescent="0.25">
      <c r="A12" s="4">
        <v>46267</v>
      </c>
      <c r="B12" s="2" t="s">
        <v>56</v>
      </c>
      <c r="C12" s="2">
        <v>34</v>
      </c>
      <c r="D12" s="2">
        <v>7.5</v>
      </c>
      <c r="E12" s="2">
        <v>91.1</v>
      </c>
    </row>
    <row r="13" spans="1:5" x14ac:dyDescent="0.25">
      <c r="A13" s="4">
        <v>46267</v>
      </c>
      <c r="B13" s="2" t="s">
        <v>48</v>
      </c>
      <c r="C13" s="2">
        <v>40</v>
      </c>
      <c r="D13" s="2">
        <v>8.1</v>
      </c>
      <c r="E13" s="2">
        <v>94.5</v>
      </c>
    </row>
    <row r="14" spans="1:5" x14ac:dyDescent="0.25">
      <c r="A14" s="4">
        <v>46267</v>
      </c>
      <c r="B14" s="2" t="s">
        <v>33</v>
      </c>
      <c r="C14" s="2">
        <v>28</v>
      </c>
      <c r="D14" s="2">
        <v>8</v>
      </c>
      <c r="E14" s="2">
        <v>92.4</v>
      </c>
    </row>
    <row r="15" spans="1:5" x14ac:dyDescent="0.25">
      <c r="A15" s="4">
        <v>46267</v>
      </c>
      <c r="B15" s="2" t="s">
        <v>43</v>
      </c>
      <c r="C15" s="2">
        <v>51</v>
      </c>
      <c r="D15" s="2">
        <v>7.9</v>
      </c>
      <c r="E15" s="2">
        <v>91.9</v>
      </c>
    </row>
    <row r="16" spans="1:5" x14ac:dyDescent="0.25">
      <c r="A16" s="4">
        <v>46267</v>
      </c>
      <c r="B16" s="2" t="s">
        <v>62</v>
      </c>
      <c r="C16" s="2">
        <v>41</v>
      </c>
      <c r="D16" s="2">
        <v>8.6</v>
      </c>
      <c r="E16" s="2">
        <v>91.4</v>
      </c>
    </row>
    <row r="17" spans="1:5" x14ac:dyDescent="0.25">
      <c r="A17" s="4">
        <v>46267</v>
      </c>
      <c r="B17" s="2" t="s">
        <v>52</v>
      </c>
      <c r="C17" s="2">
        <v>53</v>
      </c>
      <c r="D17" s="2">
        <v>8.4</v>
      </c>
      <c r="E17" s="2">
        <v>94</v>
      </c>
    </row>
    <row r="18" spans="1:5" x14ac:dyDescent="0.25">
      <c r="A18" s="4">
        <v>46267</v>
      </c>
      <c r="B18" s="2" t="s">
        <v>38</v>
      </c>
      <c r="C18" s="2">
        <v>38</v>
      </c>
      <c r="D18" s="2">
        <v>8.6</v>
      </c>
      <c r="E18" s="2">
        <v>92</v>
      </c>
    </row>
    <row r="19" spans="1:5" x14ac:dyDescent="0.25">
      <c r="A19" s="4">
        <v>46267</v>
      </c>
      <c r="B19" s="2" t="s">
        <v>65</v>
      </c>
      <c r="C19" s="2">
        <v>49</v>
      </c>
      <c r="D19" s="2">
        <v>7.3</v>
      </c>
      <c r="E19" s="2">
        <v>100</v>
      </c>
    </row>
    <row r="20" spans="1:5" x14ac:dyDescent="0.25">
      <c r="A20" s="4">
        <v>46267</v>
      </c>
      <c r="B20" s="2" t="s">
        <v>109</v>
      </c>
      <c r="C20" s="2">
        <v>40</v>
      </c>
      <c r="D20" s="2">
        <v>7.7</v>
      </c>
      <c r="E20" s="2">
        <v>90.8</v>
      </c>
    </row>
    <row r="21" spans="1:5" x14ac:dyDescent="0.25">
      <c r="A21" s="4">
        <v>46268</v>
      </c>
      <c r="B21" s="2" t="s">
        <v>56</v>
      </c>
      <c r="C21" s="2">
        <v>47</v>
      </c>
      <c r="D21" s="2">
        <v>8.1</v>
      </c>
      <c r="E21" s="2">
        <v>95.5</v>
      </c>
    </row>
    <row r="22" spans="1:5" x14ac:dyDescent="0.25">
      <c r="A22" s="4">
        <v>46268</v>
      </c>
      <c r="B22" s="2" t="s">
        <v>48</v>
      </c>
      <c r="C22" s="2">
        <v>58</v>
      </c>
      <c r="D22" s="2">
        <v>7.4</v>
      </c>
      <c r="E22" s="2">
        <v>98.8</v>
      </c>
    </row>
    <row r="23" spans="1:5" x14ac:dyDescent="0.25">
      <c r="A23" s="4">
        <v>46268</v>
      </c>
      <c r="B23" s="2" t="s">
        <v>33</v>
      </c>
      <c r="C23" s="2">
        <v>31</v>
      </c>
      <c r="D23" s="2">
        <v>7.6</v>
      </c>
      <c r="E23" s="2">
        <v>90.1</v>
      </c>
    </row>
    <row r="24" spans="1:5" x14ac:dyDescent="0.25">
      <c r="A24" s="4">
        <v>46268</v>
      </c>
      <c r="B24" s="2" t="s">
        <v>43</v>
      </c>
      <c r="C24" s="2">
        <v>47</v>
      </c>
      <c r="D24" s="2">
        <v>7.8</v>
      </c>
      <c r="E24" s="2">
        <v>95.6</v>
      </c>
    </row>
    <row r="25" spans="1:5" x14ac:dyDescent="0.25">
      <c r="A25" s="4">
        <v>46268</v>
      </c>
      <c r="B25" s="2" t="s">
        <v>62</v>
      </c>
      <c r="C25" s="2">
        <v>57</v>
      </c>
      <c r="D25" s="2">
        <v>7.9</v>
      </c>
      <c r="E25" s="2">
        <v>94.5</v>
      </c>
    </row>
    <row r="26" spans="1:5" x14ac:dyDescent="0.25">
      <c r="A26" s="4">
        <v>46268</v>
      </c>
      <c r="B26" s="2" t="s">
        <v>52</v>
      </c>
      <c r="C26" s="2">
        <v>35</v>
      </c>
      <c r="D26" s="2">
        <v>8.9</v>
      </c>
      <c r="E26" s="2">
        <v>92.9</v>
      </c>
    </row>
    <row r="27" spans="1:5" x14ac:dyDescent="0.25">
      <c r="A27" s="4">
        <v>46268</v>
      </c>
      <c r="B27" s="2" t="s">
        <v>38</v>
      </c>
      <c r="C27" s="2">
        <v>29</v>
      </c>
      <c r="D27" s="2">
        <v>7.9</v>
      </c>
      <c r="E27" s="2">
        <v>97.5</v>
      </c>
    </row>
    <row r="28" spans="1:5" x14ac:dyDescent="0.25">
      <c r="A28" s="4">
        <v>46268</v>
      </c>
      <c r="B28" s="2" t="s">
        <v>65</v>
      </c>
      <c r="C28" s="2">
        <v>55</v>
      </c>
      <c r="D28" s="2">
        <v>8.5</v>
      </c>
      <c r="E28" s="2">
        <v>91.9</v>
      </c>
    </row>
    <row r="29" spans="1:5" x14ac:dyDescent="0.25">
      <c r="A29" s="4">
        <v>46268</v>
      </c>
      <c r="B29" s="2" t="s">
        <v>83</v>
      </c>
      <c r="C29" s="2">
        <v>45</v>
      </c>
      <c r="D29" s="2">
        <v>8.5</v>
      </c>
      <c r="E29" s="2">
        <v>98.6</v>
      </c>
    </row>
    <row r="30" spans="1:5" x14ac:dyDescent="0.25">
      <c r="A30" s="4">
        <v>46268</v>
      </c>
      <c r="B30" s="2" t="s">
        <v>109</v>
      </c>
      <c r="C30" s="2">
        <v>34</v>
      </c>
      <c r="D30" s="2">
        <v>8.6</v>
      </c>
      <c r="E30" s="2">
        <v>89.4</v>
      </c>
    </row>
    <row r="31" spans="1:5" x14ac:dyDescent="0.25">
      <c r="A31" s="4">
        <v>46269</v>
      </c>
      <c r="B31" s="2" t="s">
        <v>56</v>
      </c>
      <c r="C31" s="2">
        <v>50</v>
      </c>
      <c r="D31" s="2">
        <v>8.3000000000000007</v>
      </c>
      <c r="E31" s="2">
        <v>92.9</v>
      </c>
    </row>
    <row r="32" spans="1:5" x14ac:dyDescent="0.25">
      <c r="A32" s="4">
        <v>46269</v>
      </c>
      <c r="B32" s="2" t="s">
        <v>48</v>
      </c>
      <c r="C32" s="2">
        <v>52</v>
      </c>
      <c r="D32" s="2">
        <v>8.4</v>
      </c>
      <c r="E32" s="2">
        <v>92.3</v>
      </c>
    </row>
    <row r="33" spans="1:5" x14ac:dyDescent="0.25">
      <c r="A33" s="4">
        <v>46269</v>
      </c>
      <c r="B33" s="2" t="s">
        <v>33</v>
      </c>
      <c r="C33" s="2">
        <v>34</v>
      </c>
      <c r="D33" s="2">
        <v>7.3</v>
      </c>
      <c r="E33" s="2">
        <v>92.4</v>
      </c>
    </row>
    <row r="34" spans="1:5" x14ac:dyDescent="0.25">
      <c r="A34" s="4">
        <v>46269</v>
      </c>
      <c r="B34" s="2" t="s">
        <v>43</v>
      </c>
      <c r="C34" s="2">
        <v>44</v>
      </c>
      <c r="D34" s="2">
        <v>7.4</v>
      </c>
      <c r="E34" s="2">
        <v>88.6</v>
      </c>
    </row>
    <row r="35" spans="1:5" x14ac:dyDescent="0.25">
      <c r="A35" s="4">
        <v>46269</v>
      </c>
      <c r="B35" s="2" t="s">
        <v>62</v>
      </c>
      <c r="C35" s="2">
        <v>44</v>
      </c>
      <c r="D35" s="2">
        <v>7.8</v>
      </c>
      <c r="E35" s="2">
        <v>93.9</v>
      </c>
    </row>
    <row r="36" spans="1:5" x14ac:dyDescent="0.25">
      <c r="A36" s="4">
        <v>46269</v>
      </c>
      <c r="B36" s="2" t="s">
        <v>52</v>
      </c>
      <c r="C36" s="2">
        <v>39</v>
      </c>
      <c r="D36" s="2">
        <v>7.6</v>
      </c>
      <c r="E36" s="2">
        <v>95</v>
      </c>
    </row>
    <row r="37" spans="1:5" x14ac:dyDescent="0.25">
      <c r="A37" s="4">
        <v>46269</v>
      </c>
      <c r="B37" s="2" t="s">
        <v>38</v>
      </c>
      <c r="C37" s="2">
        <v>32</v>
      </c>
      <c r="D37" s="2">
        <v>7.7</v>
      </c>
      <c r="E37" s="2">
        <v>95.8</v>
      </c>
    </row>
    <row r="38" spans="1:5" x14ac:dyDescent="0.25">
      <c r="A38" s="4">
        <v>46269</v>
      </c>
      <c r="B38" s="2" t="s">
        <v>65</v>
      </c>
      <c r="C38" s="2">
        <v>51</v>
      </c>
      <c r="D38" s="2">
        <v>8.8000000000000007</v>
      </c>
      <c r="E38" s="2">
        <v>96.6</v>
      </c>
    </row>
    <row r="39" spans="1:5" x14ac:dyDescent="0.25">
      <c r="A39" s="4">
        <v>46269</v>
      </c>
      <c r="B39" s="2" t="s">
        <v>83</v>
      </c>
      <c r="C39" s="2">
        <v>41</v>
      </c>
      <c r="D39" s="2">
        <v>8</v>
      </c>
      <c r="E39" s="2">
        <v>96</v>
      </c>
    </row>
    <row r="40" spans="1:5" x14ac:dyDescent="0.25">
      <c r="A40" s="4">
        <v>46269</v>
      </c>
      <c r="B40" s="2" t="s">
        <v>109</v>
      </c>
      <c r="C40" s="2">
        <v>47</v>
      </c>
      <c r="D40" s="2">
        <v>7.5</v>
      </c>
      <c r="E40" s="2">
        <v>90.7</v>
      </c>
    </row>
    <row r="41" spans="1:5" x14ac:dyDescent="0.25">
      <c r="A41" s="4">
        <v>46272</v>
      </c>
      <c r="B41" s="2" t="s">
        <v>56</v>
      </c>
      <c r="C41" s="2">
        <v>44</v>
      </c>
      <c r="D41" s="2">
        <v>8.9</v>
      </c>
      <c r="E41" s="2">
        <v>90</v>
      </c>
    </row>
    <row r="42" spans="1:5" x14ac:dyDescent="0.25">
      <c r="A42" s="4">
        <v>46272</v>
      </c>
      <c r="B42" s="2" t="s">
        <v>48</v>
      </c>
      <c r="C42" s="2">
        <v>50</v>
      </c>
      <c r="D42" s="2">
        <v>8.1</v>
      </c>
      <c r="E42" s="2">
        <v>94.2</v>
      </c>
    </row>
    <row r="43" spans="1:5" x14ac:dyDescent="0.25">
      <c r="A43" s="4">
        <v>46272</v>
      </c>
      <c r="B43" s="2" t="s">
        <v>33</v>
      </c>
      <c r="C43" s="2">
        <v>41</v>
      </c>
      <c r="D43" s="2">
        <v>8.8000000000000007</v>
      </c>
      <c r="E43" s="2">
        <v>93.7</v>
      </c>
    </row>
    <row r="44" spans="1:5" x14ac:dyDescent="0.25">
      <c r="A44" s="4">
        <v>46272</v>
      </c>
      <c r="B44" s="2" t="s">
        <v>43</v>
      </c>
      <c r="C44" s="2">
        <v>48</v>
      </c>
      <c r="D44" s="2">
        <v>7.4</v>
      </c>
      <c r="E44" s="2">
        <v>96.2</v>
      </c>
    </row>
    <row r="45" spans="1:5" x14ac:dyDescent="0.25">
      <c r="A45" s="4">
        <v>46272</v>
      </c>
      <c r="B45" s="2" t="s">
        <v>62</v>
      </c>
      <c r="C45" s="2">
        <v>55</v>
      </c>
      <c r="D45" s="2">
        <v>8.8000000000000007</v>
      </c>
      <c r="E45" s="2">
        <v>90</v>
      </c>
    </row>
    <row r="46" spans="1:5" x14ac:dyDescent="0.25">
      <c r="A46" s="4">
        <v>46272</v>
      </c>
      <c r="B46" s="2" t="s">
        <v>38</v>
      </c>
      <c r="C46" s="2">
        <v>29</v>
      </c>
      <c r="D46" s="2">
        <v>8.1</v>
      </c>
      <c r="E46" s="2">
        <v>89.4</v>
      </c>
    </row>
    <row r="47" spans="1:5" x14ac:dyDescent="0.25">
      <c r="A47" s="4">
        <v>46272</v>
      </c>
      <c r="B47" s="2" t="s">
        <v>65</v>
      </c>
      <c r="C47" s="2">
        <v>47</v>
      </c>
      <c r="D47" s="2">
        <v>7.4</v>
      </c>
      <c r="E47" s="2">
        <v>99.3</v>
      </c>
    </row>
    <row r="48" spans="1:5" x14ac:dyDescent="0.25">
      <c r="A48" s="4">
        <v>46272</v>
      </c>
      <c r="B48" s="2" t="s">
        <v>83</v>
      </c>
      <c r="C48" s="2">
        <v>51</v>
      </c>
      <c r="D48" s="2">
        <v>7.3</v>
      </c>
      <c r="E48" s="2">
        <v>92.5</v>
      </c>
    </row>
    <row r="49" spans="1:5" x14ac:dyDescent="0.25">
      <c r="A49" s="4">
        <v>46272</v>
      </c>
      <c r="B49" s="2" t="s">
        <v>109</v>
      </c>
      <c r="C49" s="2">
        <v>44</v>
      </c>
      <c r="D49" s="2">
        <v>8.6</v>
      </c>
      <c r="E49" s="2">
        <v>95.3</v>
      </c>
    </row>
    <row r="50" spans="1:5" x14ac:dyDescent="0.25">
      <c r="A50" s="4">
        <v>46273</v>
      </c>
      <c r="B50" s="2" t="s">
        <v>56</v>
      </c>
      <c r="C50" s="2">
        <v>39</v>
      </c>
      <c r="D50" s="2">
        <v>8.8000000000000007</v>
      </c>
      <c r="E50" s="2">
        <v>88.4</v>
      </c>
    </row>
    <row r="51" spans="1:5" x14ac:dyDescent="0.25">
      <c r="A51" s="4">
        <v>46273</v>
      </c>
      <c r="B51" s="2" t="s">
        <v>48</v>
      </c>
      <c r="C51" s="2">
        <v>42</v>
      </c>
      <c r="D51" s="2">
        <v>8.6</v>
      </c>
      <c r="E51" s="2">
        <v>92</v>
      </c>
    </row>
    <row r="52" spans="1:5" x14ac:dyDescent="0.25">
      <c r="A52" s="4">
        <v>46273</v>
      </c>
      <c r="B52" s="2" t="s">
        <v>33</v>
      </c>
      <c r="C52" s="2">
        <v>42</v>
      </c>
      <c r="D52" s="2">
        <v>8.6999999999999993</v>
      </c>
      <c r="E52" s="2">
        <v>90.6</v>
      </c>
    </row>
    <row r="53" spans="1:5" x14ac:dyDescent="0.25">
      <c r="A53" s="4">
        <v>46273</v>
      </c>
      <c r="B53" s="2" t="s">
        <v>43</v>
      </c>
      <c r="C53" s="2">
        <v>44</v>
      </c>
      <c r="D53" s="2">
        <v>8.8000000000000007</v>
      </c>
      <c r="E53" s="2">
        <v>88.4</v>
      </c>
    </row>
    <row r="54" spans="1:5" x14ac:dyDescent="0.25">
      <c r="A54" s="4">
        <v>46273</v>
      </c>
      <c r="B54" s="2" t="s">
        <v>62</v>
      </c>
      <c r="C54" s="2">
        <v>53</v>
      </c>
      <c r="D54" s="2">
        <v>7.8</v>
      </c>
      <c r="E54" s="2">
        <v>90.1</v>
      </c>
    </row>
    <row r="55" spans="1:5" x14ac:dyDescent="0.25">
      <c r="A55" s="4">
        <v>46273</v>
      </c>
      <c r="B55" s="2" t="s">
        <v>52</v>
      </c>
      <c r="C55" s="2">
        <v>37</v>
      </c>
      <c r="D55" s="2">
        <v>8.5</v>
      </c>
      <c r="E55" s="2">
        <v>93.5</v>
      </c>
    </row>
    <row r="56" spans="1:5" x14ac:dyDescent="0.25">
      <c r="A56" s="4">
        <v>46273</v>
      </c>
      <c r="B56" s="2" t="s">
        <v>38</v>
      </c>
      <c r="C56" s="2">
        <v>32</v>
      </c>
      <c r="D56" s="2">
        <v>8.1999999999999993</v>
      </c>
      <c r="E56" s="2">
        <v>91</v>
      </c>
    </row>
    <row r="57" spans="1:5" x14ac:dyDescent="0.25">
      <c r="A57" s="4">
        <v>46273</v>
      </c>
      <c r="B57" s="2" t="s">
        <v>65</v>
      </c>
      <c r="C57" s="2">
        <v>50</v>
      </c>
      <c r="D57" s="2">
        <v>7.7</v>
      </c>
      <c r="E57" s="2">
        <v>94.3</v>
      </c>
    </row>
    <row r="58" spans="1:5" x14ac:dyDescent="0.25">
      <c r="A58" s="4">
        <v>46273</v>
      </c>
      <c r="B58" s="2" t="s">
        <v>83</v>
      </c>
      <c r="C58" s="2">
        <v>41</v>
      </c>
      <c r="D58" s="2">
        <v>8.9</v>
      </c>
      <c r="E58" s="2">
        <v>99.6</v>
      </c>
    </row>
    <row r="59" spans="1:5" x14ac:dyDescent="0.25">
      <c r="A59" s="4">
        <v>46274</v>
      </c>
      <c r="B59" s="2" t="s">
        <v>56</v>
      </c>
      <c r="C59" s="2">
        <v>49</v>
      </c>
      <c r="D59" s="2">
        <v>7.6</v>
      </c>
      <c r="E59" s="2">
        <v>91.2</v>
      </c>
    </row>
    <row r="60" spans="1:5" x14ac:dyDescent="0.25">
      <c r="A60" s="4">
        <v>46274</v>
      </c>
      <c r="B60" s="2" t="s">
        <v>48</v>
      </c>
      <c r="C60" s="2">
        <v>46</v>
      </c>
      <c r="D60" s="2">
        <v>7.8</v>
      </c>
      <c r="E60" s="2">
        <v>92.9</v>
      </c>
    </row>
    <row r="61" spans="1:5" x14ac:dyDescent="0.25">
      <c r="A61" s="4">
        <v>46274</v>
      </c>
      <c r="B61" s="2" t="s">
        <v>33</v>
      </c>
      <c r="C61" s="2">
        <v>32</v>
      </c>
      <c r="D61" s="2">
        <v>8.6</v>
      </c>
      <c r="E61" s="2">
        <v>96.8</v>
      </c>
    </row>
    <row r="62" spans="1:5" x14ac:dyDescent="0.25">
      <c r="A62" s="4">
        <v>46274</v>
      </c>
      <c r="B62" s="2" t="s">
        <v>43</v>
      </c>
      <c r="C62" s="2">
        <v>51</v>
      </c>
      <c r="D62" s="2">
        <v>7.8</v>
      </c>
      <c r="E62" s="2">
        <v>90.9</v>
      </c>
    </row>
    <row r="63" spans="1:5" x14ac:dyDescent="0.25">
      <c r="A63" s="4">
        <v>46274</v>
      </c>
      <c r="B63" s="2" t="s">
        <v>62</v>
      </c>
      <c r="C63" s="2">
        <v>54</v>
      </c>
      <c r="D63" s="2">
        <v>7.8</v>
      </c>
      <c r="E63" s="2">
        <v>98.9</v>
      </c>
    </row>
    <row r="64" spans="1:5" x14ac:dyDescent="0.25">
      <c r="A64" s="4">
        <v>46274</v>
      </c>
      <c r="B64" s="2" t="s">
        <v>52</v>
      </c>
      <c r="C64" s="2">
        <v>40</v>
      </c>
      <c r="D64" s="2">
        <v>8.8000000000000007</v>
      </c>
      <c r="E64" s="2">
        <v>97</v>
      </c>
    </row>
    <row r="65" spans="1:5" x14ac:dyDescent="0.25">
      <c r="A65" s="4">
        <v>46274</v>
      </c>
      <c r="B65" s="2" t="s">
        <v>38</v>
      </c>
      <c r="C65" s="2">
        <v>38</v>
      </c>
      <c r="D65" s="2">
        <v>7.8</v>
      </c>
      <c r="E65" s="2">
        <v>88.1</v>
      </c>
    </row>
    <row r="66" spans="1:5" x14ac:dyDescent="0.25">
      <c r="A66" s="4">
        <v>46274</v>
      </c>
      <c r="B66" s="2" t="s">
        <v>65</v>
      </c>
      <c r="C66" s="2">
        <v>55</v>
      </c>
      <c r="D66" s="2">
        <v>7.6</v>
      </c>
      <c r="E66" s="2">
        <v>95.2</v>
      </c>
    </row>
    <row r="67" spans="1:5" x14ac:dyDescent="0.25">
      <c r="A67" s="4">
        <v>46274</v>
      </c>
      <c r="B67" s="2" t="s">
        <v>83</v>
      </c>
      <c r="C67" s="2">
        <v>49</v>
      </c>
      <c r="D67" s="2">
        <v>8.1999999999999993</v>
      </c>
      <c r="E67" s="2">
        <v>98.6</v>
      </c>
    </row>
    <row r="68" spans="1:5" x14ac:dyDescent="0.25">
      <c r="A68" s="4">
        <v>46274</v>
      </c>
      <c r="B68" s="2" t="s">
        <v>109</v>
      </c>
      <c r="C68" s="2">
        <v>31</v>
      </c>
      <c r="D68" s="2">
        <v>8.8000000000000007</v>
      </c>
      <c r="E68" s="2">
        <v>90.8</v>
      </c>
    </row>
    <row r="69" spans="1:5" x14ac:dyDescent="0.25">
      <c r="A69" s="4">
        <v>46275</v>
      </c>
      <c r="B69" s="2" t="s">
        <v>56</v>
      </c>
      <c r="C69" s="2">
        <v>40</v>
      </c>
      <c r="D69" s="2">
        <v>7.6</v>
      </c>
      <c r="E69" s="2">
        <v>94.5</v>
      </c>
    </row>
    <row r="70" spans="1:5" x14ac:dyDescent="0.25">
      <c r="A70" s="4">
        <v>46275</v>
      </c>
      <c r="B70" s="2" t="s">
        <v>33</v>
      </c>
      <c r="C70" s="2">
        <v>28</v>
      </c>
      <c r="D70" s="2">
        <v>8.1999999999999993</v>
      </c>
      <c r="E70" s="2">
        <v>88.7</v>
      </c>
    </row>
    <row r="71" spans="1:5" x14ac:dyDescent="0.25">
      <c r="A71" s="4">
        <v>46275</v>
      </c>
      <c r="B71" s="2" t="s">
        <v>43</v>
      </c>
      <c r="C71" s="2">
        <v>34</v>
      </c>
      <c r="D71" s="2">
        <v>8.1999999999999993</v>
      </c>
      <c r="E71" s="2">
        <v>98.7</v>
      </c>
    </row>
    <row r="72" spans="1:5" x14ac:dyDescent="0.25">
      <c r="A72" s="4">
        <v>46275</v>
      </c>
      <c r="B72" s="2" t="s">
        <v>62</v>
      </c>
      <c r="C72" s="2">
        <v>56</v>
      </c>
      <c r="D72" s="2">
        <v>7.5</v>
      </c>
      <c r="E72" s="2">
        <v>90.4</v>
      </c>
    </row>
    <row r="73" spans="1:5" x14ac:dyDescent="0.25">
      <c r="A73" s="4">
        <v>46275</v>
      </c>
      <c r="B73" s="2" t="s">
        <v>52</v>
      </c>
      <c r="C73" s="2">
        <v>52</v>
      </c>
      <c r="D73" s="2">
        <v>8.1999999999999993</v>
      </c>
      <c r="E73" s="2">
        <v>95.4</v>
      </c>
    </row>
    <row r="74" spans="1:5" x14ac:dyDescent="0.25">
      <c r="A74" s="4">
        <v>46275</v>
      </c>
      <c r="B74" s="2" t="s">
        <v>38</v>
      </c>
      <c r="C74" s="2">
        <v>46</v>
      </c>
      <c r="D74" s="2">
        <v>8.5</v>
      </c>
      <c r="E74" s="2">
        <v>94.9</v>
      </c>
    </row>
    <row r="75" spans="1:5" x14ac:dyDescent="0.25">
      <c r="A75" s="4">
        <v>46275</v>
      </c>
      <c r="B75" s="2" t="s">
        <v>65</v>
      </c>
      <c r="C75" s="2">
        <v>49</v>
      </c>
      <c r="D75" s="2">
        <v>7.9</v>
      </c>
      <c r="E75" s="2">
        <v>89.8</v>
      </c>
    </row>
    <row r="76" spans="1:5" x14ac:dyDescent="0.25">
      <c r="A76" s="4">
        <v>46275</v>
      </c>
      <c r="B76" s="2" t="s">
        <v>83</v>
      </c>
      <c r="C76" s="2">
        <v>48</v>
      </c>
      <c r="D76" s="2">
        <v>8.3000000000000007</v>
      </c>
      <c r="E76" s="2">
        <v>88.1</v>
      </c>
    </row>
    <row r="77" spans="1:5" x14ac:dyDescent="0.25">
      <c r="A77" s="4">
        <v>46275</v>
      </c>
      <c r="B77" s="2" t="s">
        <v>109</v>
      </c>
      <c r="C77" s="2">
        <v>36</v>
      </c>
      <c r="D77" s="2">
        <v>8.6999999999999993</v>
      </c>
      <c r="E77" s="2">
        <v>97.5</v>
      </c>
    </row>
    <row r="78" spans="1:5" x14ac:dyDescent="0.25">
      <c r="A78" s="4">
        <v>46276</v>
      </c>
      <c r="B78" s="2" t="s">
        <v>56</v>
      </c>
      <c r="C78" s="2">
        <v>39</v>
      </c>
      <c r="D78" s="2">
        <v>7.7</v>
      </c>
      <c r="E78" s="2">
        <v>93.5</v>
      </c>
    </row>
    <row r="79" spans="1:5" x14ac:dyDescent="0.25">
      <c r="A79" s="4">
        <v>46276</v>
      </c>
      <c r="B79" s="2" t="s">
        <v>48</v>
      </c>
      <c r="C79" s="2">
        <v>58</v>
      </c>
      <c r="D79" s="2">
        <v>7.4</v>
      </c>
      <c r="E79" s="2">
        <v>98.9</v>
      </c>
    </row>
    <row r="80" spans="1:5" x14ac:dyDescent="0.25">
      <c r="A80" s="4">
        <v>46276</v>
      </c>
      <c r="B80" s="2" t="s">
        <v>33</v>
      </c>
      <c r="C80" s="2">
        <v>32</v>
      </c>
      <c r="D80" s="2">
        <v>8.6</v>
      </c>
      <c r="E80" s="2">
        <v>88</v>
      </c>
    </row>
    <row r="81" spans="1:5" x14ac:dyDescent="0.25">
      <c r="A81" s="4">
        <v>46276</v>
      </c>
      <c r="B81" s="2" t="s">
        <v>43</v>
      </c>
      <c r="C81" s="2">
        <v>52</v>
      </c>
      <c r="D81" s="2">
        <v>8.9</v>
      </c>
      <c r="E81" s="2">
        <v>99.1</v>
      </c>
    </row>
    <row r="82" spans="1:5" x14ac:dyDescent="0.25">
      <c r="A82" s="4">
        <v>46276</v>
      </c>
      <c r="B82" s="2" t="s">
        <v>62</v>
      </c>
      <c r="C82" s="2">
        <v>52</v>
      </c>
      <c r="D82" s="2">
        <v>7.6</v>
      </c>
      <c r="E82" s="2">
        <v>89.7</v>
      </c>
    </row>
    <row r="83" spans="1:5" x14ac:dyDescent="0.25">
      <c r="A83" s="4">
        <v>46276</v>
      </c>
      <c r="B83" s="2" t="s">
        <v>52</v>
      </c>
      <c r="C83" s="2">
        <v>33</v>
      </c>
      <c r="D83" s="2">
        <v>7.8</v>
      </c>
      <c r="E83" s="2">
        <v>97.2</v>
      </c>
    </row>
    <row r="84" spans="1:5" x14ac:dyDescent="0.25">
      <c r="A84" s="4">
        <v>46276</v>
      </c>
      <c r="B84" s="2" t="s">
        <v>38</v>
      </c>
      <c r="C84" s="2">
        <v>32</v>
      </c>
      <c r="D84" s="2">
        <v>8.1999999999999993</v>
      </c>
      <c r="E84" s="2">
        <v>93.2</v>
      </c>
    </row>
    <row r="85" spans="1:5" x14ac:dyDescent="0.25">
      <c r="A85" s="4">
        <v>46276</v>
      </c>
      <c r="B85" s="2" t="s">
        <v>65</v>
      </c>
      <c r="C85" s="2">
        <v>52</v>
      </c>
      <c r="D85" s="2">
        <v>7.6</v>
      </c>
      <c r="E85" s="2">
        <v>93.2</v>
      </c>
    </row>
    <row r="86" spans="1:5" x14ac:dyDescent="0.25">
      <c r="A86" s="4">
        <v>46276</v>
      </c>
      <c r="B86" s="2" t="s">
        <v>83</v>
      </c>
      <c r="C86" s="2">
        <v>42</v>
      </c>
      <c r="D86" s="2">
        <v>9</v>
      </c>
      <c r="E86" s="2">
        <v>99.8</v>
      </c>
    </row>
    <row r="87" spans="1:5" x14ac:dyDescent="0.25">
      <c r="A87" s="4">
        <v>46276</v>
      </c>
      <c r="B87" s="2" t="s">
        <v>109</v>
      </c>
      <c r="C87" s="2">
        <v>47</v>
      </c>
      <c r="D87" s="2">
        <v>7.8</v>
      </c>
      <c r="E87" s="2">
        <v>91.8</v>
      </c>
    </row>
    <row r="88" spans="1:5" x14ac:dyDescent="0.25">
      <c r="A88" s="4">
        <v>46279</v>
      </c>
      <c r="B88" s="2" t="s">
        <v>56</v>
      </c>
      <c r="C88" s="2">
        <v>33</v>
      </c>
      <c r="D88" s="2">
        <v>8.1</v>
      </c>
      <c r="E88" s="2">
        <v>89.9</v>
      </c>
    </row>
    <row r="89" spans="1:5" x14ac:dyDescent="0.25">
      <c r="A89" s="4">
        <v>46279</v>
      </c>
      <c r="B89" s="2" t="s">
        <v>48</v>
      </c>
      <c r="C89" s="2">
        <v>52</v>
      </c>
      <c r="D89" s="2">
        <v>7.6</v>
      </c>
      <c r="E89" s="2">
        <v>90.3</v>
      </c>
    </row>
    <row r="90" spans="1:5" x14ac:dyDescent="0.25">
      <c r="A90" s="4">
        <v>46279</v>
      </c>
      <c r="B90" s="2" t="s">
        <v>33</v>
      </c>
      <c r="C90" s="2">
        <v>30</v>
      </c>
      <c r="D90" s="2">
        <v>9</v>
      </c>
      <c r="E90" s="2">
        <v>92.6</v>
      </c>
    </row>
    <row r="91" spans="1:5" x14ac:dyDescent="0.25">
      <c r="A91" s="4">
        <v>46279</v>
      </c>
      <c r="B91" s="2" t="s">
        <v>62</v>
      </c>
      <c r="C91" s="2">
        <v>43</v>
      </c>
      <c r="D91" s="2">
        <v>7.4</v>
      </c>
      <c r="E91" s="2">
        <v>94</v>
      </c>
    </row>
    <row r="92" spans="1:5" x14ac:dyDescent="0.25">
      <c r="A92" s="4">
        <v>46279</v>
      </c>
      <c r="B92" s="2" t="s">
        <v>52</v>
      </c>
      <c r="C92" s="2">
        <v>38</v>
      </c>
      <c r="D92" s="2">
        <v>8.3000000000000007</v>
      </c>
      <c r="E92" s="2">
        <v>99.2</v>
      </c>
    </row>
    <row r="93" spans="1:5" x14ac:dyDescent="0.25">
      <c r="A93" s="4">
        <v>46279</v>
      </c>
      <c r="B93" s="2" t="s">
        <v>38</v>
      </c>
      <c r="C93" s="2">
        <v>39</v>
      </c>
      <c r="D93" s="2">
        <v>9</v>
      </c>
      <c r="E93" s="2">
        <v>99.8</v>
      </c>
    </row>
    <row r="94" spans="1:5" x14ac:dyDescent="0.25">
      <c r="A94" s="4">
        <v>46279</v>
      </c>
      <c r="B94" s="2" t="s">
        <v>65</v>
      </c>
      <c r="C94" s="2">
        <v>56</v>
      </c>
      <c r="D94" s="2">
        <v>7.8</v>
      </c>
      <c r="E94" s="2">
        <v>90.1</v>
      </c>
    </row>
    <row r="95" spans="1:5" x14ac:dyDescent="0.25">
      <c r="A95" s="4">
        <v>46279</v>
      </c>
      <c r="B95" s="2" t="s">
        <v>83</v>
      </c>
      <c r="C95" s="2">
        <v>51</v>
      </c>
      <c r="D95" s="2">
        <v>7.9</v>
      </c>
      <c r="E95" s="2">
        <v>97.3</v>
      </c>
    </row>
    <row r="96" spans="1:5" x14ac:dyDescent="0.25">
      <c r="A96" s="4">
        <v>46279</v>
      </c>
      <c r="B96" s="2" t="s">
        <v>109</v>
      </c>
      <c r="C96" s="2">
        <v>36</v>
      </c>
      <c r="D96" s="2">
        <v>7.8</v>
      </c>
      <c r="E96" s="2">
        <v>90.2</v>
      </c>
    </row>
    <row r="97" spans="1:5" x14ac:dyDescent="0.25">
      <c r="A97" s="4">
        <v>46280</v>
      </c>
      <c r="B97" s="2" t="s">
        <v>56</v>
      </c>
      <c r="C97" s="2">
        <v>42</v>
      </c>
      <c r="D97" s="2">
        <v>8.5</v>
      </c>
      <c r="E97" s="2">
        <v>93.1</v>
      </c>
    </row>
    <row r="98" spans="1:5" x14ac:dyDescent="0.25">
      <c r="A98" s="4">
        <v>46280</v>
      </c>
      <c r="B98" s="2" t="s">
        <v>48</v>
      </c>
      <c r="C98" s="2">
        <v>47</v>
      </c>
      <c r="D98" s="2">
        <v>9</v>
      </c>
      <c r="E98" s="2">
        <v>91.9</v>
      </c>
    </row>
    <row r="99" spans="1:5" x14ac:dyDescent="0.25">
      <c r="A99" s="4">
        <v>46280</v>
      </c>
      <c r="B99" s="2" t="s">
        <v>33</v>
      </c>
      <c r="C99" s="2">
        <v>31</v>
      </c>
      <c r="D99" s="2">
        <v>7.7</v>
      </c>
      <c r="E99" s="2">
        <v>98.5</v>
      </c>
    </row>
    <row r="100" spans="1:5" x14ac:dyDescent="0.25">
      <c r="A100" s="4">
        <v>46280</v>
      </c>
      <c r="B100" s="2" t="s">
        <v>43</v>
      </c>
      <c r="C100" s="2">
        <v>50</v>
      </c>
      <c r="D100" s="2">
        <v>7.5</v>
      </c>
      <c r="E100" s="2">
        <v>89.3</v>
      </c>
    </row>
    <row r="101" spans="1:5" x14ac:dyDescent="0.25">
      <c r="A101" s="4">
        <v>46280</v>
      </c>
      <c r="B101" s="2" t="s">
        <v>62</v>
      </c>
      <c r="C101" s="2">
        <v>53</v>
      </c>
      <c r="D101" s="2">
        <v>8.6</v>
      </c>
      <c r="E101" s="2">
        <v>92.6</v>
      </c>
    </row>
    <row r="102" spans="1:5" x14ac:dyDescent="0.25">
      <c r="A102" s="4">
        <v>46280</v>
      </c>
      <c r="B102" s="2" t="s">
        <v>52</v>
      </c>
      <c r="C102" s="2">
        <v>49</v>
      </c>
      <c r="D102" s="2">
        <v>8.9</v>
      </c>
      <c r="E102" s="2">
        <v>93</v>
      </c>
    </row>
    <row r="103" spans="1:5" x14ac:dyDescent="0.25">
      <c r="A103" s="4">
        <v>46280</v>
      </c>
      <c r="B103" s="2" t="s">
        <v>38</v>
      </c>
      <c r="C103" s="2">
        <v>32</v>
      </c>
      <c r="D103" s="2">
        <v>8.3000000000000007</v>
      </c>
      <c r="E103" s="2">
        <v>91.2</v>
      </c>
    </row>
    <row r="104" spans="1:5" x14ac:dyDescent="0.25">
      <c r="A104" s="4">
        <v>46280</v>
      </c>
      <c r="B104" s="2" t="s">
        <v>65</v>
      </c>
      <c r="C104" s="2">
        <v>58</v>
      </c>
      <c r="D104" s="2">
        <v>7.8</v>
      </c>
      <c r="E104" s="2">
        <v>92</v>
      </c>
    </row>
    <row r="105" spans="1:5" x14ac:dyDescent="0.25">
      <c r="A105" s="4">
        <v>46280</v>
      </c>
      <c r="B105" s="2" t="s">
        <v>83</v>
      </c>
      <c r="C105" s="2">
        <v>52</v>
      </c>
      <c r="D105" s="2">
        <v>8.6999999999999993</v>
      </c>
      <c r="E105" s="2">
        <v>90</v>
      </c>
    </row>
    <row r="106" spans="1:5" x14ac:dyDescent="0.25">
      <c r="A106" s="4">
        <v>46280</v>
      </c>
      <c r="B106" s="2" t="s">
        <v>109</v>
      </c>
      <c r="C106" s="2">
        <v>33</v>
      </c>
      <c r="D106" s="2">
        <v>7.5</v>
      </c>
      <c r="E106" s="2">
        <v>91.7</v>
      </c>
    </row>
    <row r="107" spans="1:5" x14ac:dyDescent="0.25">
      <c r="A107" s="4">
        <v>46281</v>
      </c>
      <c r="B107" s="2" t="s">
        <v>56</v>
      </c>
      <c r="C107" s="2">
        <v>35</v>
      </c>
      <c r="D107" s="2">
        <v>8.6999999999999993</v>
      </c>
      <c r="E107" s="2">
        <v>90.4</v>
      </c>
    </row>
    <row r="108" spans="1:5" x14ac:dyDescent="0.25">
      <c r="A108" s="4">
        <v>46281</v>
      </c>
      <c r="B108" s="2" t="s">
        <v>48</v>
      </c>
      <c r="C108" s="2">
        <v>44</v>
      </c>
      <c r="D108" s="2">
        <v>8.9</v>
      </c>
      <c r="E108" s="2">
        <v>94.4</v>
      </c>
    </row>
    <row r="109" spans="1:5" x14ac:dyDescent="0.25">
      <c r="A109" s="4">
        <v>46281</v>
      </c>
      <c r="B109" s="2" t="s">
        <v>33</v>
      </c>
      <c r="C109" s="2">
        <v>34</v>
      </c>
      <c r="D109" s="2">
        <v>8.6999999999999993</v>
      </c>
      <c r="E109" s="2">
        <v>96.6</v>
      </c>
    </row>
    <row r="110" spans="1:5" x14ac:dyDescent="0.25">
      <c r="A110" s="4">
        <v>46281</v>
      </c>
      <c r="B110" s="2" t="s">
        <v>43</v>
      </c>
      <c r="C110" s="2">
        <v>36</v>
      </c>
      <c r="D110" s="2">
        <v>8.4</v>
      </c>
      <c r="E110" s="2">
        <v>90.3</v>
      </c>
    </row>
    <row r="111" spans="1:5" x14ac:dyDescent="0.25">
      <c r="A111" s="4">
        <v>46281</v>
      </c>
      <c r="B111" s="2" t="s">
        <v>62</v>
      </c>
      <c r="C111" s="2">
        <v>56</v>
      </c>
      <c r="D111" s="2">
        <v>8.1</v>
      </c>
      <c r="E111" s="2">
        <v>93.1</v>
      </c>
    </row>
    <row r="112" spans="1:5" x14ac:dyDescent="0.25">
      <c r="A112" s="4">
        <v>46281</v>
      </c>
      <c r="B112" s="2" t="s">
        <v>52</v>
      </c>
      <c r="C112" s="2">
        <v>41</v>
      </c>
      <c r="D112" s="2">
        <v>8.4</v>
      </c>
      <c r="E112" s="2">
        <v>97.4</v>
      </c>
    </row>
    <row r="113" spans="1:5" x14ac:dyDescent="0.25">
      <c r="A113" s="4">
        <v>46281</v>
      </c>
      <c r="B113" s="2" t="s">
        <v>38</v>
      </c>
      <c r="C113" s="2">
        <v>28</v>
      </c>
      <c r="D113" s="2">
        <v>8.3000000000000007</v>
      </c>
      <c r="E113" s="2">
        <v>91.9</v>
      </c>
    </row>
    <row r="114" spans="1:5" x14ac:dyDescent="0.25">
      <c r="A114" s="4">
        <v>46281</v>
      </c>
      <c r="B114" s="2" t="s">
        <v>65</v>
      </c>
      <c r="C114" s="2">
        <v>38</v>
      </c>
      <c r="D114" s="2">
        <v>8.3000000000000007</v>
      </c>
      <c r="E114" s="2">
        <v>98</v>
      </c>
    </row>
    <row r="115" spans="1:5" x14ac:dyDescent="0.25">
      <c r="A115" s="4">
        <v>46281</v>
      </c>
      <c r="B115" s="2" t="s">
        <v>83</v>
      </c>
      <c r="C115" s="2">
        <v>35</v>
      </c>
      <c r="D115" s="2">
        <v>8.1999999999999993</v>
      </c>
      <c r="E115" s="2">
        <v>97.3</v>
      </c>
    </row>
    <row r="116" spans="1:5" x14ac:dyDescent="0.25">
      <c r="A116" s="4">
        <v>46281</v>
      </c>
      <c r="B116" s="2" t="s">
        <v>109</v>
      </c>
      <c r="C116" s="2">
        <v>31</v>
      </c>
      <c r="D116" s="2">
        <v>9</v>
      </c>
      <c r="E116" s="2">
        <v>97.1</v>
      </c>
    </row>
    <row r="117" spans="1:5" x14ac:dyDescent="0.25">
      <c r="A117" s="4">
        <v>46282</v>
      </c>
      <c r="B117" s="2" t="s">
        <v>56</v>
      </c>
      <c r="C117" s="2">
        <v>49</v>
      </c>
      <c r="D117" s="2">
        <v>8.1</v>
      </c>
      <c r="E117" s="2">
        <v>89.4</v>
      </c>
    </row>
    <row r="118" spans="1:5" x14ac:dyDescent="0.25">
      <c r="A118" s="4">
        <v>46282</v>
      </c>
      <c r="B118" s="2" t="s">
        <v>48</v>
      </c>
      <c r="C118" s="2">
        <v>46</v>
      </c>
      <c r="D118" s="2">
        <v>8</v>
      </c>
      <c r="E118" s="2">
        <v>94.7</v>
      </c>
    </row>
    <row r="119" spans="1:5" x14ac:dyDescent="0.25">
      <c r="A119" s="4">
        <v>46282</v>
      </c>
      <c r="B119" s="2" t="s">
        <v>33</v>
      </c>
      <c r="C119" s="2">
        <v>47</v>
      </c>
      <c r="D119" s="2">
        <v>7.5</v>
      </c>
      <c r="E119" s="2">
        <v>99.4</v>
      </c>
    </row>
    <row r="120" spans="1:5" x14ac:dyDescent="0.25">
      <c r="A120" s="4">
        <v>46282</v>
      </c>
      <c r="B120" s="2" t="s">
        <v>43</v>
      </c>
      <c r="C120" s="2">
        <v>50</v>
      </c>
      <c r="D120" s="2">
        <v>7.3</v>
      </c>
      <c r="E120" s="2">
        <v>99</v>
      </c>
    </row>
    <row r="121" spans="1:5" x14ac:dyDescent="0.25">
      <c r="A121" s="4">
        <v>46282</v>
      </c>
      <c r="B121" s="2" t="s">
        <v>62</v>
      </c>
      <c r="C121" s="2">
        <v>51</v>
      </c>
      <c r="D121" s="2">
        <v>8.3000000000000007</v>
      </c>
      <c r="E121" s="2">
        <v>91.3</v>
      </c>
    </row>
    <row r="122" spans="1:5" x14ac:dyDescent="0.25">
      <c r="A122" s="4">
        <v>46282</v>
      </c>
      <c r="B122" s="2" t="s">
        <v>38</v>
      </c>
      <c r="C122" s="2">
        <v>44</v>
      </c>
      <c r="D122" s="2">
        <v>8.8000000000000007</v>
      </c>
      <c r="E122" s="2">
        <v>92.1</v>
      </c>
    </row>
    <row r="123" spans="1:5" x14ac:dyDescent="0.25">
      <c r="A123" s="4">
        <v>46282</v>
      </c>
      <c r="B123" s="2" t="s">
        <v>83</v>
      </c>
      <c r="C123" s="2">
        <v>33</v>
      </c>
      <c r="D123" s="2">
        <v>7.8</v>
      </c>
      <c r="E123" s="2">
        <v>89.4</v>
      </c>
    </row>
    <row r="124" spans="1:5" x14ac:dyDescent="0.25">
      <c r="A124" s="4">
        <v>46282</v>
      </c>
      <c r="B124" s="2" t="s">
        <v>109</v>
      </c>
      <c r="C124" s="2">
        <v>32</v>
      </c>
      <c r="D124" s="2">
        <v>7.8</v>
      </c>
      <c r="E124" s="2">
        <v>96.8</v>
      </c>
    </row>
    <row r="125" spans="1:5" x14ac:dyDescent="0.25">
      <c r="A125" s="4">
        <v>46283</v>
      </c>
      <c r="B125" s="2" t="s">
        <v>48</v>
      </c>
      <c r="C125" s="2">
        <v>44</v>
      </c>
      <c r="D125" s="2">
        <v>8</v>
      </c>
      <c r="E125" s="2">
        <v>93.3</v>
      </c>
    </row>
    <row r="126" spans="1:5" x14ac:dyDescent="0.25">
      <c r="A126" s="4">
        <v>46283</v>
      </c>
      <c r="B126" s="2" t="s">
        <v>33</v>
      </c>
      <c r="C126" s="2">
        <v>35</v>
      </c>
      <c r="D126" s="2">
        <v>8.5</v>
      </c>
      <c r="E126" s="2">
        <v>90.7</v>
      </c>
    </row>
    <row r="127" spans="1:5" x14ac:dyDescent="0.25">
      <c r="A127" s="4">
        <v>46283</v>
      </c>
      <c r="B127" s="2" t="s">
        <v>43</v>
      </c>
      <c r="C127" s="2">
        <v>48</v>
      </c>
      <c r="D127" s="2">
        <v>8</v>
      </c>
      <c r="E127" s="2">
        <v>99.7</v>
      </c>
    </row>
    <row r="128" spans="1:5" x14ac:dyDescent="0.25">
      <c r="A128" s="4">
        <v>46283</v>
      </c>
      <c r="B128" s="2" t="s">
        <v>62</v>
      </c>
      <c r="C128" s="2">
        <v>47</v>
      </c>
      <c r="D128" s="2">
        <v>9</v>
      </c>
      <c r="E128" s="2">
        <v>98.6</v>
      </c>
    </row>
    <row r="129" spans="1:5" x14ac:dyDescent="0.25">
      <c r="A129" s="4">
        <v>46283</v>
      </c>
      <c r="B129" s="2" t="s">
        <v>52</v>
      </c>
      <c r="C129" s="2">
        <v>34</v>
      </c>
      <c r="D129" s="2">
        <v>8.1</v>
      </c>
      <c r="E129" s="2">
        <v>93</v>
      </c>
    </row>
    <row r="130" spans="1:5" x14ac:dyDescent="0.25">
      <c r="A130" s="4">
        <v>46283</v>
      </c>
      <c r="B130" s="2" t="s">
        <v>38</v>
      </c>
      <c r="C130" s="2">
        <v>37</v>
      </c>
      <c r="D130" s="2">
        <v>7.5</v>
      </c>
      <c r="E130" s="2">
        <v>98.8</v>
      </c>
    </row>
    <row r="131" spans="1:5" x14ac:dyDescent="0.25">
      <c r="A131" s="4">
        <v>46283</v>
      </c>
      <c r="B131" s="2" t="s">
        <v>65</v>
      </c>
      <c r="C131" s="2">
        <v>39</v>
      </c>
      <c r="D131" s="2">
        <v>8.1</v>
      </c>
      <c r="E131" s="2">
        <v>97.1</v>
      </c>
    </row>
    <row r="132" spans="1:5" x14ac:dyDescent="0.25">
      <c r="A132" s="4">
        <v>46283</v>
      </c>
      <c r="B132" s="2" t="s">
        <v>83</v>
      </c>
      <c r="C132" s="2">
        <v>38</v>
      </c>
      <c r="D132" s="2">
        <v>8.8000000000000007</v>
      </c>
      <c r="E132" s="2">
        <v>89</v>
      </c>
    </row>
    <row r="133" spans="1:5" x14ac:dyDescent="0.25">
      <c r="A133" s="4">
        <v>46286</v>
      </c>
      <c r="B133" s="2" t="s">
        <v>56</v>
      </c>
      <c r="C133" s="2">
        <v>53</v>
      </c>
      <c r="D133" s="2">
        <v>7.3</v>
      </c>
      <c r="E133" s="2">
        <v>94.8</v>
      </c>
    </row>
    <row r="134" spans="1:5" x14ac:dyDescent="0.25">
      <c r="A134" s="4">
        <v>46286</v>
      </c>
      <c r="B134" s="2" t="s">
        <v>48</v>
      </c>
      <c r="C134" s="2">
        <v>42</v>
      </c>
      <c r="D134" s="2">
        <v>8</v>
      </c>
      <c r="E134" s="2">
        <v>98.1</v>
      </c>
    </row>
    <row r="135" spans="1:5" x14ac:dyDescent="0.25">
      <c r="A135" s="4">
        <v>46286</v>
      </c>
      <c r="B135" s="2" t="s">
        <v>33</v>
      </c>
      <c r="C135" s="2">
        <v>37</v>
      </c>
      <c r="D135" s="2">
        <v>7.3</v>
      </c>
      <c r="E135" s="2">
        <v>88.2</v>
      </c>
    </row>
    <row r="136" spans="1:5" x14ac:dyDescent="0.25">
      <c r="A136" s="4">
        <v>46286</v>
      </c>
      <c r="B136" s="2" t="s">
        <v>43</v>
      </c>
      <c r="C136" s="2">
        <v>44</v>
      </c>
      <c r="D136" s="2">
        <v>8.1999999999999993</v>
      </c>
      <c r="E136" s="2">
        <v>96.6</v>
      </c>
    </row>
    <row r="137" spans="1:5" x14ac:dyDescent="0.25">
      <c r="A137" s="4">
        <v>46286</v>
      </c>
      <c r="B137" s="2" t="s">
        <v>62</v>
      </c>
      <c r="C137" s="2">
        <v>50</v>
      </c>
      <c r="D137" s="2">
        <v>9</v>
      </c>
      <c r="E137" s="2">
        <v>88.5</v>
      </c>
    </row>
    <row r="138" spans="1:5" x14ac:dyDescent="0.25">
      <c r="A138" s="4">
        <v>46286</v>
      </c>
      <c r="B138" s="2" t="s">
        <v>52</v>
      </c>
      <c r="C138" s="2">
        <v>36</v>
      </c>
      <c r="D138" s="2">
        <v>8.4</v>
      </c>
      <c r="E138" s="2">
        <v>91.2</v>
      </c>
    </row>
    <row r="139" spans="1:5" x14ac:dyDescent="0.25">
      <c r="A139" s="4">
        <v>46286</v>
      </c>
      <c r="B139" s="2" t="s">
        <v>38</v>
      </c>
      <c r="C139" s="2">
        <v>42</v>
      </c>
      <c r="D139" s="2">
        <v>7.9</v>
      </c>
      <c r="E139" s="2">
        <v>99.7</v>
      </c>
    </row>
    <row r="140" spans="1:5" x14ac:dyDescent="0.25">
      <c r="A140" s="4">
        <v>46286</v>
      </c>
      <c r="B140" s="2" t="s">
        <v>65</v>
      </c>
      <c r="C140" s="2">
        <v>50</v>
      </c>
      <c r="D140" s="2">
        <v>8.5</v>
      </c>
      <c r="E140" s="2">
        <v>89.9</v>
      </c>
    </row>
    <row r="141" spans="1:5" x14ac:dyDescent="0.25">
      <c r="A141" s="4">
        <v>46286</v>
      </c>
      <c r="B141" s="2" t="s">
        <v>83</v>
      </c>
      <c r="C141" s="2">
        <v>35</v>
      </c>
      <c r="D141" s="2">
        <v>8</v>
      </c>
      <c r="E141" s="2">
        <v>93.6</v>
      </c>
    </row>
    <row r="142" spans="1:5" x14ac:dyDescent="0.25">
      <c r="A142" s="4">
        <v>46286</v>
      </c>
      <c r="B142" s="2" t="s">
        <v>109</v>
      </c>
      <c r="C142" s="2">
        <v>29</v>
      </c>
      <c r="D142" s="2">
        <v>7.8</v>
      </c>
      <c r="E142" s="2">
        <v>93</v>
      </c>
    </row>
    <row r="143" spans="1:5" x14ac:dyDescent="0.25">
      <c r="A143" s="4">
        <v>46287</v>
      </c>
      <c r="B143" s="2" t="s">
        <v>56</v>
      </c>
      <c r="C143" s="2">
        <v>50</v>
      </c>
      <c r="D143" s="2">
        <v>7.4</v>
      </c>
      <c r="E143" s="2">
        <v>96.7</v>
      </c>
    </row>
    <row r="144" spans="1:5" x14ac:dyDescent="0.25">
      <c r="A144" s="4">
        <v>46287</v>
      </c>
      <c r="B144" s="2" t="s">
        <v>48</v>
      </c>
      <c r="C144" s="2">
        <v>39</v>
      </c>
      <c r="D144" s="2">
        <v>8.6999999999999993</v>
      </c>
      <c r="E144" s="2">
        <v>89.3</v>
      </c>
    </row>
    <row r="145" spans="1:5" x14ac:dyDescent="0.25">
      <c r="A145" s="4">
        <v>46287</v>
      </c>
      <c r="B145" s="2" t="s">
        <v>33</v>
      </c>
      <c r="C145" s="2">
        <v>40</v>
      </c>
      <c r="D145" s="2">
        <v>8.3000000000000007</v>
      </c>
      <c r="E145" s="2">
        <v>98.6</v>
      </c>
    </row>
    <row r="146" spans="1:5" x14ac:dyDescent="0.25">
      <c r="A146" s="4">
        <v>46287</v>
      </c>
      <c r="B146" s="2" t="s">
        <v>43</v>
      </c>
      <c r="C146" s="2">
        <v>37</v>
      </c>
      <c r="D146" s="2">
        <v>7.4</v>
      </c>
      <c r="E146" s="2">
        <v>93.4</v>
      </c>
    </row>
    <row r="147" spans="1:5" x14ac:dyDescent="0.25">
      <c r="A147" s="4">
        <v>46287</v>
      </c>
      <c r="B147" s="2" t="s">
        <v>62</v>
      </c>
      <c r="C147" s="2">
        <v>43</v>
      </c>
      <c r="D147" s="2">
        <v>8.6</v>
      </c>
      <c r="E147" s="2">
        <v>91.2</v>
      </c>
    </row>
    <row r="148" spans="1:5" x14ac:dyDescent="0.25">
      <c r="A148" s="4">
        <v>46287</v>
      </c>
      <c r="B148" s="2" t="s">
        <v>52</v>
      </c>
      <c r="C148" s="2">
        <v>33</v>
      </c>
      <c r="D148" s="2">
        <v>8</v>
      </c>
      <c r="E148" s="2">
        <v>92.2</v>
      </c>
    </row>
    <row r="149" spans="1:5" x14ac:dyDescent="0.25">
      <c r="A149" s="4">
        <v>46287</v>
      </c>
      <c r="B149" s="2" t="s">
        <v>38</v>
      </c>
      <c r="C149" s="2">
        <v>30</v>
      </c>
      <c r="D149" s="2">
        <v>7.9</v>
      </c>
      <c r="E149" s="2">
        <v>96.5</v>
      </c>
    </row>
    <row r="150" spans="1:5" x14ac:dyDescent="0.25">
      <c r="A150" s="4">
        <v>46287</v>
      </c>
      <c r="B150" s="2" t="s">
        <v>65</v>
      </c>
      <c r="C150" s="2">
        <v>45</v>
      </c>
      <c r="D150" s="2">
        <v>7.6</v>
      </c>
      <c r="E150" s="2">
        <v>89.1</v>
      </c>
    </row>
    <row r="151" spans="1:5" x14ac:dyDescent="0.25">
      <c r="A151" s="4">
        <v>46287</v>
      </c>
      <c r="B151" s="2" t="s">
        <v>83</v>
      </c>
      <c r="C151" s="2">
        <v>46</v>
      </c>
      <c r="D151" s="2">
        <v>8.6</v>
      </c>
      <c r="E151" s="2">
        <v>98.9</v>
      </c>
    </row>
    <row r="152" spans="1:5" x14ac:dyDescent="0.25">
      <c r="A152" s="4">
        <v>46287</v>
      </c>
      <c r="B152" s="2" t="s">
        <v>109</v>
      </c>
      <c r="C152" s="2">
        <v>48</v>
      </c>
      <c r="D152" s="2">
        <v>7.9</v>
      </c>
      <c r="E152" s="2">
        <v>93.2</v>
      </c>
    </row>
    <row r="153" spans="1:5" x14ac:dyDescent="0.25">
      <c r="A153" s="4">
        <v>46288</v>
      </c>
      <c r="B153" s="2" t="s">
        <v>56</v>
      </c>
      <c r="C153" s="2">
        <v>34</v>
      </c>
      <c r="D153" s="2">
        <v>8.8000000000000007</v>
      </c>
      <c r="E153" s="2">
        <v>94.1</v>
      </c>
    </row>
    <row r="154" spans="1:5" x14ac:dyDescent="0.25">
      <c r="A154" s="4">
        <v>46288</v>
      </c>
      <c r="B154" s="2" t="s">
        <v>48</v>
      </c>
      <c r="C154" s="2">
        <v>48</v>
      </c>
      <c r="D154" s="2">
        <v>8</v>
      </c>
      <c r="E154" s="2">
        <v>89.7</v>
      </c>
    </row>
    <row r="155" spans="1:5" x14ac:dyDescent="0.25">
      <c r="A155" s="4">
        <v>46288</v>
      </c>
      <c r="B155" s="2" t="s">
        <v>33</v>
      </c>
      <c r="C155" s="2">
        <v>46</v>
      </c>
      <c r="D155" s="2">
        <v>7.6</v>
      </c>
      <c r="E155" s="2">
        <v>97</v>
      </c>
    </row>
    <row r="156" spans="1:5" x14ac:dyDescent="0.25">
      <c r="A156" s="4">
        <v>46288</v>
      </c>
      <c r="B156" s="2" t="s">
        <v>43</v>
      </c>
      <c r="C156" s="2">
        <v>39</v>
      </c>
      <c r="D156" s="2">
        <v>8.1999999999999993</v>
      </c>
      <c r="E156" s="2">
        <v>90.5</v>
      </c>
    </row>
    <row r="157" spans="1:5" x14ac:dyDescent="0.25">
      <c r="A157" s="4">
        <v>46288</v>
      </c>
      <c r="B157" s="2" t="s">
        <v>62</v>
      </c>
      <c r="C157" s="2">
        <v>56</v>
      </c>
      <c r="D157" s="2">
        <v>8.3000000000000007</v>
      </c>
      <c r="E157" s="2">
        <v>88.6</v>
      </c>
    </row>
    <row r="158" spans="1:5" x14ac:dyDescent="0.25">
      <c r="A158" s="4">
        <v>46288</v>
      </c>
      <c r="B158" s="2" t="s">
        <v>52</v>
      </c>
      <c r="C158" s="2">
        <v>45</v>
      </c>
      <c r="D158" s="2">
        <v>7.8</v>
      </c>
      <c r="E158" s="2">
        <v>98.6</v>
      </c>
    </row>
    <row r="159" spans="1:5" x14ac:dyDescent="0.25">
      <c r="A159" s="4">
        <v>46288</v>
      </c>
      <c r="B159" s="2" t="s">
        <v>38</v>
      </c>
      <c r="C159" s="2">
        <v>43</v>
      </c>
      <c r="D159" s="2">
        <v>7.3</v>
      </c>
      <c r="E159" s="2">
        <v>88.9</v>
      </c>
    </row>
    <row r="160" spans="1:5" x14ac:dyDescent="0.25">
      <c r="A160" s="4">
        <v>46288</v>
      </c>
      <c r="B160" s="2" t="s">
        <v>65</v>
      </c>
      <c r="C160" s="2">
        <v>40</v>
      </c>
      <c r="D160" s="2">
        <v>8.8000000000000007</v>
      </c>
      <c r="E160" s="2">
        <v>93.5</v>
      </c>
    </row>
    <row r="161" spans="1:5" x14ac:dyDescent="0.25">
      <c r="A161" s="4">
        <v>46288</v>
      </c>
      <c r="B161" s="2" t="s">
        <v>83</v>
      </c>
      <c r="C161" s="2">
        <v>43</v>
      </c>
      <c r="D161" s="2">
        <v>7.5</v>
      </c>
      <c r="E161" s="2">
        <v>97.9</v>
      </c>
    </row>
    <row r="162" spans="1:5" x14ac:dyDescent="0.25">
      <c r="A162" s="4">
        <v>46288</v>
      </c>
      <c r="B162" s="2" t="s">
        <v>109</v>
      </c>
      <c r="C162" s="2">
        <v>47</v>
      </c>
      <c r="D162" s="2">
        <v>7.7</v>
      </c>
      <c r="E162" s="2">
        <v>96.5</v>
      </c>
    </row>
    <row r="163" spans="1:5" x14ac:dyDescent="0.25">
      <c r="A163" s="4">
        <v>46289</v>
      </c>
      <c r="B163" s="2" t="s">
        <v>56</v>
      </c>
      <c r="C163" s="2">
        <v>46</v>
      </c>
      <c r="D163" s="2">
        <v>9</v>
      </c>
      <c r="E163" s="2">
        <v>98.4</v>
      </c>
    </row>
    <row r="164" spans="1:5" x14ac:dyDescent="0.25">
      <c r="A164" s="4">
        <v>46289</v>
      </c>
      <c r="B164" s="2" t="s">
        <v>48</v>
      </c>
      <c r="C164" s="2">
        <v>45</v>
      </c>
      <c r="D164" s="2">
        <v>8.5</v>
      </c>
      <c r="E164" s="2">
        <v>92.5</v>
      </c>
    </row>
    <row r="165" spans="1:5" x14ac:dyDescent="0.25">
      <c r="A165" s="4">
        <v>46289</v>
      </c>
      <c r="B165" s="2" t="s">
        <v>33</v>
      </c>
      <c r="C165" s="2">
        <v>42</v>
      </c>
      <c r="D165" s="2">
        <v>7.9</v>
      </c>
      <c r="E165" s="2">
        <v>99</v>
      </c>
    </row>
    <row r="166" spans="1:5" x14ac:dyDescent="0.25">
      <c r="A166" s="4">
        <v>46289</v>
      </c>
      <c r="B166" s="2" t="s">
        <v>43</v>
      </c>
      <c r="C166" s="2">
        <v>39</v>
      </c>
      <c r="D166" s="2">
        <v>8.8000000000000007</v>
      </c>
      <c r="E166" s="2">
        <v>96.7</v>
      </c>
    </row>
    <row r="167" spans="1:5" x14ac:dyDescent="0.25">
      <c r="A167" s="4">
        <v>46289</v>
      </c>
      <c r="B167" s="2" t="s">
        <v>62</v>
      </c>
      <c r="C167" s="2">
        <v>54</v>
      </c>
      <c r="D167" s="2">
        <v>7.9</v>
      </c>
      <c r="E167" s="2">
        <v>89.3</v>
      </c>
    </row>
    <row r="168" spans="1:5" x14ac:dyDescent="0.25">
      <c r="A168" s="4">
        <v>46289</v>
      </c>
      <c r="B168" s="2" t="s">
        <v>52</v>
      </c>
      <c r="C168" s="2">
        <v>44</v>
      </c>
      <c r="D168" s="2">
        <v>8.8000000000000007</v>
      </c>
      <c r="E168" s="2">
        <v>92.4</v>
      </c>
    </row>
    <row r="169" spans="1:5" x14ac:dyDescent="0.25">
      <c r="A169" s="4">
        <v>46289</v>
      </c>
      <c r="B169" s="2" t="s">
        <v>38</v>
      </c>
      <c r="C169" s="2">
        <v>42</v>
      </c>
      <c r="D169" s="2">
        <v>7.5</v>
      </c>
      <c r="E169" s="2">
        <v>97.6</v>
      </c>
    </row>
    <row r="170" spans="1:5" x14ac:dyDescent="0.25">
      <c r="A170" s="4">
        <v>46289</v>
      </c>
      <c r="B170" s="2" t="s">
        <v>65</v>
      </c>
      <c r="C170" s="2">
        <v>53</v>
      </c>
      <c r="D170" s="2">
        <v>7.3</v>
      </c>
      <c r="E170" s="2">
        <v>91.7</v>
      </c>
    </row>
    <row r="171" spans="1:5" x14ac:dyDescent="0.25">
      <c r="A171" s="4">
        <v>46289</v>
      </c>
      <c r="B171" s="2" t="s">
        <v>83</v>
      </c>
      <c r="C171" s="2">
        <v>33</v>
      </c>
      <c r="D171" s="2">
        <v>7.6</v>
      </c>
      <c r="E171" s="2">
        <v>88.8</v>
      </c>
    </row>
    <row r="172" spans="1:5" x14ac:dyDescent="0.25">
      <c r="A172" s="4">
        <v>46290</v>
      </c>
      <c r="B172" s="2" t="s">
        <v>48</v>
      </c>
      <c r="C172" s="2">
        <v>50</v>
      </c>
      <c r="D172" s="2">
        <v>8</v>
      </c>
      <c r="E172" s="2">
        <v>91.2</v>
      </c>
    </row>
    <row r="173" spans="1:5" x14ac:dyDescent="0.25">
      <c r="A173" s="4">
        <v>46290</v>
      </c>
      <c r="B173" s="2" t="s">
        <v>33</v>
      </c>
      <c r="C173" s="2">
        <v>42</v>
      </c>
      <c r="D173" s="2">
        <v>8.6</v>
      </c>
      <c r="E173" s="2">
        <v>88.5</v>
      </c>
    </row>
    <row r="174" spans="1:5" x14ac:dyDescent="0.25">
      <c r="A174" s="4">
        <v>46290</v>
      </c>
      <c r="B174" s="2" t="s">
        <v>43</v>
      </c>
      <c r="C174" s="2">
        <v>50</v>
      </c>
      <c r="D174" s="2">
        <v>8</v>
      </c>
      <c r="E174" s="2">
        <v>99.7</v>
      </c>
    </row>
    <row r="175" spans="1:5" x14ac:dyDescent="0.25">
      <c r="A175" s="4">
        <v>46290</v>
      </c>
      <c r="B175" s="2" t="s">
        <v>62</v>
      </c>
      <c r="C175" s="2">
        <v>39</v>
      </c>
      <c r="D175" s="2">
        <v>7.5</v>
      </c>
      <c r="E175" s="2">
        <v>96.1</v>
      </c>
    </row>
    <row r="176" spans="1:5" x14ac:dyDescent="0.25">
      <c r="A176" s="4">
        <v>46290</v>
      </c>
      <c r="B176" s="2" t="s">
        <v>52</v>
      </c>
      <c r="C176" s="2">
        <v>52</v>
      </c>
      <c r="D176" s="2">
        <v>8.3000000000000007</v>
      </c>
      <c r="E176" s="2">
        <v>99.5</v>
      </c>
    </row>
    <row r="177" spans="1:5" x14ac:dyDescent="0.25">
      <c r="A177" s="4">
        <v>46290</v>
      </c>
      <c r="B177" s="2" t="s">
        <v>38</v>
      </c>
      <c r="C177" s="2">
        <v>33</v>
      </c>
      <c r="D177" s="2">
        <v>7.7</v>
      </c>
      <c r="E177" s="2">
        <v>97.5</v>
      </c>
    </row>
    <row r="178" spans="1:5" x14ac:dyDescent="0.25">
      <c r="A178" s="4">
        <v>46290</v>
      </c>
      <c r="B178" s="2" t="s">
        <v>65</v>
      </c>
      <c r="C178" s="2">
        <v>39</v>
      </c>
      <c r="D178" s="2">
        <v>8.3000000000000007</v>
      </c>
      <c r="E178" s="2">
        <v>96.9</v>
      </c>
    </row>
    <row r="179" spans="1:5" x14ac:dyDescent="0.25">
      <c r="A179" s="4">
        <v>46290</v>
      </c>
      <c r="B179" s="2" t="s">
        <v>83</v>
      </c>
      <c r="C179" s="2">
        <v>47</v>
      </c>
      <c r="D179" s="2">
        <v>8.6999999999999993</v>
      </c>
      <c r="E179" s="2">
        <v>95</v>
      </c>
    </row>
    <row r="180" spans="1:5" x14ac:dyDescent="0.25">
      <c r="A180" s="4">
        <v>46290</v>
      </c>
      <c r="B180" s="2" t="s">
        <v>109</v>
      </c>
      <c r="C180" s="2">
        <v>37</v>
      </c>
      <c r="D180" s="2">
        <v>8.3000000000000007</v>
      </c>
      <c r="E180" s="2">
        <v>98.3</v>
      </c>
    </row>
    <row r="181" spans="1:5" x14ac:dyDescent="0.25">
      <c r="A181" s="4">
        <v>46293</v>
      </c>
      <c r="B181" s="2" t="s">
        <v>56</v>
      </c>
      <c r="C181" s="2">
        <v>41</v>
      </c>
      <c r="D181" s="2">
        <v>8.5</v>
      </c>
      <c r="E181" s="2">
        <v>98.4</v>
      </c>
    </row>
    <row r="182" spans="1:5" x14ac:dyDescent="0.25">
      <c r="A182" s="4">
        <v>46293</v>
      </c>
      <c r="B182" s="2" t="s">
        <v>48</v>
      </c>
      <c r="C182" s="2">
        <v>47</v>
      </c>
      <c r="D182" s="2">
        <v>7.6</v>
      </c>
      <c r="E182" s="2">
        <v>97.9</v>
      </c>
    </row>
    <row r="183" spans="1:5" x14ac:dyDescent="0.25">
      <c r="A183" s="4">
        <v>46293</v>
      </c>
      <c r="B183" s="2" t="s">
        <v>33</v>
      </c>
      <c r="C183" s="2">
        <v>28</v>
      </c>
      <c r="D183" s="2">
        <v>9</v>
      </c>
      <c r="E183" s="2">
        <v>96.4</v>
      </c>
    </row>
    <row r="184" spans="1:5" x14ac:dyDescent="0.25">
      <c r="A184" s="4">
        <v>46293</v>
      </c>
      <c r="B184" s="2" t="s">
        <v>43</v>
      </c>
      <c r="C184" s="2">
        <v>46</v>
      </c>
      <c r="D184" s="2">
        <v>8.6999999999999993</v>
      </c>
      <c r="E184" s="2">
        <v>97</v>
      </c>
    </row>
    <row r="185" spans="1:5" x14ac:dyDescent="0.25">
      <c r="A185" s="4">
        <v>46293</v>
      </c>
      <c r="B185" s="2" t="s">
        <v>62</v>
      </c>
      <c r="C185" s="2">
        <v>48</v>
      </c>
      <c r="D185" s="2">
        <v>7.5</v>
      </c>
      <c r="E185" s="2">
        <v>98.6</v>
      </c>
    </row>
    <row r="186" spans="1:5" x14ac:dyDescent="0.25">
      <c r="A186" s="4">
        <v>46293</v>
      </c>
      <c r="B186" s="2" t="s">
        <v>52</v>
      </c>
      <c r="C186" s="2">
        <v>44</v>
      </c>
      <c r="D186" s="2">
        <v>7.7</v>
      </c>
      <c r="E186" s="2">
        <v>88</v>
      </c>
    </row>
    <row r="187" spans="1:5" x14ac:dyDescent="0.25">
      <c r="A187" s="4">
        <v>46293</v>
      </c>
      <c r="B187" s="2" t="s">
        <v>38</v>
      </c>
      <c r="C187" s="2">
        <v>41</v>
      </c>
      <c r="D187" s="2">
        <v>8.3000000000000007</v>
      </c>
      <c r="E187" s="2">
        <v>94.8</v>
      </c>
    </row>
    <row r="188" spans="1:5" x14ac:dyDescent="0.25">
      <c r="A188" s="4">
        <v>46293</v>
      </c>
      <c r="B188" s="2" t="s">
        <v>65</v>
      </c>
      <c r="C188" s="2">
        <v>39</v>
      </c>
      <c r="D188" s="2">
        <v>7.4</v>
      </c>
      <c r="E188" s="2">
        <v>94</v>
      </c>
    </row>
    <row r="189" spans="1:5" x14ac:dyDescent="0.25">
      <c r="A189" s="4">
        <v>46293</v>
      </c>
      <c r="B189" s="2" t="s">
        <v>83</v>
      </c>
      <c r="C189" s="2">
        <v>36</v>
      </c>
      <c r="D189" s="2">
        <v>7.8</v>
      </c>
      <c r="E189" s="2">
        <v>88.7</v>
      </c>
    </row>
    <row r="190" spans="1:5" x14ac:dyDescent="0.25">
      <c r="A190" s="4">
        <v>46293</v>
      </c>
      <c r="B190" s="2" t="s">
        <v>109</v>
      </c>
      <c r="C190" s="2">
        <v>31</v>
      </c>
      <c r="D190" s="2">
        <v>8.1</v>
      </c>
      <c r="E190" s="2">
        <v>97.5</v>
      </c>
    </row>
    <row r="191" spans="1:5" x14ac:dyDescent="0.25">
      <c r="A191" s="4">
        <v>46294</v>
      </c>
      <c r="B191" s="2" t="s">
        <v>56</v>
      </c>
      <c r="C191" s="2">
        <v>53</v>
      </c>
      <c r="D191" s="2">
        <v>8.1999999999999993</v>
      </c>
      <c r="E191" s="2">
        <v>98.9</v>
      </c>
    </row>
    <row r="192" spans="1:5" x14ac:dyDescent="0.25">
      <c r="A192" s="4">
        <v>46294</v>
      </c>
      <c r="B192" s="2" t="s">
        <v>48</v>
      </c>
      <c r="C192" s="2">
        <v>42</v>
      </c>
      <c r="D192" s="2">
        <v>8</v>
      </c>
      <c r="E192" s="2">
        <v>98.1</v>
      </c>
    </row>
    <row r="193" spans="1:5" x14ac:dyDescent="0.25">
      <c r="A193" s="4">
        <v>46294</v>
      </c>
      <c r="B193" s="2" t="s">
        <v>33</v>
      </c>
      <c r="C193" s="2">
        <v>40</v>
      </c>
      <c r="D193" s="2">
        <v>7.6</v>
      </c>
      <c r="E193" s="2">
        <v>97.9</v>
      </c>
    </row>
    <row r="194" spans="1:5" x14ac:dyDescent="0.25">
      <c r="A194" s="4">
        <v>46294</v>
      </c>
      <c r="B194" s="2" t="s">
        <v>43</v>
      </c>
      <c r="C194" s="2">
        <v>52</v>
      </c>
      <c r="D194" s="2">
        <v>9</v>
      </c>
      <c r="E194" s="2">
        <v>97</v>
      </c>
    </row>
    <row r="195" spans="1:5" x14ac:dyDescent="0.25">
      <c r="A195" s="4">
        <v>46294</v>
      </c>
      <c r="B195" s="2" t="s">
        <v>62</v>
      </c>
      <c r="C195" s="2">
        <v>47</v>
      </c>
      <c r="D195" s="2">
        <v>7.8</v>
      </c>
      <c r="E195" s="2">
        <v>99.1</v>
      </c>
    </row>
    <row r="196" spans="1:5" x14ac:dyDescent="0.25">
      <c r="A196" s="4">
        <v>46294</v>
      </c>
      <c r="B196" s="2" t="s">
        <v>52</v>
      </c>
      <c r="C196" s="2">
        <v>35</v>
      </c>
      <c r="D196" s="2">
        <v>8.9</v>
      </c>
      <c r="E196" s="2">
        <v>88.9</v>
      </c>
    </row>
    <row r="197" spans="1:5" x14ac:dyDescent="0.25">
      <c r="A197" s="4">
        <v>46294</v>
      </c>
      <c r="B197" s="2" t="s">
        <v>38</v>
      </c>
      <c r="C197" s="2">
        <v>30</v>
      </c>
      <c r="D197" s="2">
        <v>8.5</v>
      </c>
      <c r="E197" s="2">
        <v>90</v>
      </c>
    </row>
    <row r="198" spans="1:5" x14ac:dyDescent="0.25">
      <c r="A198" s="4">
        <v>46294</v>
      </c>
      <c r="B198" s="2" t="s">
        <v>65</v>
      </c>
      <c r="C198" s="2">
        <v>47</v>
      </c>
      <c r="D198" s="2">
        <v>8</v>
      </c>
      <c r="E198" s="2">
        <v>90.5</v>
      </c>
    </row>
    <row r="199" spans="1:5" x14ac:dyDescent="0.25">
      <c r="A199" s="4">
        <v>46294</v>
      </c>
      <c r="B199" s="2" t="s">
        <v>83</v>
      </c>
      <c r="C199" s="2">
        <v>41</v>
      </c>
      <c r="D199" s="2">
        <v>8.8000000000000007</v>
      </c>
      <c r="E199" s="2">
        <v>90.9</v>
      </c>
    </row>
    <row r="200" spans="1:5" x14ac:dyDescent="0.25">
      <c r="A200" s="4">
        <v>46294</v>
      </c>
      <c r="B200" s="2" t="s">
        <v>109</v>
      </c>
      <c r="C200" s="2">
        <v>35</v>
      </c>
      <c r="D200" s="2">
        <v>7.5</v>
      </c>
      <c r="E200" s="2">
        <v>89.9</v>
      </c>
    </row>
    <row r="201" spans="1:5" x14ac:dyDescent="0.25">
      <c r="A201" s="4">
        <v>46295</v>
      </c>
      <c r="B201" s="2" t="s">
        <v>56</v>
      </c>
      <c r="C201" s="2">
        <v>43</v>
      </c>
      <c r="D201" s="2">
        <v>8.6999999999999993</v>
      </c>
      <c r="E201" s="2">
        <v>93.7</v>
      </c>
    </row>
    <row r="202" spans="1:5" x14ac:dyDescent="0.25">
      <c r="A202" s="4">
        <v>46295</v>
      </c>
      <c r="B202" s="2" t="s">
        <v>48</v>
      </c>
      <c r="C202" s="2">
        <v>39</v>
      </c>
      <c r="D202" s="2">
        <v>7.9</v>
      </c>
      <c r="E202" s="2">
        <v>90.1</v>
      </c>
    </row>
    <row r="203" spans="1:5" x14ac:dyDescent="0.25">
      <c r="A203" s="4">
        <v>46295</v>
      </c>
      <c r="B203" s="2" t="s">
        <v>33</v>
      </c>
      <c r="C203" s="2">
        <v>38</v>
      </c>
      <c r="D203" s="2">
        <v>8.6999999999999993</v>
      </c>
      <c r="E203" s="2">
        <v>92.1</v>
      </c>
    </row>
    <row r="204" spans="1:5" x14ac:dyDescent="0.25">
      <c r="A204" s="4">
        <v>46295</v>
      </c>
      <c r="B204" s="2" t="s">
        <v>43</v>
      </c>
      <c r="C204" s="2">
        <v>45</v>
      </c>
      <c r="D204" s="2">
        <v>8.5</v>
      </c>
      <c r="E204" s="2">
        <v>96.8</v>
      </c>
    </row>
    <row r="205" spans="1:5" x14ac:dyDescent="0.25">
      <c r="A205" s="4">
        <v>46295</v>
      </c>
      <c r="B205" s="2" t="s">
        <v>62</v>
      </c>
      <c r="C205" s="2">
        <v>47</v>
      </c>
      <c r="D205" s="2">
        <v>8.3000000000000007</v>
      </c>
      <c r="E205" s="2">
        <v>92</v>
      </c>
    </row>
    <row r="206" spans="1:5" x14ac:dyDescent="0.25">
      <c r="A206" s="4">
        <v>46295</v>
      </c>
      <c r="B206" s="2" t="s">
        <v>52</v>
      </c>
      <c r="C206" s="2">
        <v>46</v>
      </c>
      <c r="D206" s="2">
        <v>8.9</v>
      </c>
      <c r="E206" s="2">
        <v>88.8</v>
      </c>
    </row>
    <row r="207" spans="1:5" x14ac:dyDescent="0.25">
      <c r="A207" s="4">
        <v>46295</v>
      </c>
      <c r="B207" s="2" t="s">
        <v>38</v>
      </c>
      <c r="C207" s="2">
        <v>46</v>
      </c>
      <c r="D207" s="2">
        <v>8.5</v>
      </c>
      <c r="E207" s="2">
        <v>88.2</v>
      </c>
    </row>
    <row r="208" spans="1:5" x14ac:dyDescent="0.25">
      <c r="A208" s="4">
        <v>46295</v>
      </c>
      <c r="B208" s="2" t="s">
        <v>65</v>
      </c>
      <c r="C208" s="2">
        <v>46</v>
      </c>
      <c r="D208" s="2">
        <v>8.1999999999999993</v>
      </c>
      <c r="E208" s="2">
        <v>95.8</v>
      </c>
    </row>
    <row r="209" spans="1:5" x14ac:dyDescent="0.25">
      <c r="A209" s="4">
        <v>46295</v>
      </c>
      <c r="B209" s="2" t="s">
        <v>83</v>
      </c>
      <c r="C209" s="2">
        <v>50</v>
      </c>
      <c r="D209" s="2">
        <v>8.4</v>
      </c>
      <c r="E209" s="2">
        <v>89.7</v>
      </c>
    </row>
    <row r="210" spans="1:5" x14ac:dyDescent="0.25">
      <c r="A210" s="4">
        <v>46295</v>
      </c>
      <c r="B210" s="2" t="s">
        <v>109</v>
      </c>
      <c r="C210" s="2">
        <v>39</v>
      </c>
      <c r="D210" s="2">
        <v>7.9</v>
      </c>
      <c r="E210" s="2">
        <v>95.5</v>
      </c>
    </row>
    <row r="211" spans="1:5" x14ac:dyDescent="0.25">
      <c r="A211" s="4">
        <v>46296</v>
      </c>
      <c r="B211" s="2" t="s">
        <v>56</v>
      </c>
      <c r="C211" s="2">
        <v>42</v>
      </c>
      <c r="D211" s="2">
        <v>8.9</v>
      </c>
      <c r="E211" s="2">
        <v>89.8</v>
      </c>
    </row>
    <row r="212" spans="1:5" x14ac:dyDescent="0.25">
      <c r="A212" s="4">
        <v>46296</v>
      </c>
      <c r="B212" s="2" t="s">
        <v>48</v>
      </c>
      <c r="C212" s="2">
        <v>56</v>
      </c>
      <c r="D212" s="2">
        <v>7.7</v>
      </c>
      <c r="E212" s="2">
        <v>93.8</v>
      </c>
    </row>
    <row r="213" spans="1:5" x14ac:dyDescent="0.25">
      <c r="A213" s="4">
        <v>46296</v>
      </c>
      <c r="B213" s="2" t="s">
        <v>43</v>
      </c>
      <c r="C213" s="2">
        <v>51</v>
      </c>
      <c r="D213" s="2">
        <v>8.1999999999999993</v>
      </c>
      <c r="E213" s="2">
        <v>89.8</v>
      </c>
    </row>
    <row r="214" spans="1:5" x14ac:dyDescent="0.25">
      <c r="A214" s="4">
        <v>46296</v>
      </c>
      <c r="B214" s="2" t="s">
        <v>62</v>
      </c>
      <c r="C214" s="2">
        <v>51</v>
      </c>
      <c r="D214" s="2">
        <v>7.5</v>
      </c>
      <c r="E214" s="2">
        <v>93.6</v>
      </c>
    </row>
    <row r="215" spans="1:5" x14ac:dyDescent="0.25">
      <c r="A215" s="4">
        <v>46296</v>
      </c>
      <c r="B215" s="2" t="s">
        <v>52</v>
      </c>
      <c r="C215" s="2">
        <v>53</v>
      </c>
      <c r="D215" s="2">
        <v>7.8</v>
      </c>
      <c r="E215" s="2">
        <v>98.8</v>
      </c>
    </row>
    <row r="216" spans="1:5" x14ac:dyDescent="0.25">
      <c r="A216" s="4">
        <v>46296</v>
      </c>
      <c r="B216" s="2" t="s">
        <v>65</v>
      </c>
      <c r="C216" s="2">
        <v>55</v>
      </c>
      <c r="D216" s="2">
        <v>8.6999999999999993</v>
      </c>
      <c r="E216" s="2">
        <v>95.2</v>
      </c>
    </row>
    <row r="217" spans="1:5" x14ac:dyDescent="0.25">
      <c r="A217" s="4">
        <v>46296</v>
      </c>
      <c r="B217" s="2" t="s">
        <v>83</v>
      </c>
      <c r="C217" s="2">
        <v>49</v>
      </c>
      <c r="D217" s="2">
        <v>7.9</v>
      </c>
      <c r="E217" s="2">
        <v>89.6</v>
      </c>
    </row>
    <row r="218" spans="1:5" x14ac:dyDescent="0.25">
      <c r="A218" s="4">
        <v>46296</v>
      </c>
      <c r="B218" s="2" t="s">
        <v>109</v>
      </c>
      <c r="C218" s="2">
        <v>33</v>
      </c>
      <c r="D218" s="2">
        <v>7.7</v>
      </c>
      <c r="E218" s="2">
        <v>92.3</v>
      </c>
    </row>
    <row r="219" spans="1:5" x14ac:dyDescent="0.25">
      <c r="A219" s="4">
        <v>46297</v>
      </c>
      <c r="B219" s="2" t="s">
        <v>56</v>
      </c>
      <c r="C219" s="2">
        <v>48</v>
      </c>
      <c r="D219" s="2">
        <v>7.7</v>
      </c>
      <c r="E219" s="2">
        <v>99.6</v>
      </c>
    </row>
    <row r="220" spans="1:5" x14ac:dyDescent="0.25">
      <c r="A220" s="4">
        <v>46297</v>
      </c>
      <c r="B220" s="2" t="s">
        <v>48</v>
      </c>
      <c r="C220" s="2">
        <v>39</v>
      </c>
      <c r="D220" s="2">
        <v>9</v>
      </c>
      <c r="E220" s="2">
        <v>90.9</v>
      </c>
    </row>
    <row r="221" spans="1:5" x14ac:dyDescent="0.25">
      <c r="A221" s="4">
        <v>46297</v>
      </c>
      <c r="B221" s="2" t="s">
        <v>33</v>
      </c>
      <c r="C221" s="2">
        <v>45</v>
      </c>
      <c r="D221" s="2">
        <v>7.7</v>
      </c>
      <c r="E221" s="2">
        <v>92.4</v>
      </c>
    </row>
    <row r="222" spans="1:5" x14ac:dyDescent="0.25">
      <c r="A222" s="4">
        <v>46297</v>
      </c>
      <c r="B222" s="2" t="s">
        <v>62</v>
      </c>
      <c r="C222" s="2">
        <v>51</v>
      </c>
      <c r="D222" s="2">
        <v>7.4</v>
      </c>
      <c r="E222" s="2">
        <v>89.3</v>
      </c>
    </row>
    <row r="223" spans="1:5" x14ac:dyDescent="0.25">
      <c r="A223" s="4">
        <v>46297</v>
      </c>
      <c r="B223" s="2" t="s">
        <v>52</v>
      </c>
      <c r="C223" s="2">
        <v>52</v>
      </c>
      <c r="D223" s="2">
        <v>8.1</v>
      </c>
      <c r="E223" s="2">
        <v>90.8</v>
      </c>
    </row>
    <row r="224" spans="1:5" x14ac:dyDescent="0.25">
      <c r="A224" s="4">
        <v>46297</v>
      </c>
      <c r="B224" s="2" t="s">
        <v>38</v>
      </c>
      <c r="C224" s="2">
        <v>39</v>
      </c>
      <c r="D224" s="2">
        <v>8.1999999999999993</v>
      </c>
      <c r="E224" s="2">
        <v>88.9</v>
      </c>
    </row>
    <row r="225" spans="1:5" x14ac:dyDescent="0.25">
      <c r="A225" s="4">
        <v>46297</v>
      </c>
      <c r="B225" s="2" t="s">
        <v>65</v>
      </c>
      <c r="C225" s="2">
        <v>58</v>
      </c>
      <c r="D225" s="2">
        <v>9</v>
      </c>
      <c r="E225" s="2">
        <v>88.3</v>
      </c>
    </row>
    <row r="226" spans="1:5" x14ac:dyDescent="0.25">
      <c r="A226" s="4">
        <v>46297</v>
      </c>
      <c r="B226" s="2" t="s">
        <v>83</v>
      </c>
      <c r="C226" s="2">
        <v>36</v>
      </c>
      <c r="D226" s="2">
        <v>7.6</v>
      </c>
      <c r="E226" s="2">
        <v>92.6</v>
      </c>
    </row>
    <row r="227" spans="1:5" x14ac:dyDescent="0.25">
      <c r="A227" s="4">
        <v>46297</v>
      </c>
      <c r="B227" s="2" t="s">
        <v>109</v>
      </c>
      <c r="C227" s="2">
        <v>46</v>
      </c>
      <c r="D227" s="2">
        <v>7.6</v>
      </c>
      <c r="E227" s="2">
        <v>95.8</v>
      </c>
    </row>
    <row r="228" spans="1:5" x14ac:dyDescent="0.25">
      <c r="A228" s="4">
        <v>46300</v>
      </c>
      <c r="B228" s="2" t="s">
        <v>56</v>
      </c>
      <c r="C228" s="2">
        <v>37</v>
      </c>
      <c r="D228" s="2">
        <v>8.8000000000000007</v>
      </c>
      <c r="E228" s="2">
        <v>91.5</v>
      </c>
    </row>
    <row r="229" spans="1:5" x14ac:dyDescent="0.25">
      <c r="A229" s="4">
        <v>46300</v>
      </c>
      <c r="B229" s="2" t="s">
        <v>48</v>
      </c>
      <c r="C229" s="2">
        <v>47</v>
      </c>
      <c r="D229" s="2">
        <v>7.7</v>
      </c>
      <c r="E229" s="2">
        <v>89.7</v>
      </c>
    </row>
    <row r="230" spans="1:5" x14ac:dyDescent="0.25">
      <c r="A230" s="4">
        <v>46300</v>
      </c>
      <c r="B230" s="2" t="s">
        <v>33</v>
      </c>
      <c r="C230" s="2">
        <v>31</v>
      </c>
      <c r="D230" s="2">
        <v>7.4</v>
      </c>
      <c r="E230" s="2">
        <v>99</v>
      </c>
    </row>
    <row r="231" spans="1:5" x14ac:dyDescent="0.25">
      <c r="A231" s="4">
        <v>46300</v>
      </c>
      <c r="B231" s="2" t="s">
        <v>43</v>
      </c>
      <c r="C231" s="2">
        <v>48</v>
      </c>
      <c r="D231" s="2">
        <v>7.7</v>
      </c>
      <c r="E231" s="2">
        <v>99.6</v>
      </c>
    </row>
    <row r="232" spans="1:5" x14ac:dyDescent="0.25">
      <c r="A232" s="4">
        <v>46300</v>
      </c>
      <c r="B232" s="2" t="s">
        <v>62</v>
      </c>
      <c r="C232" s="2">
        <v>57</v>
      </c>
      <c r="D232" s="2">
        <v>8.6</v>
      </c>
      <c r="E232" s="2">
        <v>99.8</v>
      </c>
    </row>
    <row r="233" spans="1:5" x14ac:dyDescent="0.25">
      <c r="A233" s="4">
        <v>46300</v>
      </c>
      <c r="B233" s="2" t="s">
        <v>52</v>
      </c>
      <c r="C233" s="2">
        <v>47</v>
      </c>
      <c r="D233" s="2">
        <v>8.1999999999999993</v>
      </c>
      <c r="E233" s="2">
        <v>88.4</v>
      </c>
    </row>
    <row r="234" spans="1:5" x14ac:dyDescent="0.25">
      <c r="A234" s="4">
        <v>46300</v>
      </c>
      <c r="B234" s="2" t="s">
        <v>38</v>
      </c>
      <c r="C234" s="2">
        <v>28</v>
      </c>
      <c r="D234" s="2">
        <v>8</v>
      </c>
      <c r="E234" s="2">
        <v>96.6</v>
      </c>
    </row>
    <row r="235" spans="1:5" x14ac:dyDescent="0.25">
      <c r="A235" s="4">
        <v>46300</v>
      </c>
      <c r="B235" s="2" t="s">
        <v>65</v>
      </c>
      <c r="C235" s="2">
        <v>45</v>
      </c>
      <c r="D235" s="2">
        <v>8.5</v>
      </c>
      <c r="E235" s="2">
        <v>93</v>
      </c>
    </row>
    <row r="236" spans="1:5" x14ac:dyDescent="0.25">
      <c r="A236" s="4">
        <v>46300</v>
      </c>
      <c r="B236" s="2" t="s">
        <v>83</v>
      </c>
      <c r="C236" s="2">
        <v>36</v>
      </c>
      <c r="D236" s="2">
        <v>7.4</v>
      </c>
      <c r="E236" s="2">
        <v>98.8</v>
      </c>
    </row>
    <row r="237" spans="1:5" x14ac:dyDescent="0.25">
      <c r="A237" s="4">
        <v>46300</v>
      </c>
      <c r="B237" s="2" t="s">
        <v>109</v>
      </c>
      <c r="C237" s="2">
        <v>33</v>
      </c>
      <c r="D237" s="2">
        <v>7.5</v>
      </c>
      <c r="E237" s="2">
        <v>93</v>
      </c>
    </row>
    <row r="238" spans="1:5" x14ac:dyDescent="0.25">
      <c r="A238" s="4">
        <v>46301</v>
      </c>
      <c r="B238" s="2" t="s">
        <v>56</v>
      </c>
      <c r="C238" s="2">
        <v>47</v>
      </c>
      <c r="D238" s="2">
        <v>8.3000000000000007</v>
      </c>
      <c r="E238" s="2">
        <v>96.6</v>
      </c>
    </row>
    <row r="239" spans="1:5" x14ac:dyDescent="0.25">
      <c r="A239" s="4">
        <v>46301</v>
      </c>
      <c r="B239" s="2" t="s">
        <v>48</v>
      </c>
      <c r="C239" s="2">
        <v>41</v>
      </c>
      <c r="D239" s="2">
        <v>8.3000000000000007</v>
      </c>
      <c r="E239" s="2">
        <v>91.4</v>
      </c>
    </row>
    <row r="240" spans="1:5" x14ac:dyDescent="0.25">
      <c r="A240" s="4">
        <v>46301</v>
      </c>
      <c r="B240" s="2" t="s">
        <v>33</v>
      </c>
      <c r="C240" s="2">
        <v>38</v>
      </c>
      <c r="D240" s="2">
        <v>9</v>
      </c>
      <c r="E240" s="2">
        <v>95.3</v>
      </c>
    </row>
    <row r="241" spans="1:5" x14ac:dyDescent="0.25">
      <c r="A241" s="4">
        <v>46301</v>
      </c>
      <c r="B241" s="2" t="s">
        <v>43</v>
      </c>
      <c r="C241" s="2">
        <v>52</v>
      </c>
      <c r="D241" s="2">
        <v>8.6</v>
      </c>
      <c r="E241" s="2">
        <v>93.8</v>
      </c>
    </row>
    <row r="242" spans="1:5" x14ac:dyDescent="0.25">
      <c r="A242" s="4">
        <v>46301</v>
      </c>
      <c r="B242" s="2" t="s">
        <v>62</v>
      </c>
      <c r="C242" s="2">
        <v>44</v>
      </c>
      <c r="D242" s="2">
        <v>7.4</v>
      </c>
      <c r="E242" s="2">
        <v>92.1</v>
      </c>
    </row>
    <row r="243" spans="1:5" x14ac:dyDescent="0.25">
      <c r="A243" s="4">
        <v>46301</v>
      </c>
      <c r="B243" s="2" t="s">
        <v>52</v>
      </c>
      <c r="C243" s="2">
        <v>42</v>
      </c>
      <c r="D243" s="2">
        <v>8.4</v>
      </c>
      <c r="E243" s="2">
        <v>92.3</v>
      </c>
    </row>
    <row r="244" spans="1:5" x14ac:dyDescent="0.25">
      <c r="A244" s="4">
        <v>46301</v>
      </c>
      <c r="B244" s="2" t="s">
        <v>38</v>
      </c>
      <c r="C244" s="2">
        <v>47</v>
      </c>
      <c r="D244" s="2">
        <v>9</v>
      </c>
      <c r="E244" s="2">
        <v>98.3</v>
      </c>
    </row>
    <row r="245" spans="1:5" x14ac:dyDescent="0.25">
      <c r="A245" s="4">
        <v>46301</v>
      </c>
      <c r="B245" s="2" t="s">
        <v>65</v>
      </c>
      <c r="C245" s="2">
        <v>44</v>
      </c>
      <c r="D245" s="2">
        <v>8.1</v>
      </c>
      <c r="E245" s="2">
        <v>90.6</v>
      </c>
    </row>
    <row r="246" spans="1:5" x14ac:dyDescent="0.25">
      <c r="A246" s="4">
        <v>46301</v>
      </c>
      <c r="B246" s="2" t="s">
        <v>83</v>
      </c>
      <c r="C246" s="2">
        <v>46</v>
      </c>
      <c r="D246" s="2">
        <v>7.4</v>
      </c>
      <c r="E246" s="2">
        <v>93.5</v>
      </c>
    </row>
    <row r="247" spans="1:5" x14ac:dyDescent="0.25">
      <c r="A247" s="4">
        <v>46301</v>
      </c>
      <c r="B247" s="2" t="s">
        <v>109</v>
      </c>
      <c r="C247" s="2">
        <v>41</v>
      </c>
      <c r="D247" s="2">
        <v>8.6999999999999993</v>
      </c>
      <c r="E247" s="2">
        <v>97.2</v>
      </c>
    </row>
    <row r="248" spans="1:5" x14ac:dyDescent="0.25">
      <c r="A248" s="4">
        <v>46302</v>
      </c>
      <c r="B248" s="2" t="s">
        <v>56</v>
      </c>
      <c r="C248" s="2">
        <v>33</v>
      </c>
      <c r="D248" s="2">
        <v>7.9</v>
      </c>
      <c r="E248" s="2">
        <v>89.3</v>
      </c>
    </row>
    <row r="249" spans="1:5" x14ac:dyDescent="0.25">
      <c r="A249" s="4">
        <v>46302</v>
      </c>
      <c r="B249" s="2" t="s">
        <v>48</v>
      </c>
      <c r="C249" s="2">
        <v>39</v>
      </c>
      <c r="D249" s="2">
        <v>8.8000000000000007</v>
      </c>
      <c r="E249" s="2">
        <v>89.7</v>
      </c>
    </row>
    <row r="250" spans="1:5" x14ac:dyDescent="0.25">
      <c r="A250" s="4">
        <v>46302</v>
      </c>
      <c r="B250" s="2" t="s">
        <v>33</v>
      </c>
      <c r="C250" s="2">
        <v>45</v>
      </c>
      <c r="D250" s="2">
        <v>8.9</v>
      </c>
      <c r="E250" s="2">
        <v>96.1</v>
      </c>
    </row>
    <row r="251" spans="1:5" x14ac:dyDescent="0.25">
      <c r="A251" s="4">
        <v>46302</v>
      </c>
      <c r="B251" s="2" t="s">
        <v>43</v>
      </c>
      <c r="C251" s="2">
        <v>42</v>
      </c>
      <c r="D251" s="2">
        <v>8.6999999999999993</v>
      </c>
      <c r="E251" s="2">
        <v>97.9</v>
      </c>
    </row>
    <row r="252" spans="1:5" x14ac:dyDescent="0.25">
      <c r="A252" s="4">
        <v>46302</v>
      </c>
      <c r="B252" s="2" t="s">
        <v>62</v>
      </c>
      <c r="C252" s="2">
        <v>57</v>
      </c>
      <c r="D252" s="2">
        <v>8.3000000000000007</v>
      </c>
      <c r="E252" s="2">
        <v>89.7</v>
      </c>
    </row>
    <row r="253" spans="1:5" x14ac:dyDescent="0.25">
      <c r="A253" s="4">
        <v>46302</v>
      </c>
      <c r="B253" s="2" t="s">
        <v>52</v>
      </c>
      <c r="C253" s="2">
        <v>47</v>
      </c>
      <c r="D253" s="2">
        <v>8</v>
      </c>
      <c r="E253" s="2">
        <v>98.7</v>
      </c>
    </row>
    <row r="254" spans="1:5" x14ac:dyDescent="0.25">
      <c r="A254" s="4">
        <v>46302</v>
      </c>
      <c r="B254" s="2" t="s">
        <v>38</v>
      </c>
      <c r="C254" s="2">
        <v>43</v>
      </c>
      <c r="D254" s="2">
        <v>8.8000000000000007</v>
      </c>
      <c r="E254" s="2">
        <v>97.4</v>
      </c>
    </row>
    <row r="255" spans="1:5" x14ac:dyDescent="0.25">
      <c r="A255" s="4">
        <v>46302</v>
      </c>
      <c r="B255" s="2" t="s">
        <v>65</v>
      </c>
      <c r="C255" s="2">
        <v>57</v>
      </c>
      <c r="D255" s="2">
        <v>8.1999999999999993</v>
      </c>
      <c r="E255" s="2">
        <v>97.5</v>
      </c>
    </row>
    <row r="256" spans="1:5" x14ac:dyDescent="0.25">
      <c r="A256" s="4">
        <v>46302</v>
      </c>
      <c r="B256" s="2" t="s">
        <v>109</v>
      </c>
      <c r="C256" s="2">
        <v>28</v>
      </c>
      <c r="D256" s="2">
        <v>7.9</v>
      </c>
      <c r="E256" s="2">
        <v>96.4</v>
      </c>
    </row>
    <row r="257" spans="1:5" x14ac:dyDescent="0.25">
      <c r="A257" s="4">
        <v>46303</v>
      </c>
      <c r="B257" s="2" t="s">
        <v>56</v>
      </c>
      <c r="C257" s="2">
        <v>42</v>
      </c>
      <c r="D257" s="2">
        <v>8.9</v>
      </c>
      <c r="E257" s="2">
        <v>93.7</v>
      </c>
    </row>
    <row r="258" spans="1:5" x14ac:dyDescent="0.25">
      <c r="A258" s="4">
        <v>46303</v>
      </c>
      <c r="B258" s="2" t="s">
        <v>48</v>
      </c>
      <c r="C258" s="2">
        <v>54</v>
      </c>
      <c r="D258" s="2">
        <v>9</v>
      </c>
      <c r="E258" s="2">
        <v>88.3</v>
      </c>
    </row>
    <row r="259" spans="1:5" x14ac:dyDescent="0.25">
      <c r="A259" s="4">
        <v>46303</v>
      </c>
      <c r="B259" s="2" t="s">
        <v>33</v>
      </c>
      <c r="C259" s="2">
        <v>30</v>
      </c>
      <c r="D259" s="2">
        <v>7.9</v>
      </c>
      <c r="E259" s="2">
        <v>95.9</v>
      </c>
    </row>
    <row r="260" spans="1:5" x14ac:dyDescent="0.25">
      <c r="A260" s="4">
        <v>46303</v>
      </c>
      <c r="B260" s="2" t="s">
        <v>43</v>
      </c>
      <c r="C260" s="2">
        <v>37</v>
      </c>
      <c r="D260" s="2">
        <v>8.5</v>
      </c>
      <c r="E260" s="2">
        <v>95.8</v>
      </c>
    </row>
    <row r="261" spans="1:5" x14ac:dyDescent="0.25">
      <c r="A261" s="4">
        <v>46303</v>
      </c>
      <c r="B261" s="2" t="s">
        <v>62</v>
      </c>
      <c r="C261" s="2">
        <v>52</v>
      </c>
      <c r="D261" s="2">
        <v>8.3000000000000007</v>
      </c>
      <c r="E261" s="2">
        <v>95.6</v>
      </c>
    </row>
    <row r="262" spans="1:5" x14ac:dyDescent="0.25">
      <c r="A262" s="4">
        <v>46303</v>
      </c>
      <c r="B262" s="2" t="s">
        <v>52</v>
      </c>
      <c r="C262" s="2">
        <v>48</v>
      </c>
      <c r="D262" s="2">
        <v>8.6</v>
      </c>
      <c r="E262" s="2">
        <v>88.4</v>
      </c>
    </row>
    <row r="263" spans="1:5" x14ac:dyDescent="0.25">
      <c r="A263" s="4">
        <v>46303</v>
      </c>
      <c r="B263" s="2" t="s">
        <v>38</v>
      </c>
      <c r="C263" s="2">
        <v>43</v>
      </c>
      <c r="D263" s="2">
        <v>7.9</v>
      </c>
      <c r="E263" s="2">
        <v>99.5</v>
      </c>
    </row>
    <row r="264" spans="1:5" x14ac:dyDescent="0.25">
      <c r="A264" s="4">
        <v>46303</v>
      </c>
      <c r="B264" s="2" t="s">
        <v>65</v>
      </c>
      <c r="C264" s="2">
        <v>44</v>
      </c>
      <c r="D264" s="2">
        <v>7.8</v>
      </c>
      <c r="E264" s="2">
        <v>91.5</v>
      </c>
    </row>
    <row r="265" spans="1:5" x14ac:dyDescent="0.25">
      <c r="A265" s="4">
        <v>46303</v>
      </c>
      <c r="B265" s="2" t="s">
        <v>83</v>
      </c>
      <c r="C265" s="2">
        <v>46</v>
      </c>
      <c r="D265" s="2">
        <v>7.8</v>
      </c>
      <c r="E265" s="2">
        <v>94.1</v>
      </c>
    </row>
    <row r="266" spans="1:5" x14ac:dyDescent="0.25">
      <c r="A266" s="4">
        <v>46303</v>
      </c>
      <c r="B266" s="2" t="s">
        <v>109</v>
      </c>
      <c r="C266" s="2">
        <v>46</v>
      </c>
      <c r="D266" s="2">
        <v>8.6999999999999993</v>
      </c>
      <c r="E266" s="2">
        <v>92.9</v>
      </c>
    </row>
    <row r="267" spans="1:5" x14ac:dyDescent="0.25">
      <c r="A267" s="4">
        <v>46304</v>
      </c>
      <c r="B267" s="2" t="s">
        <v>56</v>
      </c>
      <c r="C267" s="2">
        <v>53</v>
      </c>
      <c r="D267" s="2">
        <v>8.3000000000000007</v>
      </c>
      <c r="E267" s="2">
        <v>93.6</v>
      </c>
    </row>
    <row r="268" spans="1:5" x14ac:dyDescent="0.25">
      <c r="A268" s="4">
        <v>46304</v>
      </c>
      <c r="B268" s="2" t="s">
        <v>48</v>
      </c>
      <c r="C268" s="2">
        <v>51</v>
      </c>
      <c r="D268" s="2">
        <v>8.1999999999999993</v>
      </c>
      <c r="E268" s="2">
        <v>88.6</v>
      </c>
    </row>
    <row r="269" spans="1:5" x14ac:dyDescent="0.25">
      <c r="A269" s="4">
        <v>46304</v>
      </c>
      <c r="B269" s="2" t="s">
        <v>33</v>
      </c>
      <c r="C269" s="2">
        <v>30</v>
      </c>
      <c r="D269" s="2">
        <v>8.1999999999999993</v>
      </c>
      <c r="E269" s="2">
        <v>92.6</v>
      </c>
    </row>
    <row r="270" spans="1:5" x14ac:dyDescent="0.25">
      <c r="A270" s="4">
        <v>46304</v>
      </c>
      <c r="B270" s="2" t="s">
        <v>43</v>
      </c>
      <c r="C270" s="2">
        <v>38</v>
      </c>
      <c r="D270" s="2">
        <v>8.1</v>
      </c>
      <c r="E270" s="2">
        <v>92.6</v>
      </c>
    </row>
    <row r="271" spans="1:5" x14ac:dyDescent="0.25">
      <c r="A271" s="4">
        <v>46304</v>
      </c>
      <c r="B271" s="2" t="s">
        <v>62</v>
      </c>
      <c r="C271" s="2">
        <v>42</v>
      </c>
      <c r="D271" s="2">
        <v>7.5</v>
      </c>
      <c r="E271" s="2">
        <v>90.6</v>
      </c>
    </row>
    <row r="272" spans="1:5" x14ac:dyDescent="0.25">
      <c r="A272" s="4">
        <v>46304</v>
      </c>
      <c r="B272" s="2" t="s">
        <v>52</v>
      </c>
      <c r="C272" s="2">
        <v>35</v>
      </c>
      <c r="D272" s="2">
        <v>8.3000000000000007</v>
      </c>
      <c r="E272" s="2">
        <v>93.1</v>
      </c>
    </row>
    <row r="273" spans="1:5" x14ac:dyDescent="0.25">
      <c r="A273" s="4">
        <v>46304</v>
      </c>
      <c r="B273" s="2" t="s">
        <v>38</v>
      </c>
      <c r="C273" s="2">
        <v>41</v>
      </c>
      <c r="D273" s="2">
        <v>8.4</v>
      </c>
      <c r="E273" s="2">
        <v>90.7</v>
      </c>
    </row>
    <row r="274" spans="1:5" x14ac:dyDescent="0.25">
      <c r="A274" s="4">
        <v>46304</v>
      </c>
      <c r="B274" s="2" t="s">
        <v>65</v>
      </c>
      <c r="C274" s="2">
        <v>56</v>
      </c>
      <c r="D274" s="2">
        <v>7.6</v>
      </c>
      <c r="E274" s="2">
        <v>89.5</v>
      </c>
    </row>
    <row r="275" spans="1:5" x14ac:dyDescent="0.25">
      <c r="A275" s="4">
        <v>46304</v>
      </c>
      <c r="B275" s="2" t="s">
        <v>83</v>
      </c>
      <c r="C275" s="2">
        <v>38</v>
      </c>
      <c r="D275" s="2">
        <v>7.5</v>
      </c>
      <c r="E275" s="2">
        <v>88.3</v>
      </c>
    </row>
    <row r="276" spans="1:5" x14ac:dyDescent="0.25">
      <c r="A276" s="4">
        <v>46304</v>
      </c>
      <c r="B276" s="2" t="s">
        <v>109</v>
      </c>
      <c r="C276" s="2">
        <v>44</v>
      </c>
      <c r="D276" s="2">
        <v>7.9</v>
      </c>
      <c r="E276" s="2">
        <v>94.4</v>
      </c>
    </row>
    <row r="277" spans="1:5" x14ac:dyDescent="0.25">
      <c r="A277" s="4">
        <v>46307</v>
      </c>
      <c r="B277" s="2" t="s">
        <v>56</v>
      </c>
      <c r="C277" s="2">
        <v>33</v>
      </c>
      <c r="D277" s="2">
        <v>7.3</v>
      </c>
      <c r="E277" s="2">
        <v>98.8</v>
      </c>
    </row>
    <row r="278" spans="1:5" x14ac:dyDescent="0.25">
      <c r="A278" s="4">
        <v>46307</v>
      </c>
      <c r="B278" s="2" t="s">
        <v>48</v>
      </c>
      <c r="C278" s="2">
        <v>39</v>
      </c>
      <c r="D278" s="2">
        <v>7.5</v>
      </c>
      <c r="E278" s="2">
        <v>98.8</v>
      </c>
    </row>
    <row r="279" spans="1:5" x14ac:dyDescent="0.25">
      <c r="A279" s="4">
        <v>46307</v>
      </c>
      <c r="B279" s="2" t="s">
        <v>33</v>
      </c>
      <c r="C279" s="2">
        <v>46</v>
      </c>
      <c r="D279" s="2">
        <v>7.6</v>
      </c>
      <c r="E279" s="2">
        <v>94.7</v>
      </c>
    </row>
    <row r="280" spans="1:5" x14ac:dyDescent="0.25">
      <c r="A280" s="4">
        <v>46307</v>
      </c>
      <c r="B280" s="2" t="s">
        <v>43</v>
      </c>
      <c r="C280" s="2">
        <v>48</v>
      </c>
      <c r="D280" s="2">
        <v>8.5</v>
      </c>
      <c r="E280" s="2">
        <v>90.5</v>
      </c>
    </row>
    <row r="281" spans="1:5" x14ac:dyDescent="0.25">
      <c r="A281" s="4">
        <v>46307</v>
      </c>
      <c r="B281" s="2" t="s">
        <v>62</v>
      </c>
      <c r="C281" s="2">
        <v>51</v>
      </c>
      <c r="D281" s="2">
        <v>8.6999999999999993</v>
      </c>
      <c r="E281" s="2">
        <v>88.2</v>
      </c>
    </row>
    <row r="282" spans="1:5" x14ac:dyDescent="0.25">
      <c r="A282" s="4">
        <v>46307</v>
      </c>
      <c r="B282" s="2" t="s">
        <v>52</v>
      </c>
      <c r="C282" s="2">
        <v>40</v>
      </c>
      <c r="D282" s="2">
        <v>8.8000000000000007</v>
      </c>
      <c r="E282" s="2">
        <v>90.8</v>
      </c>
    </row>
    <row r="283" spans="1:5" x14ac:dyDescent="0.25">
      <c r="A283" s="4">
        <v>46307</v>
      </c>
      <c r="B283" s="2" t="s">
        <v>38</v>
      </c>
      <c r="C283" s="2">
        <v>46</v>
      </c>
      <c r="D283" s="2">
        <v>8</v>
      </c>
      <c r="E283" s="2">
        <v>89.9</v>
      </c>
    </row>
    <row r="284" spans="1:5" x14ac:dyDescent="0.25">
      <c r="A284" s="4">
        <v>46307</v>
      </c>
      <c r="B284" s="2" t="s">
        <v>65</v>
      </c>
      <c r="C284" s="2">
        <v>46</v>
      </c>
      <c r="D284" s="2">
        <v>8.4</v>
      </c>
      <c r="E284" s="2">
        <v>95.1</v>
      </c>
    </row>
    <row r="285" spans="1:5" x14ac:dyDescent="0.25">
      <c r="A285" s="4">
        <v>46307</v>
      </c>
      <c r="B285" s="2" t="s">
        <v>83</v>
      </c>
      <c r="C285" s="2">
        <v>49</v>
      </c>
      <c r="D285" s="2">
        <v>7.5</v>
      </c>
      <c r="E285" s="2">
        <v>93</v>
      </c>
    </row>
    <row r="286" spans="1:5" x14ac:dyDescent="0.25">
      <c r="A286" s="4">
        <v>46307</v>
      </c>
      <c r="B286" s="2" t="s">
        <v>109</v>
      </c>
      <c r="C286" s="2">
        <v>45</v>
      </c>
      <c r="D286" s="2">
        <v>7.4</v>
      </c>
      <c r="E286" s="2">
        <v>89.1</v>
      </c>
    </row>
    <row r="287" spans="1:5" x14ac:dyDescent="0.25">
      <c r="A287" s="4">
        <v>46308</v>
      </c>
      <c r="B287" s="2" t="s">
        <v>56</v>
      </c>
      <c r="C287" s="2">
        <v>49</v>
      </c>
      <c r="D287" s="2">
        <v>8.3000000000000007</v>
      </c>
      <c r="E287" s="2">
        <v>93.4</v>
      </c>
    </row>
    <row r="288" spans="1:5" x14ac:dyDescent="0.25">
      <c r="A288" s="4">
        <v>46308</v>
      </c>
      <c r="B288" s="2" t="s">
        <v>48</v>
      </c>
      <c r="C288" s="2">
        <v>41</v>
      </c>
      <c r="D288" s="2">
        <v>8.3000000000000007</v>
      </c>
      <c r="E288" s="2">
        <v>93.7</v>
      </c>
    </row>
    <row r="289" spans="1:5" x14ac:dyDescent="0.25">
      <c r="A289" s="4">
        <v>46308</v>
      </c>
      <c r="B289" s="2" t="s">
        <v>33</v>
      </c>
      <c r="C289" s="2">
        <v>40</v>
      </c>
      <c r="D289" s="2">
        <v>7.6</v>
      </c>
      <c r="E289" s="2">
        <v>93.6</v>
      </c>
    </row>
    <row r="290" spans="1:5" x14ac:dyDescent="0.25">
      <c r="A290" s="4">
        <v>46308</v>
      </c>
      <c r="B290" s="2" t="s">
        <v>43</v>
      </c>
      <c r="C290" s="2">
        <v>36</v>
      </c>
      <c r="D290" s="2">
        <v>7.4</v>
      </c>
      <c r="E290" s="2">
        <v>95</v>
      </c>
    </row>
    <row r="291" spans="1:5" x14ac:dyDescent="0.25">
      <c r="A291" s="4">
        <v>46308</v>
      </c>
      <c r="B291" s="2" t="s">
        <v>62</v>
      </c>
      <c r="C291" s="2">
        <v>44</v>
      </c>
      <c r="D291" s="2">
        <v>8.3000000000000007</v>
      </c>
      <c r="E291" s="2">
        <v>93.8</v>
      </c>
    </row>
    <row r="292" spans="1:5" x14ac:dyDescent="0.25">
      <c r="A292" s="4">
        <v>46308</v>
      </c>
      <c r="B292" s="2" t="s">
        <v>52</v>
      </c>
      <c r="C292" s="2">
        <v>46</v>
      </c>
      <c r="D292" s="2">
        <v>7.6</v>
      </c>
      <c r="E292" s="2">
        <v>89.7</v>
      </c>
    </row>
    <row r="293" spans="1:5" x14ac:dyDescent="0.25">
      <c r="A293" s="4">
        <v>46308</v>
      </c>
      <c r="B293" s="2" t="s">
        <v>38</v>
      </c>
      <c r="C293" s="2">
        <v>39</v>
      </c>
      <c r="D293" s="2">
        <v>8.4</v>
      </c>
      <c r="E293" s="2">
        <v>96.6</v>
      </c>
    </row>
    <row r="294" spans="1:5" x14ac:dyDescent="0.25">
      <c r="A294" s="4">
        <v>46308</v>
      </c>
      <c r="B294" s="2" t="s">
        <v>65</v>
      </c>
      <c r="C294" s="2">
        <v>58</v>
      </c>
      <c r="D294" s="2">
        <v>8.3000000000000007</v>
      </c>
      <c r="E294" s="2">
        <v>92.3</v>
      </c>
    </row>
    <row r="295" spans="1:5" x14ac:dyDescent="0.25">
      <c r="A295" s="4">
        <v>46308</v>
      </c>
      <c r="B295" s="2" t="s">
        <v>83</v>
      </c>
      <c r="C295" s="2">
        <v>38</v>
      </c>
      <c r="D295" s="2">
        <v>7.8</v>
      </c>
      <c r="E295" s="2">
        <v>94.1</v>
      </c>
    </row>
    <row r="296" spans="1:5" x14ac:dyDescent="0.25">
      <c r="A296" s="4">
        <v>46308</v>
      </c>
      <c r="B296" s="2" t="s">
        <v>109</v>
      </c>
      <c r="C296" s="2">
        <v>36</v>
      </c>
      <c r="D296" s="2">
        <v>8.3000000000000007</v>
      </c>
      <c r="E296" s="2">
        <v>91.2</v>
      </c>
    </row>
    <row r="297" spans="1:5" x14ac:dyDescent="0.25">
      <c r="A297" s="4">
        <v>46309</v>
      </c>
      <c r="B297" s="2" t="s">
        <v>56</v>
      </c>
      <c r="C297" s="2">
        <v>41</v>
      </c>
      <c r="D297" s="2">
        <v>7.4</v>
      </c>
      <c r="E297" s="2">
        <v>96.2</v>
      </c>
    </row>
    <row r="298" spans="1:5" x14ac:dyDescent="0.25">
      <c r="A298" s="4">
        <v>46309</v>
      </c>
      <c r="B298" s="2" t="s">
        <v>33</v>
      </c>
      <c r="C298" s="2">
        <v>31</v>
      </c>
      <c r="D298" s="2">
        <v>8.9</v>
      </c>
      <c r="E298" s="2">
        <v>91</v>
      </c>
    </row>
    <row r="299" spans="1:5" x14ac:dyDescent="0.25">
      <c r="A299" s="4">
        <v>46309</v>
      </c>
      <c r="B299" s="2" t="s">
        <v>43</v>
      </c>
      <c r="C299" s="2">
        <v>39</v>
      </c>
      <c r="D299" s="2">
        <v>8.9</v>
      </c>
      <c r="E299" s="2">
        <v>93.4</v>
      </c>
    </row>
    <row r="300" spans="1:5" x14ac:dyDescent="0.25">
      <c r="A300" s="4">
        <v>46309</v>
      </c>
      <c r="B300" s="2" t="s">
        <v>62</v>
      </c>
      <c r="C300" s="2">
        <v>50</v>
      </c>
      <c r="D300" s="2">
        <v>7.8</v>
      </c>
      <c r="E300" s="2">
        <v>92.9</v>
      </c>
    </row>
    <row r="301" spans="1:5" x14ac:dyDescent="0.25">
      <c r="A301" s="4">
        <v>46309</v>
      </c>
      <c r="B301" s="2" t="s">
        <v>52</v>
      </c>
      <c r="C301" s="2">
        <v>53</v>
      </c>
      <c r="D301" s="2">
        <v>7.5</v>
      </c>
      <c r="E301" s="2">
        <v>93.1</v>
      </c>
    </row>
    <row r="302" spans="1:5" x14ac:dyDescent="0.25">
      <c r="A302" s="4">
        <v>46309</v>
      </c>
      <c r="B302" s="2" t="s">
        <v>38</v>
      </c>
      <c r="C302" s="2">
        <v>43</v>
      </c>
      <c r="D302" s="2">
        <v>8.5</v>
      </c>
      <c r="E302" s="2">
        <v>97.5</v>
      </c>
    </row>
    <row r="303" spans="1:5" x14ac:dyDescent="0.25">
      <c r="A303" s="4">
        <v>46309</v>
      </c>
      <c r="B303" s="2" t="s">
        <v>65</v>
      </c>
      <c r="C303" s="2">
        <v>57</v>
      </c>
      <c r="D303" s="2">
        <v>9</v>
      </c>
      <c r="E303" s="2">
        <v>98.2</v>
      </c>
    </row>
    <row r="304" spans="1:5" x14ac:dyDescent="0.25">
      <c r="A304" s="4">
        <v>46309</v>
      </c>
      <c r="B304" s="2" t="s">
        <v>83</v>
      </c>
      <c r="C304" s="2">
        <v>33</v>
      </c>
      <c r="D304" s="2">
        <v>7.8</v>
      </c>
      <c r="E304" s="2">
        <v>93</v>
      </c>
    </row>
    <row r="305" spans="1:5" x14ac:dyDescent="0.25">
      <c r="A305" s="4">
        <v>46309</v>
      </c>
      <c r="B305" s="2" t="s">
        <v>109</v>
      </c>
      <c r="C305" s="2">
        <v>30</v>
      </c>
      <c r="D305" s="2">
        <v>8.1999999999999993</v>
      </c>
      <c r="E305" s="2">
        <v>92.6</v>
      </c>
    </row>
    <row r="306" spans="1:5" x14ac:dyDescent="0.25">
      <c r="A306" s="4">
        <v>46310</v>
      </c>
      <c r="B306" s="2" t="s">
        <v>56</v>
      </c>
      <c r="C306" s="2">
        <v>48</v>
      </c>
      <c r="D306" s="2">
        <v>7.3</v>
      </c>
      <c r="E306" s="2">
        <v>92.5</v>
      </c>
    </row>
    <row r="307" spans="1:5" x14ac:dyDescent="0.25">
      <c r="A307" s="4">
        <v>46310</v>
      </c>
      <c r="B307" s="2" t="s">
        <v>48</v>
      </c>
      <c r="C307" s="2">
        <v>52</v>
      </c>
      <c r="D307" s="2">
        <v>8.3000000000000007</v>
      </c>
      <c r="E307" s="2">
        <v>91.5</v>
      </c>
    </row>
    <row r="308" spans="1:5" x14ac:dyDescent="0.25">
      <c r="A308" s="4">
        <v>46310</v>
      </c>
      <c r="B308" s="2" t="s">
        <v>33</v>
      </c>
      <c r="C308" s="2">
        <v>40</v>
      </c>
      <c r="D308" s="2">
        <v>7.4</v>
      </c>
      <c r="E308" s="2">
        <v>97.1</v>
      </c>
    </row>
    <row r="309" spans="1:5" x14ac:dyDescent="0.25">
      <c r="A309" s="4">
        <v>46310</v>
      </c>
      <c r="B309" s="2" t="s">
        <v>43</v>
      </c>
      <c r="C309" s="2">
        <v>48</v>
      </c>
      <c r="D309" s="2">
        <v>7.6</v>
      </c>
      <c r="E309" s="2">
        <v>96.9</v>
      </c>
    </row>
    <row r="310" spans="1:5" x14ac:dyDescent="0.25">
      <c r="A310" s="4">
        <v>46310</v>
      </c>
      <c r="B310" s="2" t="s">
        <v>62</v>
      </c>
      <c r="C310" s="2">
        <v>42</v>
      </c>
      <c r="D310" s="2">
        <v>7.6</v>
      </c>
      <c r="E310" s="2">
        <v>89.7</v>
      </c>
    </row>
    <row r="311" spans="1:5" x14ac:dyDescent="0.25">
      <c r="A311" s="4">
        <v>46310</v>
      </c>
      <c r="B311" s="2" t="s">
        <v>52</v>
      </c>
      <c r="C311" s="2">
        <v>50</v>
      </c>
      <c r="D311" s="2">
        <v>8.3000000000000007</v>
      </c>
      <c r="E311" s="2">
        <v>89.6</v>
      </c>
    </row>
    <row r="312" spans="1:5" x14ac:dyDescent="0.25">
      <c r="A312" s="4">
        <v>46310</v>
      </c>
      <c r="B312" s="2" t="s">
        <v>38</v>
      </c>
      <c r="C312" s="2">
        <v>46</v>
      </c>
      <c r="D312" s="2">
        <v>8.6</v>
      </c>
      <c r="E312" s="2">
        <v>93.2</v>
      </c>
    </row>
    <row r="313" spans="1:5" x14ac:dyDescent="0.25">
      <c r="A313" s="4">
        <v>46310</v>
      </c>
      <c r="B313" s="2" t="s">
        <v>65</v>
      </c>
      <c r="C313" s="2">
        <v>53</v>
      </c>
      <c r="D313" s="2">
        <v>7.8</v>
      </c>
      <c r="E313" s="2">
        <v>90.3</v>
      </c>
    </row>
    <row r="314" spans="1:5" x14ac:dyDescent="0.25">
      <c r="A314" s="4">
        <v>46310</v>
      </c>
      <c r="B314" s="2" t="s">
        <v>83</v>
      </c>
      <c r="C314" s="2">
        <v>34</v>
      </c>
      <c r="D314" s="2">
        <v>9</v>
      </c>
      <c r="E314" s="2">
        <v>99.1</v>
      </c>
    </row>
    <row r="315" spans="1:5" x14ac:dyDescent="0.25">
      <c r="A315" s="4">
        <v>46310</v>
      </c>
      <c r="B315" s="2" t="s">
        <v>109</v>
      </c>
      <c r="C315" s="2">
        <v>28</v>
      </c>
      <c r="D315" s="2">
        <v>8.8000000000000007</v>
      </c>
      <c r="E315" s="2">
        <v>90.8</v>
      </c>
    </row>
  </sheetData>
  <autoFilter ref="A1:E315" xr:uid="{00000000-0009-0000-0000-000003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7BC41-C801-489C-A25F-A906428ABB4E}">
  <dimension ref="A1:G18"/>
  <sheetViews>
    <sheetView workbookViewId="0">
      <selection sqref="A1:G11"/>
    </sheetView>
  </sheetViews>
  <sheetFormatPr defaultRowHeight="15" x14ac:dyDescent="0.25"/>
  <cols>
    <col min="1" max="1" width="17.28515625" bestFit="1" customWidth="1"/>
    <col min="2" max="2" width="12.28515625" bestFit="1" customWidth="1"/>
    <col min="3" max="3" width="15.42578125" customWidth="1"/>
    <col min="4" max="4" width="11.42578125" bestFit="1" customWidth="1"/>
    <col min="5" max="5" width="11.5703125" customWidth="1"/>
    <col min="6" max="6" width="13.85546875" bestFit="1" customWidth="1"/>
    <col min="7" max="7" width="13.28515625" bestFit="1" customWidth="1"/>
  </cols>
  <sheetData>
    <row r="1" spans="1:7" x14ac:dyDescent="0.25">
      <c r="A1" t="s">
        <v>1527</v>
      </c>
      <c r="B1" t="s">
        <v>1556</v>
      </c>
      <c r="C1" t="s">
        <v>1561</v>
      </c>
      <c r="D1" t="s">
        <v>1557</v>
      </c>
      <c r="E1" t="s">
        <v>1558</v>
      </c>
      <c r="F1" t="s">
        <v>1559</v>
      </c>
      <c r="G1" t="s">
        <v>1560</v>
      </c>
    </row>
    <row r="2" spans="1:7" x14ac:dyDescent="0.25">
      <c r="A2" t="str" cm="1">
        <f t="array" ref="A2:A11">Agents!A2:A11</f>
        <v>Rahul S</v>
      </c>
      <c r="B2" cm="1">
        <f t="array" ref="B2:B11">COUNTIF(Daily_Productivity!B2:B315,_xlfn.ANCHORARRAY(Productivity_Report!A2))</f>
        <v>31</v>
      </c>
      <c r="C2" cm="1">
        <f t="array" ref="C2:C11">SUMIF(Daily_Productivity!B2:B315,_xlfn.ANCHORARRAY(Productivity_Report!A2),Daily_Productivity!C2:C315)</f>
        <v>1331</v>
      </c>
      <c r="D2">
        <f>VLOOKUP(A2,Agents!$A$2:$C$11,3,0)</f>
        <v>45</v>
      </c>
      <c r="E2">
        <f>B2*D2</f>
        <v>1395</v>
      </c>
      <c r="F2" s="15">
        <f>C2/E2</f>
        <v>0.9541218637992831</v>
      </c>
      <c r="G2" s="16" cm="1">
        <f t="array" ref="G2:G11">AVERAGEIF(Daily_Productivity!B2:B315,_xlfn.ANCHORARRAY(Productivity_Report!A2),Daily_Productivity!E2:E315)</f>
        <v>93.57741935483871</v>
      </c>
    </row>
    <row r="3" spans="1:7" x14ac:dyDescent="0.25">
      <c r="A3" t="str">
        <v>Priya K</v>
      </c>
      <c r="B3">
        <v>31</v>
      </c>
      <c r="C3">
        <v>1436</v>
      </c>
      <c r="D3">
        <f>VLOOKUP(A3,Agents!$A$2:$C$11,3,0)</f>
        <v>50</v>
      </c>
      <c r="E3">
        <f t="shared" ref="E3:E11" si="0">B3*D3</f>
        <v>1550</v>
      </c>
      <c r="F3" s="15">
        <f t="shared" ref="F3:F11" si="1">C3/E3</f>
        <v>0.92645161290322575</v>
      </c>
      <c r="G3" s="16">
        <v>92.958064516129028</v>
      </c>
    </row>
    <row r="4" spans="1:7" x14ac:dyDescent="0.25">
      <c r="A4" t="str">
        <v>Amit V</v>
      </c>
      <c r="B4">
        <v>32</v>
      </c>
      <c r="C4">
        <v>1168</v>
      </c>
      <c r="D4">
        <f>VLOOKUP(A4,Agents!$A$2:$C$11,3,0)</f>
        <v>40</v>
      </c>
      <c r="E4">
        <f t="shared" si="0"/>
        <v>1280</v>
      </c>
      <c r="F4" s="15">
        <f t="shared" si="1"/>
        <v>0.91249999999999998</v>
      </c>
      <c r="G4" s="16">
        <v>94.2</v>
      </c>
    </row>
    <row r="5" spans="1:7" x14ac:dyDescent="0.25">
      <c r="A5" t="str">
        <v>Neha G</v>
      </c>
      <c r="B5">
        <v>31</v>
      </c>
      <c r="C5">
        <v>1393</v>
      </c>
      <c r="D5">
        <f>VLOOKUP(A5,Agents!$A$2:$C$11,3,0)</f>
        <v>45</v>
      </c>
      <c r="E5">
        <f t="shared" si="0"/>
        <v>1395</v>
      </c>
      <c r="F5" s="15">
        <f t="shared" si="1"/>
        <v>0.99856630824372761</v>
      </c>
      <c r="G5" s="16">
        <v>94.551612903225831</v>
      </c>
    </row>
    <row r="6" spans="1:7" x14ac:dyDescent="0.25">
      <c r="A6" t="str">
        <v>Sandeep Y</v>
      </c>
      <c r="B6">
        <v>33</v>
      </c>
      <c r="C6">
        <v>1636</v>
      </c>
      <c r="D6">
        <f>VLOOKUP(A6,Agents!$A$2:$C$11,3,0)</f>
        <v>50</v>
      </c>
      <c r="E6">
        <f t="shared" si="0"/>
        <v>1650</v>
      </c>
      <c r="F6" s="15">
        <f t="shared" si="1"/>
        <v>0.99151515151515146</v>
      </c>
      <c r="G6" s="16">
        <v>92.790909090909068</v>
      </c>
    </row>
    <row r="7" spans="1:7" x14ac:dyDescent="0.25">
      <c r="A7" t="str">
        <v>Pooja M</v>
      </c>
      <c r="B7">
        <v>31</v>
      </c>
      <c r="C7">
        <v>1346</v>
      </c>
      <c r="D7">
        <f>VLOOKUP(A7,Agents!$A$2:$C$11,3,0)</f>
        <v>45</v>
      </c>
      <c r="E7">
        <f t="shared" si="0"/>
        <v>1395</v>
      </c>
      <c r="F7" s="15">
        <f t="shared" si="1"/>
        <v>0.96487455197132621</v>
      </c>
      <c r="G7" s="16">
        <v>93.445161290322588</v>
      </c>
    </row>
    <row r="8" spans="1:7" x14ac:dyDescent="0.25">
      <c r="A8" t="str">
        <v>Vikas R</v>
      </c>
      <c r="B8">
        <v>32</v>
      </c>
      <c r="C8">
        <v>1211</v>
      </c>
      <c r="D8">
        <f>VLOOKUP(A8,Agents!$A$2:$C$11,3,0)</f>
        <v>40</v>
      </c>
      <c r="E8">
        <f t="shared" si="0"/>
        <v>1280</v>
      </c>
      <c r="F8" s="15">
        <f t="shared" si="1"/>
        <v>0.94609374999999996</v>
      </c>
      <c r="G8" s="16">
        <v>94.05</v>
      </c>
    </row>
    <row r="9" spans="1:7" x14ac:dyDescent="0.25">
      <c r="A9" t="str">
        <v>Anjali T</v>
      </c>
      <c r="B9">
        <v>32</v>
      </c>
      <c r="C9">
        <v>1580</v>
      </c>
      <c r="D9">
        <f>VLOOKUP(A9,Agents!$A$2:$C$11,3,0)</f>
        <v>50</v>
      </c>
      <c r="E9">
        <f t="shared" si="0"/>
        <v>1600</v>
      </c>
      <c r="F9" s="15">
        <f t="shared" si="1"/>
        <v>0.98750000000000004</v>
      </c>
      <c r="G9" s="16">
        <v>93.7</v>
      </c>
    </row>
    <row r="10" spans="1:7" x14ac:dyDescent="0.25">
      <c r="A10" t="str">
        <v>Rohit B</v>
      </c>
      <c r="B10">
        <v>31</v>
      </c>
      <c r="C10">
        <v>1310</v>
      </c>
      <c r="D10">
        <f>VLOOKUP(A10,Agents!$A$2:$C$11,3,0)</f>
        <v>45</v>
      </c>
      <c r="E10">
        <f t="shared" si="0"/>
        <v>1395</v>
      </c>
      <c r="F10" s="15">
        <f t="shared" si="1"/>
        <v>0.93906810035842292</v>
      </c>
      <c r="G10" s="16">
        <v>93.90967741935485</v>
      </c>
    </row>
    <row r="11" spans="1:7" x14ac:dyDescent="0.25">
      <c r="A11" t="str">
        <v>Kavita D</v>
      </c>
      <c r="B11">
        <v>30</v>
      </c>
      <c r="C11">
        <v>1135</v>
      </c>
      <c r="D11">
        <f>VLOOKUP(A11,Agents!$A$2:$C$11,3,0)</f>
        <v>40</v>
      </c>
      <c r="E11">
        <f t="shared" si="0"/>
        <v>1200</v>
      </c>
      <c r="F11" s="15">
        <f t="shared" si="1"/>
        <v>0.9458333333333333</v>
      </c>
      <c r="G11" s="16">
        <v>93.446666666666673</v>
      </c>
    </row>
    <row r="13" spans="1:7" x14ac:dyDescent="0.25">
      <c r="A13" s="17" t="s">
        <v>1562</v>
      </c>
    </row>
    <row r="14" spans="1:7" x14ac:dyDescent="0.25">
      <c r="A14" s="19" t="s">
        <v>1567</v>
      </c>
      <c r="B14" s="15">
        <f>SUM(_xlfn.ANCHORARRAY(C2))/SUM(E2:E11)</f>
        <v>0.95799151343705802</v>
      </c>
    </row>
    <row r="15" spans="1:7" x14ac:dyDescent="0.25">
      <c r="A15" s="18" t="s">
        <v>1563</v>
      </c>
      <c r="B15" s="18"/>
      <c r="C15" s="18"/>
      <c r="D15" s="18"/>
      <c r="E15" s="18"/>
    </row>
    <row r="16" spans="1:7" ht="20.25" customHeight="1" x14ac:dyDescent="0.25">
      <c r="A16" s="18" t="s">
        <v>1564</v>
      </c>
      <c r="B16" s="18"/>
      <c r="C16" s="18"/>
      <c r="D16" s="18"/>
      <c r="E16" s="18"/>
    </row>
    <row r="17" spans="1:5" x14ac:dyDescent="0.25">
      <c r="A17" s="18" t="s">
        <v>1565</v>
      </c>
      <c r="B17" s="18"/>
      <c r="C17" s="18"/>
      <c r="D17" s="18"/>
      <c r="E17" s="18"/>
    </row>
    <row r="18" spans="1:5" x14ac:dyDescent="0.25">
      <c r="A18" s="18" t="s">
        <v>1566</v>
      </c>
      <c r="B18" s="18"/>
      <c r="C18" s="18"/>
      <c r="D18" s="18"/>
      <c r="E18" s="18"/>
    </row>
  </sheetData>
  <mergeCells count="4">
    <mergeCell ref="A16:E16"/>
    <mergeCell ref="A17:E17"/>
    <mergeCell ref="A18:E18"/>
    <mergeCell ref="A15:E1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AE12C-FA49-4D1B-852D-42C2FBB97697}">
  <dimension ref="A1:B53"/>
  <sheetViews>
    <sheetView showGridLines="0" topLeftCell="A32" workbookViewId="0">
      <selection activeCell="J53" sqref="J53"/>
    </sheetView>
  </sheetViews>
  <sheetFormatPr defaultRowHeight="15" x14ac:dyDescent="0.25"/>
  <cols>
    <col min="1" max="1" width="13.140625" bestFit="1" customWidth="1"/>
    <col min="2" max="2" width="27.140625" bestFit="1" customWidth="1"/>
  </cols>
  <sheetData>
    <row r="1" spans="1:2" ht="31.5" x14ac:dyDescent="0.5">
      <c r="A1" s="26" t="s">
        <v>1582</v>
      </c>
    </row>
    <row r="2" spans="1:2" ht="21" x14ac:dyDescent="0.35">
      <c r="A2" s="27" t="s">
        <v>1583</v>
      </c>
    </row>
    <row r="3" spans="1:2" x14ac:dyDescent="0.25">
      <c r="A3" t="s">
        <v>1573</v>
      </c>
      <c r="B3" s="22">
        <f>MIS_Report!B7</f>
        <v>2534725</v>
      </c>
    </row>
    <row r="4" spans="1:2" x14ac:dyDescent="0.25">
      <c r="A4" t="s">
        <v>1575</v>
      </c>
      <c r="B4" s="15">
        <f>MIS_Report!B9</f>
        <v>0.114</v>
      </c>
    </row>
    <row r="5" spans="1:2" x14ac:dyDescent="0.25">
      <c r="A5" t="s">
        <v>1584</v>
      </c>
      <c r="B5" s="15">
        <f>MIS_Report!B10</f>
        <v>0.43378319468195914</v>
      </c>
    </row>
    <row r="6" spans="1:2" x14ac:dyDescent="0.25">
      <c r="A6" t="s">
        <v>1578</v>
      </c>
      <c r="B6" s="15">
        <f>MIS_Report!B12</f>
        <v>0.50774738876998493</v>
      </c>
    </row>
    <row r="7" spans="1:2" x14ac:dyDescent="0.25">
      <c r="B7" s="15"/>
    </row>
    <row r="8" spans="1:2" x14ac:dyDescent="0.25">
      <c r="B8" s="15"/>
    </row>
    <row r="9" spans="1:2" x14ac:dyDescent="0.25">
      <c r="A9" s="13" t="s">
        <v>1547</v>
      </c>
      <c r="B9" t="s">
        <v>1553</v>
      </c>
    </row>
    <row r="10" spans="1:2" x14ac:dyDescent="0.25">
      <c r="A10" s="14" t="s">
        <v>1549</v>
      </c>
      <c r="B10" s="12">
        <v>510950</v>
      </c>
    </row>
    <row r="11" spans="1:2" x14ac:dyDescent="0.25">
      <c r="A11" s="14" t="s">
        <v>1550</v>
      </c>
      <c r="B11" s="12">
        <v>412150</v>
      </c>
    </row>
    <row r="12" spans="1:2" x14ac:dyDescent="0.25">
      <c r="A12" s="14" t="s">
        <v>1551</v>
      </c>
      <c r="B12" s="12">
        <v>324625</v>
      </c>
    </row>
    <row r="13" spans="1:2" x14ac:dyDescent="0.25">
      <c r="A13" s="14" t="s">
        <v>1552</v>
      </c>
      <c r="B13" s="12">
        <v>1287000</v>
      </c>
    </row>
    <row r="14" spans="1:2" x14ac:dyDescent="0.25">
      <c r="A14" s="14" t="s">
        <v>1548</v>
      </c>
      <c r="B14" s="9">
        <v>2534725</v>
      </c>
    </row>
    <row r="17" spans="1:2" x14ac:dyDescent="0.25">
      <c r="A17" s="13" t="s">
        <v>1547</v>
      </c>
      <c r="B17" t="s">
        <v>1553</v>
      </c>
    </row>
    <row r="18" spans="1:2" x14ac:dyDescent="0.25">
      <c r="A18" s="14" t="s">
        <v>1538</v>
      </c>
      <c r="B18" s="24">
        <v>54350</v>
      </c>
    </row>
    <row r="19" spans="1:2" x14ac:dyDescent="0.25">
      <c r="A19" s="14" t="s">
        <v>71</v>
      </c>
      <c r="B19" s="24">
        <v>76700</v>
      </c>
    </row>
    <row r="20" spans="1:2" x14ac:dyDescent="0.25">
      <c r="A20" s="14" t="s">
        <v>94</v>
      </c>
      <c r="B20" s="24">
        <v>216125</v>
      </c>
    </row>
    <row r="21" spans="1:2" x14ac:dyDescent="0.25">
      <c r="A21" s="14" t="s">
        <v>68</v>
      </c>
      <c r="B21" s="24">
        <v>239275</v>
      </c>
    </row>
    <row r="22" spans="1:2" x14ac:dyDescent="0.25">
      <c r="A22" s="14" t="s">
        <v>61</v>
      </c>
      <c r="B22" s="24">
        <v>295275</v>
      </c>
    </row>
    <row r="23" spans="1:2" x14ac:dyDescent="0.25">
      <c r="A23" s="14" t="s">
        <v>55</v>
      </c>
      <c r="B23" s="24">
        <v>331875</v>
      </c>
    </row>
    <row r="24" spans="1:2" x14ac:dyDescent="0.25">
      <c r="A24" s="14" t="s">
        <v>30</v>
      </c>
      <c r="B24" s="24">
        <v>342100</v>
      </c>
    </row>
    <row r="25" spans="1:2" x14ac:dyDescent="0.25">
      <c r="A25" s="14" t="s">
        <v>80</v>
      </c>
      <c r="B25" s="24">
        <v>389050</v>
      </c>
    </row>
    <row r="26" spans="1:2" x14ac:dyDescent="0.25">
      <c r="A26" s="14" t="s">
        <v>41</v>
      </c>
      <c r="B26" s="24">
        <v>589975</v>
      </c>
    </row>
    <row r="27" spans="1:2" x14ac:dyDescent="0.25">
      <c r="A27" s="14" t="s">
        <v>1548</v>
      </c>
      <c r="B27" s="24">
        <v>2534725</v>
      </c>
    </row>
    <row r="31" spans="1:2" x14ac:dyDescent="0.25">
      <c r="A31" s="13" t="s">
        <v>1547</v>
      </c>
      <c r="B31" t="s">
        <v>1580</v>
      </c>
    </row>
    <row r="32" spans="1:2" x14ac:dyDescent="0.25">
      <c r="A32" s="14" t="s">
        <v>32</v>
      </c>
      <c r="B32" s="24">
        <v>68525</v>
      </c>
    </row>
    <row r="33" spans="1:2" x14ac:dyDescent="0.25">
      <c r="A33" s="14" t="s">
        <v>312</v>
      </c>
      <c r="B33" s="24">
        <v>90175</v>
      </c>
    </row>
    <row r="34" spans="1:2" x14ac:dyDescent="0.25">
      <c r="A34" s="14" t="s">
        <v>72</v>
      </c>
      <c r="B34" s="24">
        <v>97250</v>
      </c>
    </row>
    <row r="35" spans="1:2" x14ac:dyDescent="0.25">
      <c r="A35" s="14" t="s">
        <v>347</v>
      </c>
      <c r="B35" s="24">
        <v>105600</v>
      </c>
    </row>
    <row r="36" spans="1:2" x14ac:dyDescent="0.25">
      <c r="A36" s="14" t="s">
        <v>116</v>
      </c>
      <c r="B36" s="24">
        <v>133525</v>
      </c>
    </row>
    <row r="37" spans="1:2" x14ac:dyDescent="0.25">
      <c r="A37" s="14" t="s">
        <v>271</v>
      </c>
      <c r="B37" s="24">
        <v>188775</v>
      </c>
    </row>
    <row r="38" spans="1:2" x14ac:dyDescent="0.25">
      <c r="A38" s="14" t="s">
        <v>47</v>
      </c>
      <c r="B38" s="24">
        <v>216000</v>
      </c>
    </row>
    <row r="39" spans="1:2" x14ac:dyDescent="0.25">
      <c r="A39" s="14" t="s">
        <v>1548</v>
      </c>
      <c r="B39" s="8">
        <v>899850</v>
      </c>
    </row>
    <row r="43" spans="1:2" x14ac:dyDescent="0.25">
      <c r="A43" s="13" t="s">
        <v>1547</v>
      </c>
      <c r="B43" t="s">
        <v>1581</v>
      </c>
    </row>
    <row r="44" spans="1:2" x14ac:dyDescent="0.25">
      <c r="A44" s="14" t="s">
        <v>33</v>
      </c>
      <c r="B44" s="25">
        <v>0.91249999999999998</v>
      </c>
    </row>
    <row r="45" spans="1:2" x14ac:dyDescent="0.25">
      <c r="A45" s="14" t="s">
        <v>48</v>
      </c>
      <c r="B45" s="25">
        <v>0.92645161290322575</v>
      </c>
    </row>
    <row r="46" spans="1:2" x14ac:dyDescent="0.25">
      <c r="A46" s="14" t="s">
        <v>83</v>
      </c>
      <c r="B46" s="25">
        <v>0.93906810035842292</v>
      </c>
    </row>
    <row r="47" spans="1:2" x14ac:dyDescent="0.25">
      <c r="A47" s="14" t="s">
        <v>109</v>
      </c>
      <c r="B47" s="25">
        <v>0.9458333333333333</v>
      </c>
    </row>
    <row r="48" spans="1:2" x14ac:dyDescent="0.25">
      <c r="A48" s="14" t="s">
        <v>38</v>
      </c>
      <c r="B48" s="25">
        <v>0.94609374999999996</v>
      </c>
    </row>
    <row r="49" spans="1:2" x14ac:dyDescent="0.25">
      <c r="A49" s="14" t="s">
        <v>56</v>
      </c>
      <c r="B49" s="25">
        <v>0.9541218637992831</v>
      </c>
    </row>
    <row r="50" spans="1:2" x14ac:dyDescent="0.25">
      <c r="A50" s="14" t="s">
        <v>52</v>
      </c>
      <c r="B50" s="25">
        <v>0.96487455197132621</v>
      </c>
    </row>
    <row r="51" spans="1:2" x14ac:dyDescent="0.25">
      <c r="A51" s="14" t="s">
        <v>65</v>
      </c>
      <c r="B51" s="25">
        <v>0.98750000000000004</v>
      </c>
    </row>
    <row r="52" spans="1:2" x14ac:dyDescent="0.25">
      <c r="A52" s="14" t="s">
        <v>62</v>
      </c>
      <c r="B52" s="25">
        <v>0.99151515151515146</v>
      </c>
    </row>
    <row r="53" spans="1:2" x14ac:dyDescent="0.25">
      <c r="A53" s="14" t="s">
        <v>43</v>
      </c>
      <c r="B53" s="25">
        <v>0.99856630824372761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A0634-4F6B-41A6-A65E-8321E732C36C}">
  <dimension ref="A1:L41"/>
  <sheetViews>
    <sheetView showGridLines="0" tabSelected="1" zoomScale="75" zoomScaleNormal="75" workbookViewId="0">
      <selection activeCell="O1" sqref="O1"/>
    </sheetView>
  </sheetViews>
  <sheetFormatPr defaultRowHeight="15" x14ac:dyDescent="0.25"/>
  <cols>
    <col min="1" max="12" width="13.7109375" customWidth="1"/>
  </cols>
  <sheetData>
    <row r="1" spans="1:12" ht="28.5" x14ac:dyDescent="0.45">
      <c r="A1" s="28" t="s">
        <v>1585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</row>
    <row r="2" spans="1:12" x14ac:dyDescent="0.25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</row>
    <row r="4" spans="1:12" x14ac:dyDescent="0.25">
      <c r="A4" s="30" t="s">
        <v>1570</v>
      </c>
      <c r="B4" s="31"/>
      <c r="C4" s="30" t="s">
        <v>1586</v>
      </c>
      <c r="D4" s="31"/>
      <c r="E4" s="30" t="s">
        <v>1587</v>
      </c>
      <c r="F4" s="31"/>
      <c r="G4" s="30" t="s">
        <v>1588</v>
      </c>
      <c r="H4" s="31"/>
      <c r="I4" s="30" t="s">
        <v>1575</v>
      </c>
      <c r="J4" s="31"/>
      <c r="K4" s="30" t="s">
        <v>1578</v>
      </c>
      <c r="L4" s="31"/>
    </row>
    <row r="5" spans="1:12" ht="32.1" customHeight="1" x14ac:dyDescent="0.25">
      <c r="A5" s="32">
        <f>MIS_Report!B4</f>
        <v>1000</v>
      </c>
      <c r="B5" s="33"/>
      <c r="C5" s="36">
        <f>MIS_Report!B5/100000</f>
        <v>77.772999999999996</v>
      </c>
      <c r="D5" s="37"/>
      <c r="E5" s="36">
        <f>MIS_Report!B6/100000</f>
        <v>33.736620400000007</v>
      </c>
      <c r="F5" s="37"/>
      <c r="G5" s="38">
        <f>MIS_Report!B7/100000</f>
        <v>25.347249999999999</v>
      </c>
      <c r="H5" s="39"/>
      <c r="I5" s="34">
        <f>MIS_Report!B9</f>
        <v>0.114</v>
      </c>
      <c r="J5" s="35"/>
      <c r="K5" s="40">
        <f>MIS_Report!B12</f>
        <v>0.50774738876998493</v>
      </c>
      <c r="L5" s="41"/>
    </row>
    <row r="6" spans="1:12" x14ac:dyDescent="0.25">
      <c r="F6" s="20"/>
    </row>
    <row r="35" spans="1:12" x14ac:dyDescent="0.25">
      <c r="A35" s="43" t="s">
        <v>1562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</row>
    <row r="36" spans="1:12" ht="15" customHeight="1" x14ac:dyDescent="0.25">
      <c r="A36" s="42" t="s">
        <v>1589</v>
      </c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</row>
    <row r="37" spans="1:12" ht="15" customHeight="1" x14ac:dyDescent="0.25">
      <c r="A37" s="42" t="s">
        <v>1590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</row>
    <row r="38" spans="1:12" ht="12.75" customHeight="1" x14ac:dyDescent="0.25">
      <c r="A38" s="42" t="s">
        <v>1591</v>
      </c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</row>
    <row r="39" spans="1:12" ht="15" customHeight="1" x14ac:dyDescent="0.25">
      <c r="A39" s="42" t="s">
        <v>1592</v>
      </c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</row>
    <row r="40" spans="1:12" ht="18" customHeight="1" x14ac:dyDescent="0.25">
      <c r="A40" s="42" t="s">
        <v>1593</v>
      </c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</row>
    <row r="41" spans="1:12" x14ac:dyDescent="0.25">
      <c r="A41" s="45" t="s">
        <v>1594</v>
      </c>
    </row>
  </sheetData>
  <mergeCells count="17">
    <mergeCell ref="A36:L36"/>
    <mergeCell ref="A37:L37"/>
    <mergeCell ref="A38:L38"/>
    <mergeCell ref="A39:L39"/>
    <mergeCell ref="A40:L40"/>
    <mergeCell ref="G4:H4"/>
    <mergeCell ref="G5:H5"/>
    <mergeCell ref="I4:J4"/>
    <mergeCell ref="I5:J5"/>
    <mergeCell ref="K4:L4"/>
    <mergeCell ref="K5:L5"/>
    <mergeCell ref="A5:B5"/>
    <mergeCell ref="A4:B4"/>
    <mergeCell ref="C4:D4"/>
    <mergeCell ref="C5:D5"/>
    <mergeCell ref="E4:F4"/>
    <mergeCell ref="E5:F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Claims_Clean</vt:lpstr>
      <vt:lpstr>Claims_Raw</vt:lpstr>
      <vt:lpstr>MIS_Report</vt:lpstr>
      <vt:lpstr>Agents</vt:lpstr>
      <vt:lpstr>Daily_Productivity</vt:lpstr>
      <vt:lpstr>Productivity_Report</vt:lpstr>
      <vt:lpstr>Pivots</vt:lpstr>
      <vt:lpstr>MIS_Dashboard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Nitish Arya</cp:lastModifiedBy>
  <dcterms:created xsi:type="dcterms:W3CDTF">2026-10-19T07:12:43Z</dcterms:created>
  <dcterms:modified xsi:type="dcterms:W3CDTF">2026-10-27T09:52:36Z</dcterms:modified>
</cp:coreProperties>
</file>